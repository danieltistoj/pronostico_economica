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6" activeTab="8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11" l="1"/>
  <c r="G25" i="11"/>
  <c r="G26" i="11"/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L9" i="12" l="1"/>
  <c r="K9" i="12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5" i="11"/>
  <c r="D4" i="11"/>
  <c r="D8" i="11"/>
  <c r="D7" i="11"/>
  <c r="D6" i="11"/>
  <c r="L12" i="11"/>
  <c r="K12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6"/>
  <c r="D5" i="16"/>
  <c r="F11" i="16"/>
  <c r="D8" i="16"/>
  <c r="D7" i="16"/>
  <c r="D4" i="16" s="1"/>
  <c r="D6" i="12"/>
  <c r="L63" i="8" l="1"/>
  <c r="E47" i="8"/>
  <c r="M34" i="8"/>
  <c r="D8" i="12"/>
  <c r="M63" i="8" l="1"/>
  <c r="N34" i="8"/>
  <c r="D7" i="12"/>
  <c r="D4" i="12" s="1"/>
  <c r="D5" i="12"/>
  <c r="N63" i="8" l="1"/>
  <c r="G27" i="11" l="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F2" i="8" s="1"/>
  <c r="N58" i="8"/>
  <c r="N59" i="8" s="1"/>
  <c r="B28" i="5" a="1"/>
  <c r="B29" i="5" s="1"/>
  <c r="N46" i="8" l="1"/>
  <c r="N49" i="8" s="1"/>
  <c r="N51" i="8" s="1"/>
  <c r="N5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<sst xmlns="http://schemas.openxmlformats.org/spreadsheetml/2006/main" count="461" uniqueCount="234">
  <si>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</si>
  <si>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</si>
  <si>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</si>
  <si>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</si>
  <si>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</si>
  <si>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</si>
  <si>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</si>
  <si>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</si>
  <si>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</si>
  <si>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</si>
  <si>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</si>
  <si>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</si>
  <si>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</si>
  <si>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</si>
  <si>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</si>
  <si>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</si>
  <si>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</si>
  <si>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</si>
  <si>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</si>
  <si>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</si>
  <si>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</si>
  <si>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</si>
  <si>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</si>
  <si>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</si>
  <si>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</si>
  <si>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</si>
  <si>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</si>
  <si>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</si>
  <si>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</si>
  <si>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</si>
  <si>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</si>
  <si>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</si>
  <si>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</si>
  <si>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</si>
  <si>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</si>
  <si>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</si>
  <si>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</si>
  <si>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</si>
  <si>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</si>
  <si>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</si>
  <si>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</si>
  <si>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</si>
  <si>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</si>
  <si>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</si>
  <si>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</si>
  <si>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</si>
  <si>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</si>
  <si>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</si>
  <si>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</si>
  <si>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</si>
  <si>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</si>
  <si>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</si>
  <si>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</si>
  <si>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</si>
  <si>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</si>
  <si>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</si>
  <si>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</si>
  <si>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</si>
  <si>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</si>
  <si>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</si>
  <si>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</si>
  <si>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</si>
  <si>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</si>
  <si>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</si>
  <si>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</si>
  <si>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</si>
  <si>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</si>
  <si>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</si>
  <si>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</si>
  <si>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</si>
  <si>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</si>
  <si>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</si>
  <si>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</si>
  <si>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</si>
  <si>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</si>
  <si>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</si>
  <si>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</si>
  <si>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</si>
  <si>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</si>
  <si>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</si>
  <si>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</si>
  <si>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</si>
  <si>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</si>
  <si>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</si>
  <si>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</si>
  <si>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</si>
  <si>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</si>
  <si>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</si>
  <si>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</si>
  <si>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</si>
  <si>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</si>
  <si>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</si>
  <si>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</si>
  <si>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</si>
  <si>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</si>
  <si>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</si>
  <si>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</si>
  <si>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</si>
  <si>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</si>
  <si>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</si>
  <si>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</si>
  <si>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</si>
  <si>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</si>
  <si>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</si>
  <si>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</si>
  <si>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</si>
  <si>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</si>
  <si>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</si>
  <si>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</si>
  <si>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</si>
  <si>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</si>
  <si>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</si>
  <si>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</si>
  <si>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</si>
  <si>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</si>
  <si>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</si>
  <si>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</si>
  <si>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</si>
  <si>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</si>
  <si>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</si>
  <si>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</si>
  <si>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</si>
  <si>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</si>
  <si>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</si>
  <si>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</si>
  <si>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</si>
  <si>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</si>
  <si>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</si>
  <si>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</si>
  <si>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</si>
  <si>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</si>
  <si>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</si>
  <si>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</si>
  <si>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</si>
  <si>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</si>
  <si>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</si>
  <si>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</si>
  <si>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</si>
  <si>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</si>
  <si>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</si>
  <si>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</si>
  <si>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</si>
  <si>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</si>
  <si>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</si>
  <si>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</si>
  <si>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</si>
  <si>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</si>
  <si>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</si>
  <si>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</si>
  <si>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</si>
  <si>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</si>
  <si>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</si>
  <si>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</si>
  <si>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</si>
  <si>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</si>
  <si>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</si>
  <si>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</si>
  <si>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</si>
  <si>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</si>
  <si>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</si>
  <si>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</si>
  <si>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</si>
  <si>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</si>
  <si>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</si>
  <si>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</si>
  <si>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</si>
  <si>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</si>
  <si>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</si>
  <si>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</si>
  <si>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</si>
  <si>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</si>
  <si>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</si>
  <si>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</si>
  <si>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</si>
  <si>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</si>
  <si>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</si>
  <si>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</si>
  <si>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</si>
  <si>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</si>
  <si>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</si>
  <si>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</si>
  <si>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</si>
  <si>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</si>
  <si>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</si>
  <si>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</si>
  <si>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</si>
  <si>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</si>
  <si>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</si>
  <si>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</si>
  <si>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</si>
  <si>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</si>
  <si>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</si>
  <si>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</si>
  <si>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</si>
  <si>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</si>
  <si>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</si>
  <si>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</si>
  <si>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</si>
  <si>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</si>
  <si>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</si>
  <si>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</si>
  <si>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</si>
  <si>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</si>
  <si>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</si>
  <si>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</si>
  <si>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</si>
  <si>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</si>
  <si>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</si>
  <si>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</si>
  <si>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</si>
  <si>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</si>
  <si>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</si>
  <si>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</si>
  <si>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Septiempre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</si>
  <si>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</si>
  <si>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</si>
  <si>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</si>
  <si>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</si>
  <si>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</si>
  <si>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</si>
  <si>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</si>
  <si>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</si>
  <si>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</si>
  <si>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</si>
  <si>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</si>
  <si>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</si>
  <si>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</si>
  <si>
    <t xml:space="preserve">Septiembre </t>
  </si>
  <si>
    <t>cantidad pago</t>
  </si>
  <si>
    <t>mes de pago</t>
  </si>
  <si>
    <t>pagos totales</t>
  </si>
  <si>
    <t xml:space="preserve">suma pagos iniciales </t>
  </si>
  <si>
    <t>pagos restantes</t>
  </si>
  <si>
    <t xml:space="preserve">pagos de doce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</si>
</sst>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/>
    </xf>
    <xf numFmtId="7" fontId="0" fillId="3" borderId="6" xfId="0" applyNumberFormat="1" applyFill="1" applyBorder="1"/>
    <xf numFmtId="0" fontId="0" fillId="3" borderId="6" xfId="0" applyFill="1" applyBorder="1"/>
    <xf numFmtId="44" fontId="0" fillId="0" borderId="20" xfId="2" applyFont="1" applyBorder="1"/>
    <xf numFmtId="44" fontId="0" fillId="3" borderId="4" xfId="2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76800"/>
        <c:axId val="466879936"/>
      </c:scatterChart>
      <c:valAx>
        <c:axId val="46687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9936"/>
        <c:crosses val="autoZero"/>
        <c:crossBetween val="midCat"/>
      </c:valAx>
      <c:valAx>
        <c:axId val="4668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6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80720"/>
        <c:axId val="466874448"/>
      </c:scatterChart>
      <c:valAx>
        <c:axId val="46688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4448"/>
        <c:crosses val="autoZero"/>
        <c:crossBetween val="midCat"/>
      </c:valAx>
      <c:valAx>
        <c:axId val="4668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75232"/>
        <c:axId val="466881112"/>
      </c:scatterChart>
      <c:valAx>
        <c:axId val="4668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81112"/>
        <c:crosses val="autoZero"/>
        <c:crossBetween val="midCat"/>
      </c:valAx>
      <c:valAx>
        <c:axId val="46688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81504"/>
        <c:axId val="466875624"/>
      </c:scatterChart>
      <c:valAx>
        <c:axId val="46688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5624"/>
        <c:crosses val="autoZero"/>
        <c:crossBetween val="midCat"/>
      </c:valAx>
      <c:valAx>
        <c:axId val="46687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8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77976"/>
        <c:axId val="466876016"/>
      </c:scatterChart>
      <c:valAx>
        <c:axId val="46687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6016"/>
        <c:crosses val="autoZero"/>
        <c:crossBetween val="midCat"/>
      </c:valAx>
      <c:valAx>
        <c:axId val="46687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687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8552"/>
        <c:axId val="472756984"/>
      </c:scatterChart>
      <c:valAx>
        <c:axId val="47275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6984"/>
        <c:crosses val="autoZero"/>
        <c:crossBetween val="midCat"/>
      </c:valAx>
      <c:valAx>
        <c:axId val="47275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5808"/>
        <c:axId val="472759728"/>
      </c:scatterChart>
      <c:valAx>
        <c:axId val="47275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9728"/>
        <c:crosses val="autoZero"/>
        <c:crossBetween val="midCat"/>
      </c:valAx>
      <c:valAx>
        <c:axId val="4727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9336"/>
        <c:axId val="472756592"/>
      </c:scatterChart>
      <c:valAx>
        <c:axId val="47275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6592"/>
        <c:crosses val="autoZero"/>
        <c:crossBetween val="midCat"/>
      </c:valAx>
      <c:valAx>
        <c:axId val="47275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60120"/>
        <c:axId val="472760512"/>
      </c:scatterChart>
      <c:valAx>
        <c:axId val="47276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0512"/>
        <c:crosses val="autoZero"/>
        <c:crossBetween val="midCat"/>
      </c:valAx>
      <c:valAx>
        <c:axId val="4727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60904"/>
        <c:axId val="472758160"/>
      </c:scatterChart>
      <c:valAx>
        <c:axId val="47276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8160"/>
        <c:crosses val="autoZero"/>
        <c:crossBetween val="midCat"/>
      </c:valAx>
      <c:valAx>
        <c:axId val="4727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47" t="s">
        <v>75</v>
      </c>
      <c r="C26" s="347"/>
      <c r="D26" s="347"/>
      <c r="K26" s="1"/>
      <c r="L26" s="1"/>
    </row>
    <row r="27" spans="2:14" x14ac:dyDescent="0.3">
      <c r="B27" s="348"/>
      <c r="C27" s="348"/>
      <c r="D27" s="348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49" t="s">
        <v>76</v>
      </c>
      <c r="C31" s="350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2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1" priority="3" operator="lessThan">
      <formula>$C$27</formula>
    </cfRule>
    <cfRule type="cellIs" dxfId="30" priority="4" operator="lessThan">
      <formula>$K$6</formula>
    </cfRule>
    <cfRule type="cellIs" dxfId="29" priority="5" operator="lessThan">
      <formula>42.17</formula>
    </cfRule>
  </conditionalFormatting>
  <conditionalFormatting sqref="C24">
    <cfRule type="cellIs" dxfId="28" priority="2" operator="greaterThan">
      <formula>$C$27</formula>
    </cfRule>
  </conditionalFormatting>
  <conditionalFormatting sqref="C24:L24">
    <cfRule type="expression" dxfId="27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workbookViewId="0">
      <selection activeCell="I25" sqref="I25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52" t="s">
        <v>102</v>
      </c>
      <c r="B1" s="353"/>
      <c r="C1" s="162"/>
      <c r="D1" s="162"/>
      <c r="E1" s="300" t="s">
        <v>107</v>
      </c>
      <c r="F1" s="300" t="s">
        <v>108</v>
      </c>
      <c r="G1" s="300" t="s">
        <v>197</v>
      </c>
      <c r="H1" s="300" t="s">
        <v>109</v>
      </c>
      <c r="I1" s="300" t="s">
        <v>110</v>
      </c>
      <c r="J1" s="300" t="s">
        <v>111</v>
      </c>
      <c r="K1" s="300" t="s">
        <v>112</v>
      </c>
      <c r="L1" s="300" t="s">
        <v>199</v>
      </c>
      <c r="M1" s="55"/>
      <c r="N1" s="55"/>
      <c r="O1" s="285"/>
      <c r="P1" s="285"/>
      <c r="Q1" s="285"/>
      <c r="R1" s="285"/>
      <c r="S1" s="55"/>
      <c r="T1" s="55"/>
      <c r="U1" s="55"/>
    </row>
    <row r="2" spans="1:37" x14ac:dyDescent="0.3">
      <c r="A2" s="351" t="s">
        <v>103</v>
      </c>
      <c r="B2" s="351"/>
      <c r="C2" s="55"/>
      <c r="D2" s="55"/>
      <c r="E2" s="337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38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300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300" t="str">
        <f>IF(G2="No existe","No Aceptado",IF(E2&lt;0,"No Aceptado",IF(F2&lt;0%,"No Aceptado","Aceptado")))</f>
        <v>Aceptado</v>
      </c>
      <c r="I2" s="299">
        <f>SUM(D36:D42)</f>
        <v>835</v>
      </c>
      <c r="J2" s="300" t="s">
        <v>54</v>
      </c>
      <c r="K2" s="301">
        <f>'Calculo Tmar'!F9</f>
        <v>0.11703605</v>
      </c>
      <c r="L2" s="300">
        <v>10</v>
      </c>
      <c r="M2" s="55"/>
      <c r="N2" s="55"/>
      <c r="O2" s="291"/>
      <c r="P2" s="291"/>
      <c r="Q2" s="291"/>
      <c r="R2" s="291"/>
      <c r="S2" s="291"/>
      <c r="T2" s="291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1"/>
      <c r="P3" s="291"/>
      <c r="Q3" s="291"/>
      <c r="R3" s="291"/>
      <c r="S3" s="291"/>
      <c r="T3" s="291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91"/>
      <c r="P4" s="291"/>
      <c r="Q4" s="291"/>
      <c r="R4" s="291"/>
      <c r="S4" s="291"/>
      <c r="T4" s="291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91"/>
      <c r="P5" s="291"/>
      <c r="Q5" s="292" t="s">
        <v>138</v>
      </c>
      <c r="R5" s="291"/>
      <c r="S5" s="291"/>
      <c r="T5" s="291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91"/>
      <c r="P6" s="291"/>
      <c r="Q6" s="292" t="s">
        <v>54</v>
      </c>
      <c r="R6" s="291"/>
      <c r="S6" s="291"/>
      <c r="T6" s="291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91"/>
      <c r="P7" s="291"/>
      <c r="Q7" s="291"/>
      <c r="R7" s="291"/>
      <c r="S7" s="291"/>
      <c r="T7" s="291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91"/>
      <c r="P8" s="291"/>
      <c r="Q8" s="291"/>
      <c r="R8" s="291"/>
      <c r="S8" s="291"/>
      <c r="T8" s="291"/>
      <c r="U8" s="55"/>
      <c r="V8" s="55"/>
    </row>
    <row r="9" spans="1:37" ht="15" thickTop="1" x14ac:dyDescent="0.3">
      <c r="A9" s="184"/>
      <c r="B9" s="185" t="s">
        <v>118</v>
      </c>
      <c r="C9" s="186"/>
      <c r="D9" s="295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91"/>
      <c r="P9" s="291"/>
      <c r="Q9" s="291"/>
      <c r="R9" s="291"/>
      <c r="S9" s="291"/>
      <c r="T9" s="291"/>
      <c r="U9" s="55"/>
      <c r="V9" s="55"/>
      <c r="AI9" s="254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91"/>
      <c r="P10" s="291"/>
      <c r="Q10" s="291"/>
      <c r="R10" s="291"/>
      <c r="S10" s="291"/>
      <c r="T10" s="291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91"/>
      <c r="P11" s="291"/>
      <c r="Q11" s="291"/>
      <c r="R11" s="291"/>
      <c r="S11" s="291"/>
      <c r="T11" s="291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91"/>
      <c r="P12" s="291"/>
      <c r="Q12" s="291"/>
      <c r="R12" s="291"/>
      <c r="S12" s="291"/>
      <c r="T12" s="291"/>
      <c r="U12" s="55"/>
      <c r="V12" s="55"/>
    </row>
    <row r="13" spans="1:37" x14ac:dyDescent="0.3">
      <c r="A13" s="165">
        <v>0</v>
      </c>
      <c r="B13" s="284" t="s">
        <v>221</v>
      </c>
      <c r="C13" s="262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91"/>
      <c r="P13" s="291"/>
      <c r="Q13" s="291"/>
      <c r="R13" s="291"/>
      <c r="S13" s="291"/>
      <c r="T13" s="291"/>
      <c r="U13" s="55"/>
      <c r="V13" s="55"/>
    </row>
    <row r="14" spans="1:37" x14ac:dyDescent="0.3">
      <c r="A14" s="164">
        <v>0.05</v>
      </c>
      <c r="B14" s="284" t="s">
        <v>168</v>
      </c>
      <c r="C14" s="262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G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91"/>
      <c r="P14" s="291"/>
      <c r="Q14" s="291"/>
      <c r="R14" s="291"/>
      <c r="S14" s="291"/>
      <c r="T14" s="291"/>
      <c r="U14" s="55"/>
      <c r="V14" s="55"/>
    </row>
    <row r="15" spans="1:37" x14ac:dyDescent="0.3">
      <c r="A15" s="306"/>
      <c r="B15" s="291" t="s">
        <v>218</v>
      </c>
      <c r="C15" s="262" t="s">
        <v>138</v>
      </c>
      <c r="D15" s="291"/>
      <c r="E15" s="304">
        <v>25.7453994725619</v>
      </c>
      <c r="F15" s="304">
        <v>28.459685186847477</v>
      </c>
      <c r="G15" s="304">
        <v>31.173970901133085</v>
      </c>
      <c r="H15" s="304">
        <v>33.88825661541869</v>
      </c>
      <c r="I15" s="304">
        <v>36.602542329704299</v>
      </c>
      <c r="J15" s="304">
        <v>39.316828043989908</v>
      </c>
      <c r="K15" s="304">
        <v>42.031113758275517</v>
      </c>
      <c r="L15" s="304">
        <v>44.745399472561125</v>
      </c>
      <c r="M15" s="304">
        <v>47.459685186846734</v>
      </c>
      <c r="N15" s="304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8">
        <v>8.0000000000000002E-3</v>
      </c>
      <c r="B16" s="291" t="s">
        <v>219</v>
      </c>
      <c r="C16" s="262" t="s">
        <v>138</v>
      </c>
      <c r="D16" s="291"/>
      <c r="E16" s="304">
        <f>$A$16*E4</f>
        <v>5.8541672668362112</v>
      </c>
      <c r="F16" s="304">
        <f t="shared" ref="F16:N16" si="9">$A$16*F4</f>
        <v>6.0800510386256619</v>
      </c>
      <c r="G16" s="304">
        <f t="shared" si="9"/>
        <v>6.2940107015789373</v>
      </c>
      <c r="H16" s="304">
        <f t="shared" si="9"/>
        <v>6.4975966214137024</v>
      </c>
      <c r="I16" s="304">
        <f t="shared" si="9"/>
        <v>6.6920557523410178</v>
      </c>
      <c r="J16" s="304">
        <f t="shared" si="9"/>
        <v>6.8784081697291457</v>
      </c>
      <c r="K16" s="304">
        <f t="shared" si="9"/>
        <v>7.0575005349910489</v>
      </c>
      <c r="L16" s="304">
        <f t="shared" si="9"/>
        <v>7.2300444409580225</v>
      </c>
      <c r="M16" s="304">
        <f t="shared" si="9"/>
        <v>7.3966445439649666</v>
      </c>
      <c r="N16" s="304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39">
        <v>5.0000000000000001E-3</v>
      </c>
      <c r="B17" s="291" t="s">
        <v>220</v>
      </c>
      <c r="C17" s="262" t="s">
        <v>138</v>
      </c>
      <c r="D17" s="291"/>
      <c r="E17" s="304">
        <f>$A$17*E4</f>
        <v>3.6588545417726319</v>
      </c>
      <c r="F17" s="304">
        <f t="shared" ref="F17:N17" si="10">$A$17*F4</f>
        <v>3.8000318991410387</v>
      </c>
      <c r="G17" s="304">
        <f t="shared" si="10"/>
        <v>3.9337566884868358</v>
      </c>
      <c r="H17" s="304">
        <f t="shared" si="10"/>
        <v>4.0609978883835645</v>
      </c>
      <c r="I17" s="304">
        <f t="shared" si="10"/>
        <v>4.1825348452131363</v>
      </c>
      <c r="J17" s="304">
        <f t="shared" si="10"/>
        <v>4.299005106080716</v>
      </c>
      <c r="K17" s="304">
        <f t="shared" si="10"/>
        <v>4.4109378343694052</v>
      </c>
      <c r="L17" s="304">
        <f t="shared" si="10"/>
        <v>4.5187777755987639</v>
      </c>
      <c r="M17" s="304">
        <f t="shared" si="10"/>
        <v>4.6229028399781038</v>
      </c>
      <c r="N17" s="304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6"/>
      <c r="B18" s="291" t="s">
        <v>202</v>
      </c>
      <c r="C18" s="262" t="s">
        <v>138</v>
      </c>
      <c r="D18" s="291"/>
      <c r="E18" s="304">
        <v>5</v>
      </c>
      <c r="F18" s="304">
        <v>5</v>
      </c>
      <c r="G18" s="304">
        <v>5</v>
      </c>
      <c r="H18" s="304">
        <v>5</v>
      </c>
      <c r="I18" s="304">
        <v>5</v>
      </c>
      <c r="J18" s="304">
        <v>5</v>
      </c>
      <c r="K18" s="304">
        <v>5</v>
      </c>
      <c r="L18" s="304">
        <v>5</v>
      </c>
      <c r="M18" s="304">
        <v>5</v>
      </c>
      <c r="N18" s="304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6"/>
      <c r="B19" s="291" t="s">
        <v>222</v>
      </c>
      <c r="C19" s="262" t="s">
        <v>138</v>
      </c>
      <c r="D19" s="291"/>
      <c r="E19" s="304">
        <v>25</v>
      </c>
      <c r="F19" s="304">
        <v>25</v>
      </c>
      <c r="G19" s="304"/>
      <c r="H19" s="304"/>
      <c r="I19" s="304"/>
      <c r="J19" s="304"/>
      <c r="K19" s="304"/>
      <c r="L19" s="304"/>
      <c r="M19" s="304"/>
      <c r="N19" s="304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6">
        <v>0.02</v>
      </c>
      <c r="B20" s="291" t="s">
        <v>226</v>
      </c>
      <c r="C20" s="262" t="s">
        <v>138</v>
      </c>
      <c r="D20" s="291"/>
      <c r="E20" s="304">
        <f>$A$20*E4</f>
        <v>14.635418167090528</v>
      </c>
      <c r="F20" s="304">
        <f t="shared" ref="F20:N20" si="11">$A$20*F4</f>
        <v>15.200127596564155</v>
      </c>
      <c r="G20" s="304">
        <f t="shared" si="11"/>
        <v>15.735026753947343</v>
      </c>
      <c r="H20" s="304">
        <f t="shared" si="11"/>
        <v>16.243991553534258</v>
      </c>
      <c r="I20" s="304">
        <f t="shared" si="11"/>
        <v>16.730139380852545</v>
      </c>
      <c r="J20" s="304">
        <f t="shared" si="11"/>
        <v>17.196020424322864</v>
      </c>
      <c r="K20" s="304">
        <f t="shared" si="11"/>
        <v>17.643751337477621</v>
      </c>
      <c r="L20" s="304">
        <f t="shared" si="11"/>
        <v>18.075111102395056</v>
      </c>
      <c r="M20" s="304">
        <f t="shared" si="11"/>
        <v>18.491611359912415</v>
      </c>
      <c r="N20" s="304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6"/>
      <c r="B21" s="291"/>
      <c r="C21" s="262" t="s">
        <v>138</v>
      </c>
      <c r="D21" s="291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6"/>
      <c r="B22" s="291"/>
      <c r="C22" s="262" t="s">
        <v>138</v>
      </c>
      <c r="D22" s="291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6"/>
      <c r="B23" s="291"/>
      <c r="C23" s="262" t="s">
        <v>138</v>
      </c>
      <c r="D23" s="291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6"/>
      <c r="B24" s="291"/>
      <c r="C24" s="262" t="s">
        <v>138</v>
      </c>
      <c r="D24" s="291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6"/>
      <c r="B25" s="291"/>
      <c r="C25" s="262" t="s">
        <v>138</v>
      </c>
      <c r="D25" s="291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6"/>
      <c r="B26" s="291"/>
      <c r="C26" s="262" t="s">
        <v>138</v>
      </c>
      <c r="D26" s="291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6"/>
      <c r="B27" s="291"/>
      <c r="C27" s="262" t="s">
        <v>138</v>
      </c>
      <c r="D27" s="291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6"/>
      <c r="B28" s="291"/>
      <c r="C28" s="262" t="s">
        <v>138</v>
      </c>
      <c r="D28" s="291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6"/>
      <c r="B29" s="291"/>
      <c r="C29" s="262" t="s">
        <v>138</v>
      </c>
      <c r="D29" s="291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6"/>
      <c r="B30" s="291"/>
      <c r="C30" s="262" t="s">
        <v>138</v>
      </c>
      <c r="D30" s="291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6"/>
      <c r="B31" s="291"/>
      <c r="C31" s="262" t="s">
        <v>138</v>
      </c>
      <c r="D31" s="291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6"/>
      <c r="B32" s="291"/>
      <c r="C32" s="262" t="s">
        <v>138</v>
      </c>
      <c r="D32" s="291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7"/>
      <c r="B33" s="293"/>
      <c r="C33" s="262" t="s">
        <v>138</v>
      </c>
      <c r="D33" s="293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80" t="s">
        <v>54</v>
      </c>
      <c r="D34" s="282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9" t="s">
        <v>54</v>
      </c>
      <c r="D35" s="281"/>
      <c r="E35" s="344">
        <v>35.880000000000003</v>
      </c>
      <c r="F35" s="344">
        <v>58.7</v>
      </c>
      <c r="G35" s="344">
        <v>48.95</v>
      </c>
      <c r="H35" s="344">
        <v>38.39</v>
      </c>
      <c r="I35" s="344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5">
        <v>0</v>
      </c>
      <c r="W35" s="235">
        <v>0</v>
      </c>
      <c r="X35" s="235">
        <v>0</v>
      </c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</row>
    <row r="36" spans="1:104" ht="15" thickTop="1" x14ac:dyDescent="0.3">
      <c r="A36" s="166">
        <v>0.2</v>
      </c>
      <c r="B36" s="55" t="s">
        <v>166</v>
      </c>
      <c r="C36" s="283" t="s">
        <v>138</v>
      </c>
      <c r="D36" s="286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223</v>
      </c>
      <c r="C37" s="283" t="s">
        <v>138</v>
      </c>
      <c r="D37" s="286">
        <v>65</v>
      </c>
      <c r="E37" s="310">
        <v>13</v>
      </c>
      <c r="F37" s="310">
        <v>13</v>
      </c>
      <c r="G37" s="310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198</v>
      </c>
      <c r="C38" s="283" t="s">
        <v>138</v>
      </c>
      <c r="D38" s="286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200</v>
      </c>
      <c r="C39" s="283" t="s">
        <v>138</v>
      </c>
      <c r="D39" s="286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201</v>
      </c>
      <c r="C40" s="283" t="s">
        <v>54</v>
      </c>
      <c r="D40" s="286">
        <v>25</v>
      </c>
      <c r="E40" s="176">
        <v>0</v>
      </c>
      <c r="F40" s="176">
        <v>0</v>
      </c>
      <c r="G40" s="176">
        <v>0</v>
      </c>
      <c r="H40" s="176">
        <v>0</v>
      </c>
      <c r="I40" s="31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225</v>
      </c>
      <c r="C41" s="283" t="s">
        <v>138</v>
      </c>
      <c r="D41" s="286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224</v>
      </c>
      <c r="C42" s="309" t="s">
        <v>138</v>
      </c>
      <c r="D42" s="287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0" t="s">
        <v>167</v>
      </c>
      <c r="C43" s="163"/>
      <c r="D43" s="294">
        <v>810</v>
      </c>
      <c r="E43" s="294">
        <f>E9-SUM(E10:E42)</f>
        <v>44.521575861457393</v>
      </c>
      <c r="F43" s="294">
        <f>F9-SUM(F10:F42)</f>
        <v>23.435830861122724</v>
      </c>
      <c r="G43" s="294">
        <f t="shared" ref="G43:U43" si="13">G9-SUM(G10:G42)</f>
        <v>59.074576189473078</v>
      </c>
      <c r="H43" s="294">
        <f>H9-SUM(H10:H42)</f>
        <v>29.745422889250733</v>
      </c>
      <c r="I43" s="294">
        <f t="shared" si="13"/>
        <v>38.006047866026051</v>
      </c>
      <c r="J43" s="294">
        <f t="shared" si="13"/>
        <v>202.37872295735818</v>
      </c>
      <c r="K43" s="294">
        <f t="shared" si="13"/>
        <v>208.07337718465118</v>
      </c>
      <c r="L43" s="294">
        <f t="shared" si="13"/>
        <v>233.09969865504422</v>
      </c>
      <c r="M43" s="294">
        <f t="shared" si="13"/>
        <v>235.76858530474959</v>
      </c>
      <c r="N43" s="294">
        <f t="shared" si="13"/>
        <v>232.20313944040547</v>
      </c>
      <c r="O43" s="294">
        <f t="shared" si="13"/>
        <v>0</v>
      </c>
      <c r="P43" s="294">
        <f t="shared" si="13"/>
        <v>0</v>
      </c>
      <c r="Q43" s="294">
        <f t="shared" si="13"/>
        <v>0</v>
      </c>
      <c r="R43" s="294">
        <f t="shared" si="13"/>
        <v>0</v>
      </c>
      <c r="S43" s="294">
        <f t="shared" si="13"/>
        <v>0</v>
      </c>
      <c r="T43" s="294">
        <f t="shared" si="13"/>
        <v>0</v>
      </c>
      <c r="U43" s="294">
        <f t="shared" si="13"/>
        <v>0</v>
      </c>
    </row>
    <row r="44" spans="1:104" x14ac:dyDescent="0.3">
      <c r="A44" s="55"/>
      <c r="B44" s="289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54" t="s">
        <v>169</v>
      </c>
      <c r="B45" s="355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4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0" t="s">
        <v>174</v>
      </c>
      <c r="C49" s="163"/>
      <c r="D49" s="163"/>
      <c r="E49" s="294">
        <f>E43-E47-E46</f>
        <v>33.391181896093059</v>
      </c>
      <c r="F49" s="294">
        <f>F43-F47-F46</f>
        <v>17.576873145842029</v>
      </c>
      <c r="G49" s="294">
        <f>G43-G47-G46</f>
        <v>9.9672845550450759</v>
      </c>
      <c r="H49" s="294">
        <f t="shared" ref="H49:N49" si="16">H43-H47-H46</f>
        <v>-20.39278532648909</v>
      </c>
      <c r="I49" s="294">
        <f>I43-I47-I46</f>
        <v>-14.854259823985906</v>
      </c>
      <c r="J49" s="294">
        <f t="shared" si="16"/>
        <v>105.45964545672835</v>
      </c>
      <c r="K49" s="294">
        <f t="shared" si="16"/>
        <v>109.2516438680326</v>
      </c>
      <c r="L49" s="294">
        <f t="shared" si="16"/>
        <v>125.22572082866154</v>
      </c>
      <c r="M49" s="294">
        <f t="shared" si="16"/>
        <v>126.91299301820956</v>
      </c>
      <c r="N49" s="294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8"/>
      <c r="B52" s="290" t="s">
        <v>173</v>
      </c>
      <c r="C52" s="290"/>
      <c r="D52" s="302">
        <f>I2*-1</f>
        <v>-835</v>
      </c>
      <c r="E52" s="303">
        <f>E51*((1+$K$2)^(-E53))</f>
        <v>164.17660101130403</v>
      </c>
      <c r="F52" s="303">
        <f t="shared" ref="F52:N52" si="19">F51*((1+$K$2)^(-F53))</f>
        <v>134.30114149829208</v>
      </c>
      <c r="G52" s="303">
        <f t="shared" si="19"/>
        <v>114.77032325705669</v>
      </c>
      <c r="H52" s="303">
        <f t="shared" si="19"/>
        <v>83.245433715206346</v>
      </c>
      <c r="I52" s="303">
        <f t="shared" si="19"/>
        <v>77.708122253979425</v>
      </c>
      <c r="J52" s="303">
        <f t="shared" si="19"/>
        <v>60.462423360053741</v>
      </c>
      <c r="K52" s="303">
        <f t="shared" si="19"/>
        <v>55.874970937521823</v>
      </c>
      <c r="L52" s="303">
        <f t="shared" si="19"/>
        <v>56.610632402609838</v>
      </c>
      <c r="M52" s="303">
        <f t="shared" si="19"/>
        <v>51.302457012182167</v>
      </c>
      <c r="N52" s="303">
        <f t="shared" si="19"/>
        <v>44.965799602166612</v>
      </c>
      <c r="O52" s="303">
        <f t="shared" ref="O52" si="20">O51*((1+$K$2)^(-O53))</f>
        <v>0</v>
      </c>
      <c r="P52" s="303">
        <f t="shared" ref="P52" si="21">P51*((1+$K$2)^(-P53))</f>
        <v>0</v>
      </c>
      <c r="Q52" s="303">
        <f t="shared" ref="Q52" si="22">Q51*((1+$K$2)^(-Q53))</f>
        <v>0</v>
      </c>
      <c r="R52" s="303">
        <f t="shared" ref="R52" si="23">R51*((1+$K$2)^(-R53))</f>
        <v>0</v>
      </c>
      <c r="S52" s="303">
        <f t="shared" ref="S52" si="24">S51*((1+$K$2)^(-S53))</f>
        <v>0</v>
      </c>
      <c r="T52" s="303">
        <f t="shared" ref="T52" si="25">T51*((1+$K$2)^(-T53))</f>
        <v>0</v>
      </c>
      <c r="U52" s="303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>0.12*E4</f>
        <v>87.812509002543152</v>
      </c>
      <c r="F56" s="180">
        <f t="shared" ref="F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G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56" t="s">
        <v>181</v>
      </c>
      <c r="C58" s="356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4">
        <f>D56-D57-D58</f>
        <v>-97.2</v>
      </c>
      <c r="E59" s="294">
        <f>E56-E57-E58</f>
        <v>-55.294056218213434</v>
      </c>
      <c r="F59" s="294">
        <f t="shared" ref="F59:U59" si="31">F56-F57-F58</f>
        <v>-12.4084080293974</v>
      </c>
      <c r="G59" s="294">
        <f t="shared" si="31"/>
        <v>34.338647587059732</v>
      </c>
      <c r="H59" s="294">
        <f t="shared" si="31"/>
        <v>42.701852493427154</v>
      </c>
      <c r="I59" s="294">
        <f t="shared" si="31"/>
        <v>43.358795723505445</v>
      </c>
      <c r="J59" s="294">
        <f t="shared" si="31"/>
        <v>46.324396761290288</v>
      </c>
      <c r="K59" s="294">
        <f t="shared" si="31"/>
        <v>46.803389020455796</v>
      </c>
      <c r="L59" s="294">
        <f t="shared" si="31"/>
        <v>49.59905316262163</v>
      </c>
      <c r="M59" s="294">
        <f t="shared" si="31"/>
        <v>49.913445960352654</v>
      </c>
      <c r="N59" s="294">
        <f t="shared" si="31"/>
        <v>50.147561667645782</v>
      </c>
      <c r="O59" s="294">
        <f t="shared" si="31"/>
        <v>0</v>
      </c>
      <c r="P59" s="294">
        <f t="shared" si="31"/>
        <v>0</v>
      </c>
      <c r="Q59" s="294">
        <f t="shared" si="31"/>
        <v>0</v>
      </c>
      <c r="R59" s="294">
        <f t="shared" si="31"/>
        <v>0</v>
      </c>
      <c r="S59" s="294">
        <f t="shared" si="31"/>
        <v>0</v>
      </c>
      <c r="T59" s="294">
        <f t="shared" si="31"/>
        <v>0</v>
      </c>
      <c r="U59" s="294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>E4</f>
        <v>731.77090835452634</v>
      </c>
      <c r="F62" s="180">
        <f t="shared" ref="F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56" t="s">
        <v>185</v>
      </c>
      <c r="C63" s="356"/>
      <c r="D63" s="55" t="s">
        <v>190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4">
        <f>E62-E63</f>
        <v>44.521575861457336</v>
      </c>
      <c r="F64" s="294">
        <f t="shared" ref="F64:N64" si="35">F62-F63</f>
        <v>23.435830861122781</v>
      </c>
      <c r="G64" s="294">
        <f t="shared" si="35"/>
        <v>59.074576189473078</v>
      </c>
      <c r="H64" s="294">
        <f t="shared" si="35"/>
        <v>29.745422889250676</v>
      </c>
      <c r="I64" s="294">
        <f t="shared" si="35"/>
        <v>38.006047866026051</v>
      </c>
      <c r="J64" s="294">
        <f t="shared" si="35"/>
        <v>202.37872295735815</v>
      </c>
      <c r="K64" s="294">
        <f t="shared" si="35"/>
        <v>208.07337718465112</v>
      </c>
      <c r="L64" s="294">
        <f t="shared" si="35"/>
        <v>233.09969865504422</v>
      </c>
      <c r="M64" s="294">
        <f t="shared" si="35"/>
        <v>235.76858530474954</v>
      </c>
      <c r="N64" s="294">
        <f t="shared" si="35"/>
        <v>232.20313944040549</v>
      </c>
      <c r="O64" s="294">
        <f t="shared" ref="O64" si="36">O62-O63</f>
        <v>0</v>
      </c>
      <c r="P64" s="294">
        <f t="shared" ref="P64" si="37">P62-P63</f>
        <v>0</v>
      </c>
      <c r="Q64" s="294" t="e">
        <f t="shared" ref="Q64" si="38">Q62-Q63</f>
        <v>#VALUE!</v>
      </c>
      <c r="R64" s="294">
        <f t="shared" ref="R64" si="39">R62-R63</f>
        <v>0</v>
      </c>
      <c r="S64" s="294">
        <f t="shared" ref="S64" si="40">S62-S63</f>
        <v>0</v>
      </c>
      <c r="T64" s="294">
        <f t="shared" ref="T64" si="41">T62-T63</f>
        <v>0</v>
      </c>
      <c r="U64" s="294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6">
        <f>E64/E62</f>
        <v>6.0840866114190546E-2</v>
      </c>
      <c r="F65" s="296">
        <f t="shared" ref="F65:N65" si="43">F64/F62</f>
        <v>3.0836360697946021E-2</v>
      </c>
      <c r="G65" s="296">
        <f t="shared" si="43"/>
        <v>7.5086718457156004E-2</v>
      </c>
      <c r="H65" s="296">
        <f t="shared" si="43"/>
        <v>3.6623292731002281E-2</v>
      </c>
      <c r="I65" s="296">
        <f t="shared" si="43"/>
        <v>4.5434227415371738E-2</v>
      </c>
      <c r="J65" s="296">
        <f t="shared" si="43"/>
        <v>0.23537855615838199</v>
      </c>
      <c r="K65" s="296">
        <f t="shared" si="43"/>
        <v>0.23586070014790586</v>
      </c>
      <c r="L65" s="296">
        <f t="shared" si="43"/>
        <v>0.25792339237589212</v>
      </c>
      <c r="M65" s="296">
        <f t="shared" si="43"/>
        <v>0.25500058455248242</v>
      </c>
      <c r="N65" s="296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4">
        <f>IF(E66=25%,E64*0.25,E62*0.07)</f>
        <v>11.130393965364334</v>
      </c>
      <c r="F67" s="294">
        <f t="shared" ref="F67:N67" si="45">IF(F66=25%,F64*0.25,F62*0.07)</f>
        <v>5.8589577152806953</v>
      </c>
      <c r="G67" s="294">
        <f t="shared" si="45"/>
        <v>14.768644047368269</v>
      </c>
      <c r="H67" s="294">
        <f t="shared" si="45"/>
        <v>7.4363557223126691</v>
      </c>
      <c r="I67" s="294">
        <f t="shared" si="45"/>
        <v>9.5015119665065129</v>
      </c>
      <c r="J67" s="294">
        <f t="shared" si="45"/>
        <v>50.594680739339537</v>
      </c>
      <c r="K67" s="294">
        <f t="shared" si="45"/>
        <v>52.01834429616278</v>
      </c>
      <c r="L67" s="294">
        <f t="shared" si="45"/>
        <v>58.274924663761055</v>
      </c>
      <c r="M67" s="294">
        <f t="shared" si="45"/>
        <v>58.942146326187384</v>
      </c>
      <c r="N67" s="294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7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8" t="s">
        <v>172</v>
      </c>
      <c r="C70" s="298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topLeftCell="A34" zoomScaleNormal="100" workbookViewId="0">
      <selection activeCell="E42" sqref="E42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7" t="s">
        <v>204</v>
      </c>
      <c r="B1" s="357"/>
      <c r="C1" s="357"/>
      <c r="D1" s="357"/>
    </row>
    <row r="2" spans="1:35" x14ac:dyDescent="0.3">
      <c r="A2" s="357"/>
      <c r="B2" s="357"/>
      <c r="C2" s="357"/>
      <c r="D2" s="357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2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58"/>
      <c r="I10" s="358"/>
      <c r="J10" s="358"/>
      <c r="K10" s="358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/>
      <c r="H11" s="267" t="s">
        <v>161</v>
      </c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42.5</v>
      </c>
      <c r="Q11" s="320">
        <v>41.02</v>
      </c>
      <c r="R11" s="320">
        <v>31.11</v>
      </c>
      <c r="S11" s="320">
        <v>11.34</v>
      </c>
      <c r="T11" s="320">
        <v>1.25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/>
      <c r="H12" s="5" t="s">
        <v>155</v>
      </c>
      <c r="I12" s="274">
        <v>500</v>
      </c>
      <c r="J12" s="321">
        <v>127.21680000000001</v>
      </c>
      <c r="K12" s="323">
        <f>SUM(K13:K322)</f>
        <v>1</v>
      </c>
      <c r="L12" s="325">
        <f>SUM(L13:L629)</f>
        <v>127.21000000000001</v>
      </c>
      <c r="M12" s="193"/>
      <c r="O12" s="318" t="s">
        <v>152</v>
      </c>
      <c r="P12" s="319">
        <v>0</v>
      </c>
      <c r="Q12" s="319">
        <v>38.65</v>
      </c>
      <c r="R12" s="319">
        <v>198.56</v>
      </c>
      <c r="S12" s="319">
        <v>218.35</v>
      </c>
      <c r="T12" s="319">
        <v>44.44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15"/>
      <c r="H13" s="8">
        <v>1</v>
      </c>
      <c r="I13" s="242">
        <v>0</v>
      </c>
      <c r="J13" s="322">
        <v>42.500399999999999</v>
      </c>
      <c r="K13" s="282">
        <v>1</v>
      </c>
      <c r="L13" s="236">
        <v>28.33</v>
      </c>
      <c r="M13" s="193"/>
      <c r="O13" s="311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15"/>
      <c r="H14" s="8">
        <v>2</v>
      </c>
      <c r="I14" s="242">
        <v>38.65</v>
      </c>
      <c r="J14" s="322">
        <v>41.017299999999999</v>
      </c>
      <c r="K14" s="282"/>
      <c r="L14" s="236">
        <v>41.88</v>
      </c>
      <c r="M14" s="193"/>
      <c r="O14" s="326" t="s">
        <v>146</v>
      </c>
      <c r="P14" s="320">
        <v>28.33</v>
      </c>
      <c r="Q14" s="320">
        <v>41.88</v>
      </c>
      <c r="R14" s="320">
        <v>36.64</v>
      </c>
      <c r="S14" s="320">
        <v>17.41</v>
      </c>
      <c r="T14" s="320">
        <v>2.95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15"/>
      <c r="H15" s="8">
        <v>3</v>
      </c>
      <c r="I15" s="242">
        <v>198.56</v>
      </c>
      <c r="J15" s="322">
        <v>31.111699999999999</v>
      </c>
      <c r="K15" s="282"/>
      <c r="L15" s="236">
        <v>36.64</v>
      </c>
      <c r="M15" s="193"/>
      <c r="O15" s="326" t="s">
        <v>152</v>
      </c>
      <c r="P15" s="319">
        <v>1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15"/>
      <c r="H16" s="8">
        <v>4</v>
      </c>
      <c r="I16" s="242">
        <v>218.35</v>
      </c>
      <c r="J16" s="322">
        <v>11.335699999999999</v>
      </c>
      <c r="K16" s="282"/>
      <c r="L16" s="236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15"/>
      <c r="H17" s="8">
        <v>5</v>
      </c>
      <c r="I17" s="242">
        <v>44.44</v>
      </c>
      <c r="J17" s="322">
        <v>1.2517</v>
      </c>
      <c r="K17" s="282"/>
      <c r="L17" s="236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15"/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15"/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15"/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15"/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15"/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076"/>
  <sheetViews>
    <sheetView tabSelected="1" topLeftCell="A9" zoomScaleNormal="100" workbookViewId="0">
      <selection activeCell="H24" sqref="H2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7" t="s">
        <v>139</v>
      </c>
      <c r="B1" s="357"/>
      <c r="C1" s="357"/>
      <c r="D1" s="357"/>
    </row>
    <row r="2" spans="1:35" ht="15" thickBot="1" x14ac:dyDescent="0.35">
      <c r="A2" s="357"/>
      <c r="B2" s="357"/>
      <c r="C2" s="357"/>
      <c r="D2" s="357"/>
    </row>
    <row r="3" spans="1:35" ht="15" thickBot="1" x14ac:dyDescent="0.35">
      <c r="A3" s="197" t="s">
        <v>47</v>
      </c>
      <c r="B3" s="345">
        <v>500</v>
      </c>
      <c r="C3" s="346" t="s">
        <v>209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  <c r="F4">
        <v>55</v>
      </c>
      <c r="G4" t="s">
        <v>230</v>
      </c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  <c r="F5">
        <v>5</v>
      </c>
      <c r="G5" t="s">
        <v>229</v>
      </c>
    </row>
    <row r="6" spans="1:35" x14ac:dyDescent="0.3">
      <c r="A6" s="198" t="s">
        <v>141</v>
      </c>
      <c r="B6" s="26">
        <v>1</v>
      </c>
      <c r="C6" s="226" t="s">
        <v>143</v>
      </c>
      <c r="D6" s="221">
        <f>(B3*(((1+(B7/B6))^(B6/B4))-1))/(1-((1+(B7/B6))^(-B6*B5)))</f>
        <v>6.557610847157318</v>
      </c>
      <c r="F6">
        <v>8</v>
      </c>
      <c r="G6" t="s">
        <v>228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(1+(B7/B6))^((B6/B4))-1</f>
        <v>6.8214933659622723E-3</v>
      </c>
      <c r="F7" s="229">
        <v>27.29</v>
      </c>
      <c r="G7" s="243" t="s">
        <v>231</v>
      </c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  <c r="F8">
        <v>47</v>
      </c>
      <c r="G8" t="s">
        <v>232</v>
      </c>
      <c r="H8" s="243"/>
    </row>
    <row r="9" spans="1:35" x14ac:dyDescent="0.3">
      <c r="B9" s="8"/>
      <c r="F9">
        <v>4</v>
      </c>
      <c r="G9" t="s">
        <v>233</v>
      </c>
      <c r="I9" s="229"/>
    </row>
    <row r="10" spans="1:35" x14ac:dyDescent="0.3">
      <c r="H10" s="358"/>
      <c r="I10" s="358"/>
      <c r="J10" s="358"/>
      <c r="K10" s="358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 t="s">
        <v>205</v>
      </c>
      <c r="H11" s="267"/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40.93</v>
      </c>
      <c r="Q11" s="320">
        <v>39.479999999999997</v>
      </c>
      <c r="R11" s="320">
        <v>29.9</v>
      </c>
      <c r="S11" s="320">
        <v>10.86</v>
      </c>
      <c r="T11" s="320">
        <v>1.2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 t="s">
        <v>206</v>
      </c>
      <c r="H12" s="5" t="s">
        <v>155</v>
      </c>
      <c r="I12" s="274">
        <v>500</v>
      </c>
      <c r="J12" s="321">
        <v>122.3753</v>
      </c>
      <c r="K12" s="323">
        <f>SUM(K13:K322)</f>
        <v>0</v>
      </c>
      <c r="L12" s="325">
        <f>SUM(L13:L629)</f>
        <v>0</v>
      </c>
      <c r="M12" s="193"/>
      <c r="O12" s="318" t="s">
        <v>152</v>
      </c>
      <c r="P12" s="319">
        <v>0</v>
      </c>
      <c r="Q12" s="319">
        <v>39.22</v>
      </c>
      <c r="R12" s="319">
        <v>198.78</v>
      </c>
      <c r="S12" s="319">
        <v>217.84</v>
      </c>
      <c r="T12" s="319">
        <v>44.16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6.56</v>
      </c>
      <c r="C13" s="193">
        <v>3.4107466829811361</v>
      </c>
      <c r="D13" s="215">
        <v>0</v>
      </c>
      <c r="E13" s="205">
        <v>0</v>
      </c>
      <c r="F13" s="214">
        <v>500</v>
      </c>
      <c r="G13" s="315" t="s">
        <v>207</v>
      </c>
      <c r="H13" s="8">
        <v>1</v>
      </c>
      <c r="I13" s="242">
        <v>0</v>
      </c>
      <c r="J13" s="322">
        <v>40.928400000000003</v>
      </c>
      <c r="K13" s="282"/>
      <c r="L13" s="236"/>
      <c r="M13" s="193"/>
      <c r="O13" s="311"/>
    </row>
    <row r="14" spans="1:35" x14ac:dyDescent="0.3">
      <c r="A14" s="209">
        <v>2</v>
      </c>
      <c r="B14" s="213">
        <v>6.56</v>
      </c>
      <c r="C14" s="193">
        <v>3.4107466829811361</v>
      </c>
      <c r="D14" s="215">
        <v>0</v>
      </c>
      <c r="E14" s="205">
        <v>0</v>
      </c>
      <c r="F14" s="214">
        <v>500</v>
      </c>
      <c r="G14" s="315" t="s">
        <v>208</v>
      </c>
      <c r="H14" s="8">
        <v>2</v>
      </c>
      <c r="I14" s="242">
        <v>39.22</v>
      </c>
      <c r="J14" s="322">
        <v>39.478999999999999</v>
      </c>
      <c r="K14" s="282"/>
      <c r="L14" s="236"/>
      <c r="M14" s="193"/>
      <c r="O14" s="326" t="s">
        <v>146</v>
      </c>
      <c r="P14" s="320"/>
      <c r="Q14" s="320"/>
      <c r="R14" s="319"/>
      <c r="S14" s="319"/>
      <c r="T14" s="319"/>
      <c r="U14" s="319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6.56</v>
      </c>
      <c r="C15" s="193">
        <v>3.4107466829811361</v>
      </c>
      <c r="D15" s="215">
        <v>0</v>
      </c>
      <c r="E15" s="205">
        <v>0</v>
      </c>
      <c r="F15" s="214">
        <v>500</v>
      </c>
      <c r="G15" s="315" t="s">
        <v>209</v>
      </c>
      <c r="H15" s="8">
        <v>3</v>
      </c>
      <c r="I15" s="242">
        <v>198.78</v>
      </c>
      <c r="J15" s="322">
        <v>29.901399999999999</v>
      </c>
      <c r="K15" s="282"/>
      <c r="L15" s="236"/>
      <c r="M15" s="193"/>
      <c r="O15" s="326" t="s">
        <v>152</v>
      </c>
      <c r="P15" s="319">
        <v>0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6.56</v>
      </c>
      <c r="C16" s="193">
        <v>3.4107466829811361</v>
      </c>
      <c r="D16" s="215">
        <v>0</v>
      </c>
      <c r="E16" s="205">
        <v>0</v>
      </c>
      <c r="F16" s="214">
        <v>500</v>
      </c>
      <c r="G16" s="315" t="s">
        <v>210</v>
      </c>
      <c r="H16" s="8">
        <v>4</v>
      </c>
      <c r="I16" s="242">
        <v>217.84</v>
      </c>
      <c r="J16" s="322">
        <v>10.864599999999999</v>
      </c>
      <c r="K16" s="282"/>
      <c r="L16" s="236"/>
      <c r="M16" s="193"/>
    </row>
    <row r="17" spans="1:13" x14ac:dyDescent="0.3">
      <c r="A17" s="209">
        <v>5</v>
      </c>
      <c r="B17" s="213">
        <v>6.56</v>
      </c>
      <c r="C17" s="193">
        <v>3.4107466829811361</v>
      </c>
      <c r="D17" s="215">
        <v>0</v>
      </c>
      <c r="E17" s="205">
        <v>0</v>
      </c>
      <c r="F17" s="214">
        <v>500</v>
      </c>
      <c r="G17" s="315" t="s">
        <v>211</v>
      </c>
      <c r="H17" s="8">
        <v>5</v>
      </c>
      <c r="I17" s="242">
        <v>44.16</v>
      </c>
      <c r="J17" s="322">
        <v>1.2019</v>
      </c>
      <c r="K17" s="282"/>
      <c r="L17" s="236"/>
      <c r="M17" s="193"/>
    </row>
    <row r="18" spans="1:13" x14ac:dyDescent="0.3">
      <c r="A18" s="209">
        <v>6</v>
      </c>
      <c r="B18" s="213">
        <v>6.56</v>
      </c>
      <c r="C18" s="193">
        <v>3.4107466829811361</v>
      </c>
      <c r="D18" s="215">
        <v>0</v>
      </c>
      <c r="E18" s="205">
        <v>0</v>
      </c>
      <c r="F18" s="214">
        <v>500</v>
      </c>
      <c r="G18" s="315" t="s">
        <v>212</v>
      </c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6.56</v>
      </c>
      <c r="C19" s="193">
        <v>3.4107466829811361</v>
      </c>
      <c r="D19" s="215">
        <v>0</v>
      </c>
      <c r="E19" s="205">
        <v>0</v>
      </c>
      <c r="F19" s="214">
        <v>500</v>
      </c>
      <c r="G19" s="315" t="s">
        <v>227</v>
      </c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6.56</v>
      </c>
      <c r="C20" s="193">
        <v>3.4107466829811361</v>
      </c>
      <c r="D20" s="215">
        <v>0</v>
      </c>
      <c r="E20" s="205">
        <v>0</v>
      </c>
      <c r="F20" s="214">
        <v>500</v>
      </c>
      <c r="G20" s="315" t="s">
        <v>214</v>
      </c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6.56</v>
      </c>
      <c r="C21" s="193">
        <v>3.4107466829811361</v>
      </c>
      <c r="D21" s="215">
        <v>0</v>
      </c>
      <c r="E21" s="205">
        <v>0</v>
      </c>
      <c r="F21" s="214">
        <v>500</v>
      </c>
      <c r="G21" s="315" t="s">
        <v>215</v>
      </c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6.56</v>
      </c>
      <c r="C22" s="193">
        <v>3.4107466829811361</v>
      </c>
      <c r="D22" s="215">
        <v>0</v>
      </c>
      <c r="E22" s="205">
        <v>0</v>
      </c>
      <c r="F22" s="214">
        <v>500</v>
      </c>
      <c r="G22" s="315" t="s">
        <v>216</v>
      </c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6.56</v>
      </c>
      <c r="C23" s="193">
        <v>3.4107466829811361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6.56</v>
      </c>
      <c r="C24" s="193">
        <v>3.4107466829811361</v>
      </c>
      <c r="D24" s="215">
        <v>0</v>
      </c>
      <c r="E24" s="205">
        <v>0</v>
      </c>
      <c r="F24" s="214">
        <v>500</v>
      </c>
      <c r="G24" s="243">
        <f>SUM(C13:C20)</f>
        <v>27.285973463849082</v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6.56</v>
      </c>
      <c r="C25" s="193">
        <v>3.4107466829811361</v>
      </c>
      <c r="D25" s="215">
        <v>3.15</v>
      </c>
      <c r="E25" s="205">
        <v>0</v>
      </c>
      <c r="F25" s="214">
        <v>496.85</v>
      </c>
      <c r="G25" s="243">
        <f>SUM(C21:C32)</f>
        <v>40.319459763524904</v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6.56</v>
      </c>
      <c r="C26" s="193">
        <v>3.3892589788783551</v>
      </c>
      <c r="D26" s="215">
        <v>3.17</v>
      </c>
      <c r="E26" s="205">
        <v>0</v>
      </c>
      <c r="F26" s="214">
        <v>493.68</v>
      </c>
      <c r="G26" t="str">
        <f>IF($B$5="","",IF(ROW(A16)&gt;$B$5+$B$8,"",ROW(A16)))</f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6.56</v>
      </c>
      <c r="C27" s="193">
        <v>3.3676348449082547</v>
      </c>
      <c r="D27" s="215">
        <v>3.19</v>
      </c>
      <c r="E27" s="205">
        <v>0</v>
      </c>
      <c r="F27" s="214">
        <v>490.49</v>
      </c>
      <c r="G27" t="str">
        <f t="shared" ref="G24:G32" si="0">IF($B$5="","",IF(ROW(A17)&gt;$B$5+$B$8,"",ROW(A17)))</f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6.56</v>
      </c>
      <c r="C28" s="193">
        <v>3.3458742810708348</v>
      </c>
      <c r="D28" s="215">
        <v>3.21</v>
      </c>
      <c r="E28" s="205">
        <v>0</v>
      </c>
      <c r="F28" s="214">
        <v>487.28000000000003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6.56</v>
      </c>
      <c r="C29" s="193">
        <v>3.3239772873660964</v>
      </c>
      <c r="D29" s="215">
        <v>3.23</v>
      </c>
      <c r="E29" s="205">
        <v>0</v>
      </c>
      <c r="F29" s="214">
        <v>484.04999999999995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6.56</v>
      </c>
      <c r="C30" s="193">
        <v>3.3019438637940377</v>
      </c>
      <c r="D30" s="215">
        <v>3.26</v>
      </c>
      <c r="E30" s="205">
        <v>0</v>
      </c>
      <c r="F30" s="214">
        <v>480.79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6.56</v>
      </c>
      <c r="C31" s="193">
        <v>3.2797057954210009</v>
      </c>
      <c r="D31" s="215">
        <v>3.28</v>
      </c>
      <c r="E31" s="205">
        <v>0</v>
      </c>
      <c r="F31" s="214">
        <v>477.51000000000005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6.56</v>
      </c>
      <c r="C32" s="193">
        <v>3.2573312971806452</v>
      </c>
      <c r="D32" s="215">
        <v>3.3</v>
      </c>
      <c r="E32" s="205">
        <v>0</v>
      </c>
      <c r="F32" s="214">
        <v>474.21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6.56</v>
      </c>
      <c r="C33" s="193">
        <v>3.2348203690729691</v>
      </c>
      <c r="D33" s="215">
        <v>3.32</v>
      </c>
      <c r="E33" s="205">
        <v>0</v>
      </c>
      <c r="F33" s="214">
        <v>470.89</v>
      </c>
      <c r="G33" t="str">
        <f t="shared" ref="G33:G75" si="1">IF($B$5="","",IF(ROW(A23)&gt;$B$5+$B$8,"",ROW(A23)))</f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6.56</v>
      </c>
      <c r="C34" s="193">
        <v>3.2121730110979745</v>
      </c>
      <c r="D34" s="215">
        <v>3.35</v>
      </c>
      <c r="E34" s="205">
        <v>0</v>
      </c>
      <c r="F34" s="214">
        <v>467.53999999999996</v>
      </c>
      <c r="G34" t="str">
        <f t="shared" si="1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6.56</v>
      </c>
      <c r="C35" s="193">
        <v>3.1893210083220005</v>
      </c>
      <c r="D35" s="215">
        <v>3.37</v>
      </c>
      <c r="E35" s="205">
        <v>0</v>
      </c>
      <c r="F35" s="214">
        <v>464.17</v>
      </c>
      <c r="G35" t="str">
        <f t="shared" si="1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6.56</v>
      </c>
      <c r="C36" s="193">
        <v>3.166332575678708</v>
      </c>
      <c r="D36" s="215">
        <v>3.39</v>
      </c>
      <c r="E36" s="205">
        <v>0</v>
      </c>
      <c r="F36" s="214">
        <v>460.78000000000003</v>
      </c>
      <c r="G36" t="str">
        <f t="shared" si="1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6.56</v>
      </c>
      <c r="C37" s="193">
        <v>3.143207713168096</v>
      </c>
      <c r="D37" s="215">
        <v>3.41</v>
      </c>
      <c r="E37" s="205">
        <v>0</v>
      </c>
      <c r="F37" s="214">
        <v>457.36999999999995</v>
      </c>
      <c r="G37" t="str">
        <f t="shared" si="1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6.56</v>
      </c>
      <c r="C38" s="193">
        <v>3.1199464207901642</v>
      </c>
      <c r="D38" s="215">
        <v>3.44</v>
      </c>
      <c r="E38" s="205">
        <v>0</v>
      </c>
      <c r="F38" s="214">
        <v>453.93</v>
      </c>
      <c r="G38" t="str">
        <f t="shared" si="1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6.56</v>
      </c>
      <c r="C39" s="193">
        <v>3.0964804836112543</v>
      </c>
      <c r="D39" s="215">
        <v>3.46</v>
      </c>
      <c r="E39" s="205">
        <v>0</v>
      </c>
      <c r="F39" s="214">
        <v>450.47</v>
      </c>
      <c r="G39" t="str">
        <f t="shared" si="1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6.56</v>
      </c>
      <c r="C40" s="193">
        <v>3.072878116565025</v>
      </c>
      <c r="D40" s="215">
        <v>3.48</v>
      </c>
      <c r="E40" s="205">
        <v>0</v>
      </c>
      <c r="F40" s="214">
        <v>446.99</v>
      </c>
      <c r="G40" t="str">
        <f t="shared" si="1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6.56</v>
      </c>
      <c r="C41" s="193">
        <v>3.0491393196514762</v>
      </c>
      <c r="D41" s="215">
        <v>3.51</v>
      </c>
      <c r="E41" s="205">
        <v>0</v>
      </c>
      <c r="F41" s="214">
        <v>443.48</v>
      </c>
      <c r="G41" t="str">
        <f t="shared" si="1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6.56</v>
      </c>
      <c r="C42" s="193">
        <v>3.0251958779369486</v>
      </c>
      <c r="D42" s="215">
        <v>3.53</v>
      </c>
      <c r="E42" s="205">
        <v>150</v>
      </c>
      <c r="F42" s="214">
        <v>289.95</v>
      </c>
      <c r="G42" t="str">
        <f t="shared" si="1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6.56</v>
      </c>
      <c r="C43" s="193">
        <v>1.9778756298766826</v>
      </c>
      <c r="D43" s="215">
        <v>4.58</v>
      </c>
      <c r="E43" s="205">
        <v>0</v>
      </c>
      <c r="F43" s="214">
        <v>285.37</v>
      </c>
      <c r="G43" t="str">
        <f t="shared" si="1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6.56</v>
      </c>
      <c r="C44" s="193">
        <v>1.9466495618446538</v>
      </c>
      <c r="D44" s="215">
        <v>4.6100000000000003</v>
      </c>
      <c r="E44" s="205">
        <v>0</v>
      </c>
      <c r="F44" s="214">
        <v>280.76</v>
      </c>
      <c r="G44" t="str">
        <f t="shared" si="1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6.56</v>
      </c>
      <c r="C45" s="193">
        <v>1.9152024774275676</v>
      </c>
      <c r="D45" s="215">
        <v>4.6399999999999997</v>
      </c>
      <c r="E45" s="205">
        <v>0</v>
      </c>
      <c r="F45" s="214">
        <v>276.12</v>
      </c>
      <c r="G45" t="str">
        <f t="shared" si="1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6.56</v>
      </c>
      <c r="C46" s="193">
        <v>1.8835507482095026</v>
      </c>
      <c r="D46" s="215">
        <v>4.67</v>
      </c>
      <c r="E46" s="205">
        <v>0</v>
      </c>
      <c r="F46" s="214">
        <v>271.45</v>
      </c>
      <c r="G46" t="str">
        <f t="shared" si="1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6.56</v>
      </c>
      <c r="C47" s="193">
        <v>1.8516943741904588</v>
      </c>
      <c r="D47" s="215">
        <v>4.71</v>
      </c>
      <c r="E47" s="205">
        <v>0</v>
      </c>
      <c r="F47" s="214">
        <v>266.74</v>
      </c>
      <c r="G47" t="str">
        <f t="shared" si="1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6.56</v>
      </c>
      <c r="C48" s="193">
        <v>1.8195651404367765</v>
      </c>
      <c r="D48" s="215">
        <v>4.74</v>
      </c>
      <c r="E48" s="205">
        <v>0</v>
      </c>
      <c r="F48" s="214">
        <v>262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6.56</v>
      </c>
      <c r="C49" s="193">
        <v>1.7872312618821153</v>
      </c>
      <c r="D49" s="215">
        <v>4.7699999999999996</v>
      </c>
      <c r="E49" s="205">
        <v>0</v>
      </c>
      <c r="F49" s="214">
        <v>257.23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6.56</v>
      </c>
      <c r="C50" s="193">
        <v>1.7546927385264754</v>
      </c>
      <c r="D50" s="215">
        <v>4.8</v>
      </c>
      <c r="E50" s="205">
        <v>0</v>
      </c>
      <c r="F50" s="214">
        <v>252.43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6.56</v>
      </c>
      <c r="C51" s="193">
        <v>1.7219495703698564</v>
      </c>
      <c r="D51" s="215">
        <v>4.84</v>
      </c>
      <c r="E51" s="205">
        <v>0</v>
      </c>
      <c r="F51" s="214">
        <v>247.59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6.56</v>
      </c>
      <c r="C52" s="193">
        <v>1.6889335424785989</v>
      </c>
      <c r="D52" s="215">
        <v>4.87</v>
      </c>
      <c r="E52" s="205">
        <v>150</v>
      </c>
      <c r="F52" s="214">
        <v>92.72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6.56</v>
      </c>
      <c r="C53" s="213">
        <v>0.63249773283339761</v>
      </c>
      <c r="D53" s="215">
        <v>5.93</v>
      </c>
      <c r="E53" s="205">
        <v>0</v>
      </c>
      <c r="F53" s="214">
        <v>86.789999999999992</v>
      </c>
      <c r="G53" t="str">
        <f t="shared" si="1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6.56</v>
      </c>
      <c r="C54" s="213">
        <v>0.59203740923186554</v>
      </c>
      <c r="D54" s="215">
        <v>5.97</v>
      </c>
      <c r="E54" s="205">
        <v>0</v>
      </c>
      <c r="F54" s="214">
        <v>80.820000000000007</v>
      </c>
      <c r="G54" t="str">
        <f t="shared" si="1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6.56</v>
      </c>
      <c r="C55" s="213">
        <v>0.55131309383707094</v>
      </c>
      <c r="D55" s="215">
        <v>6.01</v>
      </c>
      <c r="E55" s="205">
        <v>0</v>
      </c>
      <c r="F55" s="214">
        <v>74.809999999999988</v>
      </c>
      <c r="G55" t="str">
        <f t="shared" si="1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6.56</v>
      </c>
      <c r="C56" s="193">
        <v>0.51031591870763748</v>
      </c>
      <c r="D56" s="215">
        <v>6.05</v>
      </c>
      <c r="E56" s="205">
        <v>0</v>
      </c>
      <c r="F56" s="214">
        <v>68.760000000000005</v>
      </c>
      <c r="G56" t="str">
        <f t="shared" si="1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6.56</v>
      </c>
      <c r="C57" s="193">
        <v>0.46904588384356588</v>
      </c>
      <c r="D57" s="215">
        <v>6.09</v>
      </c>
      <c r="E57" s="205">
        <v>0</v>
      </c>
      <c r="F57" s="214">
        <v>62.67</v>
      </c>
      <c r="G57" t="str">
        <f t="shared" si="1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6.56</v>
      </c>
      <c r="C58" s="193">
        <v>0.42750298924485564</v>
      </c>
      <c r="D58" s="215">
        <v>6.13</v>
      </c>
      <c r="E58" s="205">
        <v>0</v>
      </c>
      <c r="F58" s="214">
        <v>56.54</v>
      </c>
      <c r="G58" t="str">
        <f t="shared" si="1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6.56</v>
      </c>
      <c r="C59" s="193">
        <v>0.38568723491150686</v>
      </c>
      <c r="D59" s="215">
        <v>6.17</v>
      </c>
      <c r="E59" s="205">
        <v>0</v>
      </c>
      <c r="F59" s="214">
        <v>50.37</v>
      </c>
      <c r="G59" t="str">
        <f t="shared" si="1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6.56</v>
      </c>
      <c r="C60" s="193">
        <v>0.34359862084351966</v>
      </c>
      <c r="D60" s="215">
        <v>6.21</v>
      </c>
      <c r="E60" s="205">
        <v>0</v>
      </c>
      <c r="F60" s="214">
        <v>44.16</v>
      </c>
      <c r="G60" t="str">
        <f t="shared" si="1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6.56</v>
      </c>
      <c r="C61" s="193">
        <v>0.30123714704089394</v>
      </c>
      <c r="D61" s="215">
        <v>6.26</v>
      </c>
      <c r="E61" s="205">
        <v>0</v>
      </c>
      <c r="F61" s="214">
        <v>37.9</v>
      </c>
      <c r="G61" t="str">
        <f t="shared" si="1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6.56</v>
      </c>
      <c r="C62" s="193">
        <v>0.25853459856997013</v>
      </c>
      <c r="D62" s="215">
        <v>6.3</v>
      </c>
      <c r="E62" s="205">
        <v>0</v>
      </c>
      <c r="F62" s="214">
        <v>31.599999999999998</v>
      </c>
      <c r="G62" t="str">
        <f t="shared" si="1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6.56</v>
      </c>
      <c r="C63" s="193">
        <v>0.21555919036440779</v>
      </c>
      <c r="D63" s="215">
        <v>6.34</v>
      </c>
      <c r="E63" s="205">
        <v>0</v>
      </c>
      <c r="F63" s="214">
        <v>25.26</v>
      </c>
      <c r="G63" t="str">
        <f t="shared" si="1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6.56</v>
      </c>
      <c r="C64" s="193">
        <v>0.17231092242420701</v>
      </c>
      <c r="D64" s="215">
        <v>6.39</v>
      </c>
      <c r="E64" s="205">
        <v>0</v>
      </c>
      <c r="F64" s="214">
        <v>18.87</v>
      </c>
      <c r="G64" t="str">
        <f t="shared" si="1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6.56</v>
      </c>
      <c r="C65" s="193">
        <v>0.12872157981570809</v>
      </c>
      <c r="D65" s="215">
        <v>6.43</v>
      </c>
      <c r="E65" s="205">
        <v>0</v>
      </c>
      <c r="F65" s="214">
        <v>12.440000000000001</v>
      </c>
      <c r="G65" t="str">
        <f t="shared" si="1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6.56</v>
      </c>
      <c r="C66" s="213">
        <v>8.4859377472570677E-2</v>
      </c>
      <c r="D66" s="215">
        <v>6.47</v>
      </c>
      <c r="E66" s="205">
        <v>0</v>
      </c>
      <c r="F66" s="214">
        <v>5.97</v>
      </c>
      <c r="G66" t="str">
        <f t="shared" si="1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6.01</v>
      </c>
      <c r="C67" s="213">
        <v>4.0724315394794763E-2</v>
      </c>
      <c r="D67" s="215">
        <v>5.97</v>
      </c>
      <c r="E67" s="205">
        <v>0</v>
      </c>
      <c r="F67" s="214">
        <v>0</v>
      </c>
      <c r="G67" t="str">
        <f t="shared" si="1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1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1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1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1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1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1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1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1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ref="G76:G113" si="2">IF($B$5="","",IF(ROW(A66)&gt;$B$5+$B$8,"",ROW(A66)))</f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2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2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2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2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2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2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2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2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2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2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2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si="2"/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2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2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2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2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2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2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2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2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2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2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2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2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2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2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2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2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2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2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2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2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2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2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2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2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2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M22" sqref="M22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59" t="s">
        <v>163</v>
      </c>
      <c r="B1" s="359"/>
      <c r="C1" s="359"/>
      <c r="D1" s="359"/>
      <c r="E1" s="245"/>
    </row>
    <row r="2" spans="1:60" ht="15.6" x14ac:dyDescent="0.3">
      <c r="A2" s="359"/>
      <c r="B2" s="359"/>
      <c r="C2" s="359"/>
      <c r="D2" s="359"/>
      <c r="E2" s="245"/>
      <c r="H2" s="254"/>
    </row>
    <row r="3" spans="1:60" x14ac:dyDescent="0.3">
      <c r="A3" s="30" t="s">
        <v>47</v>
      </c>
      <c r="B3" s="195">
        <v>750</v>
      </c>
    </row>
    <row r="4" spans="1:60" x14ac:dyDescent="0.3">
      <c r="A4" s="27" t="s">
        <v>140</v>
      </c>
      <c r="B4" s="8">
        <v>12</v>
      </c>
      <c r="C4" s="30" t="s">
        <v>158</v>
      </c>
      <c r="D4" s="270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7"/>
    </row>
    <row r="7" spans="1:60" x14ac:dyDescent="0.3">
      <c r="A7" s="27" t="s">
        <v>142</v>
      </c>
      <c r="B7" s="255">
        <v>8.2000000000000003E-2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60" x14ac:dyDescent="0.3">
      <c r="H9" s="275" t="s">
        <v>162</v>
      </c>
      <c r="I9" s="277">
        <v>254.26</v>
      </c>
      <c r="J9" s="276">
        <v>749.79</v>
      </c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4" t="s">
        <v>158</v>
      </c>
      <c r="I10" s="244" t="s">
        <v>157</v>
      </c>
      <c r="J10" s="17" t="s">
        <v>152</v>
      </c>
      <c r="K10" s="27" t="s">
        <v>146</v>
      </c>
      <c r="L10" s="27" t="s">
        <v>203</v>
      </c>
      <c r="O10" s="54" t="s">
        <v>146</v>
      </c>
      <c r="P10" s="321">
        <v>61.5</v>
      </c>
      <c r="Q10" s="342">
        <v>55.11</v>
      </c>
      <c r="R10" s="342">
        <v>44.55</v>
      </c>
      <c r="S10" s="342">
        <v>33.99</v>
      </c>
      <c r="T10" s="342">
        <v>26.3</v>
      </c>
      <c r="U10" s="342">
        <v>18.62</v>
      </c>
      <c r="V10" s="342">
        <v>10.93</v>
      </c>
      <c r="W10" s="342">
        <v>3.27</v>
      </c>
      <c r="X10" s="342">
        <v>0</v>
      </c>
      <c r="Y10" s="343">
        <v>0</v>
      </c>
      <c r="Z10" s="343">
        <v>0</v>
      </c>
      <c r="AA10" s="343">
        <v>0</v>
      </c>
      <c r="AB10" s="343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63">
        <v>0</v>
      </c>
    </row>
    <row r="11" spans="1:60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750</v>
      </c>
      <c r="H11" s="5">
        <v>1</v>
      </c>
      <c r="I11" s="268">
        <v>61.5</v>
      </c>
      <c r="J11" s="271">
        <v>35</v>
      </c>
      <c r="K11" s="243">
        <v>35.875</v>
      </c>
      <c r="O11" s="341" t="s">
        <v>203</v>
      </c>
      <c r="P11" s="50">
        <v>35</v>
      </c>
      <c r="Q11" s="185">
        <v>128.72</v>
      </c>
      <c r="R11" s="185">
        <v>128.72</v>
      </c>
      <c r="S11" s="185">
        <v>93.72</v>
      </c>
      <c r="T11" s="185">
        <v>93.72</v>
      </c>
      <c r="U11" s="185">
        <v>93.72</v>
      </c>
      <c r="V11" s="185">
        <v>93.72</v>
      </c>
      <c r="W11" s="185">
        <v>82.47</v>
      </c>
      <c r="X11" s="185">
        <v>0</v>
      </c>
      <c r="Y11" s="185">
        <v>0</v>
      </c>
      <c r="Z11" s="185">
        <v>0</v>
      </c>
      <c r="AA11" s="185">
        <v>0</v>
      </c>
      <c r="AB11" s="185">
        <v>0</v>
      </c>
      <c r="AC11" s="185">
        <v>0</v>
      </c>
      <c r="AD11" s="185">
        <v>0</v>
      </c>
      <c r="AE11" s="185">
        <v>0</v>
      </c>
      <c r="AF11" s="185">
        <v>0</v>
      </c>
      <c r="AG11" s="185">
        <v>0</v>
      </c>
      <c r="AH11" s="185">
        <v>0</v>
      </c>
      <c r="AI11" s="64">
        <v>0</v>
      </c>
    </row>
    <row r="12" spans="1:60" x14ac:dyDescent="0.3">
      <c r="A12" s="249">
        <v>1</v>
      </c>
      <c r="B12" s="260">
        <v>5.125</v>
      </c>
      <c r="C12" s="247">
        <v>5.125</v>
      </c>
      <c r="D12" s="260">
        <v>0</v>
      </c>
      <c r="E12" s="258"/>
      <c r="F12" s="261">
        <v>750</v>
      </c>
      <c r="H12" s="8">
        <v>2</v>
      </c>
      <c r="I12" s="205">
        <v>55.1066</v>
      </c>
      <c r="J12" s="214">
        <v>128.72</v>
      </c>
      <c r="K12" s="243">
        <v>58.704739583333335</v>
      </c>
    </row>
    <row r="13" spans="1:60" x14ac:dyDescent="0.3">
      <c r="A13" s="249">
        <v>2</v>
      </c>
      <c r="B13" s="260">
        <v>5.125</v>
      </c>
      <c r="C13" s="247">
        <v>5.125</v>
      </c>
      <c r="D13" s="260">
        <v>0</v>
      </c>
      <c r="E13" s="258"/>
      <c r="F13" s="261">
        <v>750</v>
      </c>
      <c r="H13" s="8">
        <v>3</v>
      </c>
      <c r="I13" s="205">
        <v>44.549100000000003</v>
      </c>
      <c r="J13" s="214">
        <v>128.72</v>
      </c>
      <c r="K13" s="243">
        <v>48.948020833333338</v>
      </c>
      <c r="O13" s="147" t="s">
        <v>146</v>
      </c>
      <c r="P13" s="321">
        <v>35.880000000000003</v>
      </c>
      <c r="Q13" s="342">
        <v>58.7</v>
      </c>
      <c r="R13" s="342">
        <v>48.95</v>
      </c>
      <c r="S13" s="342">
        <v>38.39</v>
      </c>
      <c r="T13" s="342">
        <v>29.51</v>
      </c>
      <c r="U13" s="342">
        <v>21.82</v>
      </c>
      <c r="V13" s="342">
        <v>14.13</v>
      </c>
      <c r="W13" s="342">
        <v>6.44</v>
      </c>
      <c r="X13" s="342">
        <v>0.44</v>
      </c>
      <c r="Y13" s="343">
        <v>0</v>
      </c>
      <c r="Z13" s="343">
        <v>0</v>
      </c>
      <c r="AA13" s="343">
        <v>0</v>
      </c>
      <c r="AB13" s="343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63">
        <v>0</v>
      </c>
    </row>
    <row r="14" spans="1:60" x14ac:dyDescent="0.3">
      <c r="A14" s="249">
        <v>3</v>
      </c>
      <c r="B14" s="260">
        <v>5.125</v>
      </c>
      <c r="C14" s="247">
        <v>5.125</v>
      </c>
      <c r="D14" s="260">
        <v>0</v>
      </c>
      <c r="E14" s="258"/>
      <c r="F14" s="261">
        <v>750</v>
      </c>
      <c r="H14" s="8">
        <v>4</v>
      </c>
      <c r="I14" s="205">
        <v>33.991700000000002</v>
      </c>
      <c r="J14" s="214">
        <v>93.72</v>
      </c>
      <c r="K14" s="243">
        <v>38.390520833333326</v>
      </c>
      <c r="O14" s="147" t="s">
        <v>203</v>
      </c>
      <c r="P14" s="50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64">
        <v>0</v>
      </c>
    </row>
    <row r="15" spans="1:60" x14ac:dyDescent="0.3">
      <c r="A15" s="249">
        <v>4</v>
      </c>
      <c r="B15" s="260">
        <v>5.125</v>
      </c>
      <c r="C15" s="247">
        <v>5.125</v>
      </c>
      <c r="D15" s="260">
        <v>0</v>
      </c>
      <c r="E15" s="258"/>
      <c r="F15" s="261">
        <v>750</v>
      </c>
      <c r="H15" s="8">
        <v>5</v>
      </c>
      <c r="I15" s="205">
        <v>26.304099999999998</v>
      </c>
      <c r="J15" s="214">
        <v>93.72</v>
      </c>
      <c r="K15" s="243">
        <v>29.507187500000001</v>
      </c>
    </row>
    <row r="16" spans="1:60" x14ac:dyDescent="0.3">
      <c r="A16" s="249">
        <v>5</v>
      </c>
      <c r="B16" s="260">
        <v>5.125</v>
      </c>
      <c r="C16" s="247">
        <v>5.125</v>
      </c>
      <c r="D16" s="260">
        <v>0</v>
      </c>
      <c r="E16" s="258"/>
      <c r="F16" s="261">
        <v>750</v>
      </c>
      <c r="H16" s="8">
        <v>6</v>
      </c>
      <c r="I16" s="205">
        <v>18.616499999999998</v>
      </c>
      <c r="J16" s="214">
        <v>93.72</v>
      </c>
      <c r="K16" s="243">
        <v>21.819687500000001</v>
      </c>
    </row>
    <row r="17" spans="1:11" x14ac:dyDescent="0.3">
      <c r="A17" s="249">
        <v>6</v>
      </c>
      <c r="B17" s="260">
        <v>5.125</v>
      </c>
      <c r="C17" s="247">
        <v>5.125</v>
      </c>
      <c r="D17" s="260">
        <v>0</v>
      </c>
      <c r="E17" s="258"/>
      <c r="F17" s="261">
        <v>750</v>
      </c>
      <c r="H17" s="8">
        <v>7</v>
      </c>
      <c r="I17" s="205">
        <v>10.929</v>
      </c>
      <c r="J17" s="214">
        <v>93.72</v>
      </c>
      <c r="K17" s="243">
        <v>14.132187500000001</v>
      </c>
    </row>
    <row r="18" spans="1:11" x14ac:dyDescent="0.3">
      <c r="A18" s="249">
        <v>7</v>
      </c>
      <c r="B18" s="260">
        <v>5.125</v>
      </c>
      <c r="C18" s="247">
        <v>5.125</v>
      </c>
      <c r="D18" s="260">
        <v>0</v>
      </c>
      <c r="E18" s="258"/>
      <c r="F18" s="261">
        <v>750</v>
      </c>
      <c r="H18" s="8">
        <v>8</v>
      </c>
      <c r="I18" s="205">
        <v>3.2650999999999999</v>
      </c>
      <c r="J18" s="214">
        <v>82.47</v>
      </c>
      <c r="K18" s="235">
        <v>6.4446875000000006</v>
      </c>
    </row>
    <row r="19" spans="1:11" x14ac:dyDescent="0.3">
      <c r="A19" s="249">
        <v>8</v>
      </c>
      <c r="B19" s="260">
        <v>5.125</v>
      </c>
      <c r="C19" s="247">
        <v>5.125</v>
      </c>
      <c r="D19" s="260">
        <v>0</v>
      </c>
      <c r="E19" s="258"/>
      <c r="F19" s="261">
        <v>750</v>
      </c>
      <c r="H19" s="8">
        <v>9</v>
      </c>
      <c r="I19" s="205">
        <v>0</v>
      </c>
      <c r="J19" s="214">
        <v>0</v>
      </c>
      <c r="K19" s="235">
        <v>0.43989583333333299</v>
      </c>
    </row>
    <row r="20" spans="1:11" x14ac:dyDescent="0.3">
      <c r="A20" s="249">
        <v>9</v>
      </c>
      <c r="B20" s="260">
        <v>5.125</v>
      </c>
      <c r="C20" s="247">
        <v>5.125</v>
      </c>
      <c r="D20" s="260">
        <v>0</v>
      </c>
      <c r="E20" s="258"/>
      <c r="F20" s="261">
        <v>750</v>
      </c>
      <c r="H20" s="8"/>
      <c r="I20" s="205"/>
      <c r="J20" s="214"/>
    </row>
    <row r="21" spans="1:11" x14ac:dyDescent="0.3">
      <c r="A21" s="249">
        <v>10</v>
      </c>
      <c r="B21" s="260">
        <v>5.125</v>
      </c>
      <c r="C21" s="247">
        <v>5.125</v>
      </c>
      <c r="D21" s="260">
        <v>0</v>
      </c>
      <c r="E21" s="258"/>
      <c r="F21" s="261">
        <v>750</v>
      </c>
      <c r="H21" s="8"/>
      <c r="I21" s="205"/>
      <c r="J21" s="214"/>
    </row>
    <row r="22" spans="1:11" x14ac:dyDescent="0.3">
      <c r="A22" s="249">
        <v>11</v>
      </c>
      <c r="B22" s="260">
        <v>5.125</v>
      </c>
      <c r="C22" s="247">
        <v>5.125</v>
      </c>
      <c r="D22" s="260">
        <v>0</v>
      </c>
      <c r="E22" s="258"/>
      <c r="F22" s="261">
        <v>750</v>
      </c>
      <c r="H22" s="8"/>
      <c r="I22" s="205"/>
      <c r="J22" s="214"/>
    </row>
    <row r="23" spans="1:11" x14ac:dyDescent="0.3">
      <c r="A23" s="249">
        <v>12</v>
      </c>
      <c r="B23" s="260">
        <v>5.125</v>
      </c>
      <c r="C23" s="247">
        <v>5.125</v>
      </c>
      <c r="D23" s="260">
        <v>0</v>
      </c>
      <c r="E23" s="258">
        <v>35</v>
      </c>
      <c r="F23" s="261">
        <v>715</v>
      </c>
      <c r="H23" s="8"/>
      <c r="I23" s="205"/>
      <c r="J23" s="214"/>
    </row>
    <row r="24" spans="1:11" x14ac:dyDescent="0.3">
      <c r="A24" s="249">
        <v>13</v>
      </c>
      <c r="B24" s="260">
        <v>12.7</v>
      </c>
      <c r="C24" s="247">
        <v>4.8858333333333333</v>
      </c>
      <c r="D24" s="260">
        <v>7.81</v>
      </c>
      <c r="E24" s="258"/>
      <c r="F24" s="261">
        <v>707.19</v>
      </c>
      <c r="H24" s="8"/>
      <c r="I24" s="205"/>
      <c r="J24" s="214"/>
    </row>
    <row r="25" spans="1:11" x14ac:dyDescent="0.3">
      <c r="A25" s="249">
        <v>14</v>
      </c>
      <c r="B25" s="260">
        <v>12.64</v>
      </c>
      <c r="C25" s="247">
        <v>4.8324479166666672</v>
      </c>
      <c r="D25" s="260">
        <v>7.81</v>
      </c>
      <c r="E25" s="258"/>
      <c r="F25" s="261">
        <v>699.38</v>
      </c>
      <c r="H25" s="8"/>
      <c r="I25" s="205"/>
      <c r="J25" s="214"/>
    </row>
    <row r="26" spans="1:11" x14ac:dyDescent="0.3">
      <c r="A26" s="249">
        <v>15</v>
      </c>
      <c r="B26" s="260">
        <v>12.59</v>
      </c>
      <c r="C26" s="247">
        <v>4.7790625000000002</v>
      </c>
      <c r="D26" s="260">
        <v>7.81</v>
      </c>
      <c r="E26" s="258"/>
      <c r="F26" s="261">
        <v>691.56</v>
      </c>
      <c r="H26" s="8"/>
      <c r="I26" s="205"/>
      <c r="J26" s="214"/>
    </row>
    <row r="27" spans="1:11" x14ac:dyDescent="0.3">
      <c r="A27" s="249">
        <v>16</v>
      </c>
      <c r="B27" s="260">
        <v>12.54</v>
      </c>
      <c r="C27" s="247">
        <v>4.7256770833333333</v>
      </c>
      <c r="D27" s="260">
        <v>7.81</v>
      </c>
      <c r="E27" s="258"/>
      <c r="F27" s="261">
        <v>683.75</v>
      </c>
      <c r="H27" s="8"/>
      <c r="I27" s="205"/>
      <c r="J27" s="214"/>
    </row>
    <row r="28" spans="1:11" x14ac:dyDescent="0.3">
      <c r="A28" s="249">
        <v>17</v>
      </c>
      <c r="B28" s="260">
        <v>12.48</v>
      </c>
      <c r="C28" s="247">
        <v>4.6722916666666672</v>
      </c>
      <c r="D28" s="260">
        <v>7.81</v>
      </c>
      <c r="E28" s="258"/>
      <c r="F28" s="261">
        <v>675.94</v>
      </c>
      <c r="H28" s="8"/>
      <c r="I28" s="205"/>
      <c r="J28" s="214"/>
    </row>
    <row r="29" spans="1:11" x14ac:dyDescent="0.3">
      <c r="A29" s="249">
        <v>18</v>
      </c>
      <c r="B29" s="260">
        <v>12.43</v>
      </c>
      <c r="C29" s="247">
        <v>4.6189062500000002</v>
      </c>
      <c r="D29" s="260">
        <v>7.81</v>
      </c>
      <c r="E29" s="258"/>
      <c r="F29" s="261">
        <v>668.13</v>
      </c>
      <c r="H29" s="8"/>
      <c r="I29" s="205"/>
      <c r="J29" s="201"/>
    </row>
    <row r="30" spans="1:11" x14ac:dyDescent="0.3">
      <c r="A30" s="249">
        <v>19</v>
      </c>
      <c r="B30" s="260">
        <v>12.38</v>
      </c>
      <c r="C30" s="247">
        <v>4.5655208333333333</v>
      </c>
      <c r="D30" s="260">
        <v>7.81</v>
      </c>
      <c r="E30" s="258"/>
      <c r="F30" s="261">
        <v>660.31</v>
      </c>
      <c r="H30" s="8"/>
      <c r="I30" s="205"/>
      <c r="J30" s="201"/>
    </row>
    <row r="31" spans="1:11" x14ac:dyDescent="0.3">
      <c r="A31" s="249">
        <v>20</v>
      </c>
      <c r="B31" s="260">
        <v>12.32</v>
      </c>
      <c r="C31" s="247">
        <v>4.5121354166666672</v>
      </c>
      <c r="D31" s="260">
        <v>7.81</v>
      </c>
      <c r="E31" s="258"/>
      <c r="F31" s="261">
        <v>652.5</v>
      </c>
      <c r="H31" s="8"/>
      <c r="I31" s="205"/>
      <c r="J31" s="201"/>
    </row>
    <row r="32" spans="1:11" x14ac:dyDescent="0.3">
      <c r="A32" s="249">
        <v>21</v>
      </c>
      <c r="B32" s="260">
        <v>12.27</v>
      </c>
      <c r="C32" s="247">
        <v>4.4587500000000002</v>
      </c>
      <c r="D32" s="260">
        <v>7.81</v>
      </c>
      <c r="E32" s="258"/>
      <c r="F32" s="261">
        <v>644.69000000000005</v>
      </c>
      <c r="H32" s="8"/>
      <c r="I32" s="205"/>
      <c r="J32" s="201"/>
    </row>
    <row r="33" spans="1:10" x14ac:dyDescent="0.3">
      <c r="A33" s="249">
        <v>22</v>
      </c>
      <c r="B33" s="260">
        <v>12.22</v>
      </c>
      <c r="C33" s="247">
        <v>4.4053645833333333</v>
      </c>
      <c r="D33" s="260">
        <v>7.81</v>
      </c>
      <c r="E33" s="258"/>
      <c r="F33" s="261">
        <v>636.88</v>
      </c>
      <c r="H33" s="8"/>
      <c r="I33" s="205"/>
      <c r="J33" s="201"/>
    </row>
    <row r="34" spans="1:10" x14ac:dyDescent="0.3">
      <c r="A34" s="249">
        <v>23</v>
      </c>
      <c r="B34" s="260">
        <v>12.16</v>
      </c>
      <c r="C34" s="247">
        <v>4.3519791666666672</v>
      </c>
      <c r="D34" s="260">
        <v>7.81</v>
      </c>
      <c r="E34" s="258"/>
      <c r="F34" s="261">
        <v>629.05999999999995</v>
      </c>
      <c r="H34" s="8"/>
      <c r="I34" s="205"/>
      <c r="J34" s="201"/>
    </row>
    <row r="35" spans="1:10" x14ac:dyDescent="0.3">
      <c r="A35" s="249">
        <v>24</v>
      </c>
      <c r="B35" s="260">
        <v>12.11</v>
      </c>
      <c r="C35" s="247">
        <v>4.2985937500000002</v>
      </c>
      <c r="D35" s="260">
        <v>7.81</v>
      </c>
      <c r="E35" s="258">
        <v>35</v>
      </c>
      <c r="F35" s="261">
        <v>586.25</v>
      </c>
      <c r="H35" s="8"/>
      <c r="I35" s="205"/>
      <c r="J35" s="201"/>
    </row>
    <row r="36" spans="1:10" x14ac:dyDescent="0.3">
      <c r="A36" s="249">
        <v>25</v>
      </c>
      <c r="B36" s="260">
        <v>11.82</v>
      </c>
      <c r="C36" s="247">
        <v>4.0060416666666665</v>
      </c>
      <c r="D36" s="260">
        <v>7.81</v>
      </c>
      <c r="E36" s="258"/>
      <c r="F36" s="261">
        <v>578.44000000000005</v>
      </c>
      <c r="H36" s="8"/>
      <c r="I36" s="205"/>
      <c r="J36" s="201"/>
    </row>
    <row r="37" spans="1:10" x14ac:dyDescent="0.3">
      <c r="A37" s="249">
        <v>26</v>
      </c>
      <c r="B37" s="260">
        <v>11.77</v>
      </c>
      <c r="C37" s="247">
        <v>3.95265625</v>
      </c>
      <c r="D37" s="260">
        <v>7.81</v>
      </c>
      <c r="E37" s="258"/>
      <c r="F37" s="261">
        <v>570.63</v>
      </c>
      <c r="H37" s="8"/>
      <c r="I37" s="205"/>
      <c r="J37" s="201"/>
    </row>
    <row r="38" spans="1:10" x14ac:dyDescent="0.3">
      <c r="A38" s="249">
        <v>27</v>
      </c>
      <c r="B38" s="260">
        <v>11.71</v>
      </c>
      <c r="C38" s="247">
        <v>3.8992708333333335</v>
      </c>
      <c r="D38" s="260">
        <v>7.81</v>
      </c>
      <c r="E38" s="258"/>
      <c r="F38" s="261">
        <v>562.80999999999995</v>
      </c>
      <c r="H38" s="8"/>
      <c r="I38" s="205"/>
      <c r="J38" s="201"/>
    </row>
    <row r="39" spans="1:10" x14ac:dyDescent="0.3">
      <c r="A39" s="249">
        <v>28</v>
      </c>
      <c r="B39" s="260">
        <v>11.66</v>
      </c>
      <c r="C39" s="247">
        <v>3.8458854166666669</v>
      </c>
      <c r="D39" s="260">
        <v>7.81</v>
      </c>
      <c r="E39" s="258"/>
      <c r="F39" s="261">
        <v>555</v>
      </c>
      <c r="H39" s="8"/>
      <c r="I39" s="205"/>
      <c r="J39" s="201"/>
    </row>
    <row r="40" spans="1:10" x14ac:dyDescent="0.3">
      <c r="A40" s="249">
        <v>29</v>
      </c>
      <c r="B40" s="260">
        <v>11.61</v>
      </c>
      <c r="C40" s="247">
        <v>3.7925</v>
      </c>
      <c r="D40" s="260">
        <v>7.81</v>
      </c>
      <c r="E40" s="258"/>
      <c r="F40" s="261">
        <v>547.19000000000005</v>
      </c>
      <c r="H40" s="8"/>
      <c r="I40" s="205"/>
      <c r="J40" s="201"/>
    </row>
    <row r="41" spans="1:10" x14ac:dyDescent="0.3">
      <c r="A41" s="249">
        <v>30</v>
      </c>
      <c r="B41" s="260">
        <v>11.55</v>
      </c>
      <c r="C41" s="247">
        <v>3.7391145833333335</v>
      </c>
      <c r="D41" s="260">
        <v>7.81</v>
      </c>
      <c r="E41" s="258"/>
      <c r="F41" s="261">
        <v>539.38</v>
      </c>
      <c r="H41" s="8"/>
      <c r="I41" s="205"/>
      <c r="J41" s="201"/>
    </row>
    <row r="42" spans="1:10" x14ac:dyDescent="0.3">
      <c r="A42" s="249">
        <v>31</v>
      </c>
      <c r="B42" s="260">
        <v>11.5</v>
      </c>
      <c r="C42" s="247">
        <v>3.6857291666666669</v>
      </c>
      <c r="D42" s="260">
        <v>7.81</v>
      </c>
      <c r="E42" s="258"/>
      <c r="F42" s="261">
        <v>531.55999999999995</v>
      </c>
      <c r="H42" s="8"/>
      <c r="I42" s="205"/>
      <c r="J42" s="201"/>
    </row>
    <row r="43" spans="1:10" x14ac:dyDescent="0.3">
      <c r="A43" s="249">
        <v>32</v>
      </c>
      <c r="B43" s="260">
        <v>11.44</v>
      </c>
      <c r="C43" s="247">
        <v>3.63234375</v>
      </c>
      <c r="D43" s="260">
        <v>7.81</v>
      </c>
      <c r="E43" s="258"/>
      <c r="F43" s="261">
        <v>523.75</v>
      </c>
      <c r="H43" s="8"/>
      <c r="I43" s="205"/>
      <c r="J43" s="201"/>
    </row>
    <row r="44" spans="1:10" x14ac:dyDescent="0.3">
      <c r="A44" s="249">
        <v>33</v>
      </c>
      <c r="B44" s="260">
        <v>11.39</v>
      </c>
      <c r="C44" s="247">
        <v>3.5789583333333335</v>
      </c>
      <c r="D44" s="260">
        <v>7.81</v>
      </c>
      <c r="E44" s="258"/>
      <c r="F44" s="261">
        <v>515.94000000000005</v>
      </c>
      <c r="H44" s="8"/>
      <c r="I44" s="205"/>
      <c r="J44" s="201"/>
    </row>
    <row r="45" spans="1:10" x14ac:dyDescent="0.3">
      <c r="A45" s="249">
        <v>34</v>
      </c>
      <c r="B45" s="260">
        <v>11.34</v>
      </c>
      <c r="C45" s="247">
        <v>3.5255729166666669</v>
      </c>
      <c r="D45" s="260">
        <v>7.81</v>
      </c>
      <c r="E45" s="258"/>
      <c r="F45" s="261">
        <v>508.13</v>
      </c>
      <c r="H45" s="8"/>
      <c r="I45" s="205"/>
      <c r="J45" s="201"/>
    </row>
    <row r="46" spans="1:10" x14ac:dyDescent="0.3">
      <c r="A46" s="249">
        <v>35</v>
      </c>
      <c r="B46" s="260">
        <v>11.28</v>
      </c>
      <c r="C46" s="247">
        <v>3.4721875</v>
      </c>
      <c r="D46" s="260">
        <v>7.81</v>
      </c>
      <c r="E46" s="258"/>
      <c r="F46" s="261">
        <v>500.31</v>
      </c>
      <c r="H46" s="8"/>
      <c r="I46" s="205"/>
      <c r="J46" s="201"/>
    </row>
    <row r="47" spans="1:10" x14ac:dyDescent="0.3">
      <c r="A47" s="249">
        <v>36</v>
      </c>
      <c r="B47" s="260">
        <v>11.23</v>
      </c>
      <c r="C47" s="247">
        <v>3.4188020833333335</v>
      </c>
      <c r="D47" s="260">
        <v>7.81</v>
      </c>
      <c r="E47" s="258">
        <v>35</v>
      </c>
      <c r="F47" s="261">
        <v>457.5</v>
      </c>
      <c r="H47" s="8"/>
      <c r="I47" s="205"/>
      <c r="J47" s="201"/>
    </row>
    <row r="48" spans="1:10" x14ac:dyDescent="0.3">
      <c r="A48" s="249">
        <v>37</v>
      </c>
      <c r="B48" s="260">
        <v>10.94</v>
      </c>
      <c r="C48" s="247">
        <v>3.1262500000000002</v>
      </c>
      <c r="D48" s="260">
        <v>7.81</v>
      </c>
      <c r="E48" s="258"/>
      <c r="F48" s="261">
        <v>449.69</v>
      </c>
      <c r="H48" s="8"/>
      <c r="I48" s="205"/>
      <c r="J48" s="201"/>
    </row>
    <row r="49" spans="1:10" x14ac:dyDescent="0.3">
      <c r="A49" s="249">
        <v>38</v>
      </c>
      <c r="B49" s="260">
        <v>10.89</v>
      </c>
      <c r="C49" s="247">
        <v>3.0728645833333337</v>
      </c>
      <c r="D49" s="260">
        <v>7.81</v>
      </c>
      <c r="E49" s="258"/>
      <c r="F49" s="261">
        <v>441.88</v>
      </c>
      <c r="H49" s="8"/>
      <c r="I49" s="205"/>
      <c r="J49" s="201"/>
    </row>
    <row r="50" spans="1:10" x14ac:dyDescent="0.3">
      <c r="A50" s="249">
        <v>39</v>
      </c>
      <c r="B50" s="260">
        <v>10.83</v>
      </c>
      <c r="C50" s="247">
        <v>3.0194791666666667</v>
      </c>
      <c r="D50" s="260">
        <v>7.81</v>
      </c>
      <c r="E50" s="258"/>
      <c r="F50" s="261">
        <v>434.06</v>
      </c>
      <c r="H50" s="8"/>
      <c r="I50" s="205"/>
      <c r="J50" s="201"/>
    </row>
    <row r="51" spans="1:10" x14ac:dyDescent="0.3">
      <c r="A51" s="249">
        <v>40</v>
      </c>
      <c r="B51" s="260">
        <v>10.78</v>
      </c>
      <c r="C51" s="247">
        <v>2.9660937500000002</v>
      </c>
      <c r="D51" s="260">
        <v>7.81</v>
      </c>
      <c r="E51" s="258"/>
      <c r="F51" s="261">
        <v>426.25</v>
      </c>
      <c r="H51" s="8"/>
      <c r="I51" s="205"/>
      <c r="J51" s="201"/>
    </row>
    <row r="52" spans="1:10" x14ac:dyDescent="0.3">
      <c r="A52" s="249">
        <v>41</v>
      </c>
      <c r="B52" s="260">
        <v>10.73</v>
      </c>
      <c r="C52" s="247">
        <v>2.9127083333333337</v>
      </c>
      <c r="D52" s="260">
        <v>7.81</v>
      </c>
      <c r="E52" s="258"/>
      <c r="F52" s="261">
        <v>418.44</v>
      </c>
      <c r="H52" s="8"/>
      <c r="I52" s="205"/>
      <c r="J52" s="201"/>
    </row>
    <row r="53" spans="1:10" x14ac:dyDescent="0.3">
      <c r="A53" s="249">
        <v>42</v>
      </c>
      <c r="B53" s="260">
        <v>10.67</v>
      </c>
      <c r="C53" s="247">
        <v>2.8593229166666667</v>
      </c>
      <c r="D53" s="260">
        <v>7.81</v>
      </c>
      <c r="E53" s="258"/>
      <c r="F53" s="261">
        <v>410.63</v>
      </c>
      <c r="G53" s="229"/>
      <c r="H53" s="8"/>
      <c r="I53" s="205"/>
      <c r="J53" s="201"/>
    </row>
    <row r="54" spans="1:10" x14ac:dyDescent="0.3">
      <c r="A54" s="249">
        <v>43</v>
      </c>
      <c r="B54" s="260">
        <v>10.62</v>
      </c>
      <c r="C54" s="247">
        <v>2.8059375000000002</v>
      </c>
      <c r="D54" s="260">
        <v>7.81</v>
      </c>
      <c r="E54" s="258"/>
      <c r="F54" s="261">
        <v>402.81</v>
      </c>
      <c r="G54" s="229"/>
      <c r="H54" s="8"/>
      <c r="I54" s="205"/>
      <c r="J54" s="201"/>
    </row>
    <row r="55" spans="1:10" x14ac:dyDescent="0.3">
      <c r="A55" s="249">
        <v>44</v>
      </c>
      <c r="B55" s="260">
        <v>10.57</v>
      </c>
      <c r="C55" s="247">
        <v>2.7525520833333332</v>
      </c>
      <c r="D55" s="260">
        <v>7.81</v>
      </c>
      <c r="E55" s="258"/>
      <c r="F55" s="261">
        <v>395</v>
      </c>
      <c r="H55" s="8"/>
      <c r="I55" s="205"/>
      <c r="J55" s="201"/>
    </row>
    <row r="56" spans="1:10" x14ac:dyDescent="0.3">
      <c r="A56" s="249">
        <v>45</v>
      </c>
      <c r="B56" s="260">
        <v>10.51</v>
      </c>
      <c r="C56" s="247">
        <v>2.6991666666666667</v>
      </c>
      <c r="D56" s="260">
        <v>7.81</v>
      </c>
      <c r="E56" s="258"/>
      <c r="F56" s="261">
        <v>387.19</v>
      </c>
      <c r="H56" s="8"/>
      <c r="I56" s="205"/>
      <c r="J56" s="201"/>
    </row>
    <row r="57" spans="1:10" x14ac:dyDescent="0.3">
      <c r="A57" s="249">
        <v>46</v>
      </c>
      <c r="B57" s="260">
        <v>10.46</v>
      </c>
      <c r="C57" s="247">
        <v>2.6457812500000002</v>
      </c>
      <c r="D57" s="260">
        <v>7.81</v>
      </c>
      <c r="E57" s="258"/>
      <c r="F57" s="261">
        <v>379.38</v>
      </c>
      <c r="H57" s="8"/>
      <c r="I57" s="205"/>
      <c r="J57" s="201"/>
    </row>
    <row r="58" spans="1:10" x14ac:dyDescent="0.3">
      <c r="A58" s="249">
        <v>47</v>
      </c>
      <c r="B58" s="260">
        <v>10.4</v>
      </c>
      <c r="C58" s="247">
        <v>2.5923958333333332</v>
      </c>
      <c r="D58" s="260">
        <v>7.81</v>
      </c>
      <c r="E58" s="258"/>
      <c r="F58" s="261">
        <v>371.56</v>
      </c>
      <c r="H58" s="8"/>
      <c r="I58" s="205"/>
      <c r="J58" s="201"/>
    </row>
    <row r="59" spans="1:10" x14ac:dyDescent="0.3">
      <c r="A59" s="249">
        <v>48</v>
      </c>
      <c r="B59" s="260">
        <v>10.35</v>
      </c>
      <c r="C59" s="247">
        <v>2.5390104166666667</v>
      </c>
      <c r="D59" s="260">
        <v>7.81</v>
      </c>
      <c r="E59" s="258"/>
      <c r="F59" s="261">
        <v>363.75</v>
      </c>
      <c r="H59" s="8"/>
      <c r="I59" s="205"/>
      <c r="J59" s="201"/>
    </row>
    <row r="60" spans="1:10" x14ac:dyDescent="0.3">
      <c r="A60" s="249">
        <v>49</v>
      </c>
      <c r="B60" s="260">
        <v>10.3</v>
      </c>
      <c r="C60" s="247">
        <v>2.4856250000000002</v>
      </c>
      <c r="D60" s="260">
        <v>7.81</v>
      </c>
      <c r="E60" s="258"/>
      <c r="F60" s="261">
        <v>355.94</v>
      </c>
      <c r="H60" s="8"/>
      <c r="I60" s="205"/>
      <c r="J60" s="201"/>
    </row>
    <row r="61" spans="1:10" x14ac:dyDescent="0.3">
      <c r="A61" s="249">
        <v>50</v>
      </c>
      <c r="B61" s="260">
        <v>10.24</v>
      </c>
      <c r="C61" s="247">
        <v>2.4322395833333332</v>
      </c>
      <c r="D61" s="260">
        <v>7.81</v>
      </c>
      <c r="E61" s="258"/>
      <c r="F61" s="261">
        <v>348.13</v>
      </c>
      <c r="H61" s="8"/>
      <c r="I61" s="205"/>
      <c r="J61" s="201"/>
    </row>
    <row r="62" spans="1:10" x14ac:dyDescent="0.3">
      <c r="A62" s="249">
        <v>51</v>
      </c>
      <c r="B62" s="260">
        <v>10.19</v>
      </c>
      <c r="C62" s="247">
        <v>2.3788541666666667</v>
      </c>
      <c r="D62" s="260">
        <v>7.81</v>
      </c>
      <c r="E62" s="258"/>
      <c r="F62" s="261">
        <v>340.31</v>
      </c>
      <c r="H62" s="8"/>
      <c r="I62" s="205"/>
      <c r="J62" s="201"/>
    </row>
    <row r="63" spans="1:10" x14ac:dyDescent="0.3">
      <c r="A63" s="249">
        <v>52</v>
      </c>
      <c r="B63" s="260">
        <v>10.14</v>
      </c>
      <c r="C63" s="247">
        <v>2.3254687500000002</v>
      </c>
      <c r="D63" s="260">
        <v>7.81</v>
      </c>
      <c r="E63" s="258"/>
      <c r="F63" s="261">
        <v>332.5</v>
      </c>
      <c r="H63" s="8"/>
      <c r="I63" s="205"/>
      <c r="J63" s="201"/>
    </row>
    <row r="64" spans="1:10" x14ac:dyDescent="0.3">
      <c r="A64" s="249">
        <v>53</v>
      </c>
      <c r="B64" s="260">
        <v>10.08</v>
      </c>
      <c r="C64" s="247">
        <v>2.2720833333333332</v>
      </c>
      <c r="D64" s="260">
        <v>7.81</v>
      </c>
      <c r="E64" s="258"/>
      <c r="F64" s="261">
        <v>324.69</v>
      </c>
      <c r="H64" s="8"/>
      <c r="I64" s="205"/>
      <c r="J64" s="201"/>
    </row>
    <row r="65" spans="1:10" x14ac:dyDescent="0.3">
      <c r="A65" s="249">
        <v>54</v>
      </c>
      <c r="B65" s="260">
        <v>10.029999999999999</v>
      </c>
      <c r="C65" s="247">
        <v>2.2186979166666667</v>
      </c>
      <c r="D65" s="260">
        <v>7.81</v>
      </c>
      <c r="E65" s="258"/>
      <c r="F65" s="261">
        <v>316.88</v>
      </c>
      <c r="H65" s="8"/>
      <c r="I65" s="205"/>
      <c r="J65" s="201"/>
    </row>
    <row r="66" spans="1:10" x14ac:dyDescent="0.3">
      <c r="A66" s="249">
        <v>55</v>
      </c>
      <c r="B66" s="260">
        <v>9.98</v>
      </c>
      <c r="C66" s="247">
        <v>2.1653125000000002</v>
      </c>
      <c r="D66" s="260">
        <v>7.81</v>
      </c>
      <c r="E66" s="258"/>
      <c r="F66" s="261">
        <v>309.06</v>
      </c>
      <c r="H66" s="8"/>
      <c r="I66" s="205"/>
      <c r="J66" s="201"/>
    </row>
    <row r="67" spans="1:10" x14ac:dyDescent="0.3">
      <c r="A67" s="249">
        <v>56</v>
      </c>
      <c r="B67" s="260">
        <v>9.92</v>
      </c>
      <c r="C67" s="247">
        <v>2.1119270833333332</v>
      </c>
      <c r="D67" s="260">
        <v>7.81</v>
      </c>
      <c r="E67" s="258"/>
      <c r="F67" s="261">
        <v>301.25</v>
      </c>
      <c r="H67" s="8"/>
      <c r="I67" s="205"/>
      <c r="J67" s="201"/>
    </row>
    <row r="68" spans="1:10" x14ac:dyDescent="0.3">
      <c r="A68" s="249">
        <v>57</v>
      </c>
      <c r="B68" s="260">
        <v>9.8699999999999992</v>
      </c>
      <c r="C68" s="247">
        <v>2.0585416666666667</v>
      </c>
      <c r="D68" s="260">
        <v>7.81</v>
      </c>
      <c r="E68" s="258"/>
      <c r="F68" s="261">
        <v>293.44</v>
      </c>
      <c r="H68" s="8"/>
      <c r="I68" s="205"/>
      <c r="J68" s="201"/>
    </row>
    <row r="69" spans="1:10" x14ac:dyDescent="0.3">
      <c r="A69" s="249">
        <v>58</v>
      </c>
      <c r="B69" s="260">
        <v>9.82</v>
      </c>
      <c r="C69" s="247">
        <v>2.0051562500000002</v>
      </c>
      <c r="D69" s="260">
        <v>7.81</v>
      </c>
      <c r="E69" s="258"/>
      <c r="F69" s="261">
        <v>285.63</v>
      </c>
      <c r="H69" s="8"/>
      <c r="I69" s="205"/>
      <c r="J69" s="201"/>
    </row>
    <row r="70" spans="1:10" x14ac:dyDescent="0.3">
      <c r="A70" s="249">
        <v>59</v>
      </c>
      <c r="B70" s="260">
        <v>9.76</v>
      </c>
      <c r="C70" s="247">
        <v>1.9517708333333335</v>
      </c>
      <c r="D70" s="260">
        <v>7.81</v>
      </c>
      <c r="E70" s="258"/>
      <c r="F70" s="261">
        <v>277.81</v>
      </c>
      <c r="H70" s="8"/>
      <c r="I70" s="205"/>
      <c r="J70" s="201"/>
    </row>
    <row r="71" spans="1:10" x14ac:dyDescent="0.3">
      <c r="A71" s="249">
        <v>60</v>
      </c>
      <c r="B71" s="260">
        <v>9.7100000000000009</v>
      </c>
      <c r="C71" s="247">
        <v>1.8983854166666667</v>
      </c>
      <c r="D71" s="260">
        <v>7.81</v>
      </c>
      <c r="E71" s="258"/>
      <c r="F71" s="261">
        <v>270</v>
      </c>
      <c r="H71" s="8"/>
      <c r="I71" s="205"/>
      <c r="J71" s="201"/>
    </row>
    <row r="72" spans="1:10" x14ac:dyDescent="0.3">
      <c r="A72" s="249">
        <v>61</v>
      </c>
      <c r="B72" s="260">
        <v>9.66</v>
      </c>
      <c r="C72" s="247">
        <v>1.845</v>
      </c>
      <c r="D72" s="260">
        <v>7.81</v>
      </c>
      <c r="E72" s="258"/>
      <c r="F72" s="261">
        <v>262.19</v>
      </c>
      <c r="H72" s="8"/>
      <c r="I72" s="205"/>
      <c r="J72" s="201"/>
    </row>
    <row r="73" spans="1:10" x14ac:dyDescent="0.3">
      <c r="A73" s="249">
        <v>62</v>
      </c>
      <c r="B73" s="260">
        <v>9.6</v>
      </c>
      <c r="C73" s="247">
        <v>1.7916145833333335</v>
      </c>
      <c r="D73" s="260">
        <v>7.81</v>
      </c>
      <c r="E73" s="258"/>
      <c r="F73" s="261">
        <v>254.38</v>
      </c>
      <c r="H73" s="8"/>
      <c r="I73" s="205"/>
      <c r="J73" s="201"/>
    </row>
    <row r="74" spans="1:10" x14ac:dyDescent="0.3">
      <c r="A74" s="249">
        <v>63</v>
      </c>
      <c r="B74" s="260">
        <v>9.5500000000000007</v>
      </c>
      <c r="C74" s="247">
        <v>1.7382291666666667</v>
      </c>
      <c r="D74" s="260">
        <v>7.81</v>
      </c>
      <c r="E74" s="258"/>
      <c r="F74" s="261">
        <v>246.56</v>
      </c>
      <c r="H74" s="8"/>
      <c r="I74" s="205"/>
      <c r="J74" s="201"/>
    </row>
    <row r="75" spans="1:10" x14ac:dyDescent="0.3">
      <c r="A75" s="249">
        <v>64</v>
      </c>
      <c r="B75" s="260">
        <v>9.5</v>
      </c>
      <c r="C75" s="247">
        <v>1.68484375</v>
      </c>
      <c r="D75" s="260">
        <v>7.81</v>
      </c>
      <c r="E75" s="258"/>
      <c r="F75" s="261">
        <v>238.75</v>
      </c>
      <c r="H75" s="8"/>
      <c r="I75" s="205"/>
      <c r="J75" s="201"/>
    </row>
    <row r="76" spans="1:10" x14ac:dyDescent="0.3">
      <c r="A76" s="249">
        <v>65</v>
      </c>
      <c r="B76" s="260">
        <v>9.44</v>
      </c>
      <c r="C76" s="247">
        <v>1.6314583333333335</v>
      </c>
      <c r="D76" s="260">
        <v>7.81</v>
      </c>
      <c r="E76" s="258"/>
      <c r="F76" s="261">
        <v>230.94</v>
      </c>
      <c r="H76" s="8"/>
      <c r="I76" s="205"/>
      <c r="J76" s="201"/>
    </row>
    <row r="77" spans="1:10" x14ac:dyDescent="0.3">
      <c r="A77" s="249">
        <v>66</v>
      </c>
      <c r="B77" s="260">
        <v>9.39</v>
      </c>
      <c r="C77" s="247">
        <v>1.5780729166666667</v>
      </c>
      <c r="D77" s="260">
        <v>7.81</v>
      </c>
      <c r="E77" s="258"/>
      <c r="F77" s="261">
        <v>223.13</v>
      </c>
      <c r="H77" s="8"/>
      <c r="I77" s="205"/>
      <c r="J77" s="201"/>
    </row>
    <row r="78" spans="1:10" x14ac:dyDescent="0.3">
      <c r="A78" s="249">
        <v>67</v>
      </c>
      <c r="B78" s="260">
        <v>9.34</v>
      </c>
      <c r="C78" s="247">
        <v>1.5246875</v>
      </c>
      <c r="D78" s="260">
        <v>7.81</v>
      </c>
      <c r="E78" s="258"/>
      <c r="F78" s="261">
        <v>215.31</v>
      </c>
      <c r="H78" s="8"/>
      <c r="I78" s="205"/>
      <c r="J78" s="201"/>
    </row>
    <row r="79" spans="1:10" x14ac:dyDescent="0.3">
      <c r="A79" s="249">
        <v>68</v>
      </c>
      <c r="B79" s="260">
        <v>9.2799999999999994</v>
      </c>
      <c r="C79" s="247">
        <v>1.4713020833333335</v>
      </c>
      <c r="D79" s="260">
        <v>7.81</v>
      </c>
      <c r="E79" s="258"/>
      <c r="F79" s="261">
        <v>207.5</v>
      </c>
      <c r="H79" s="8"/>
      <c r="I79" s="205"/>
      <c r="J79" s="201"/>
    </row>
    <row r="80" spans="1:10" x14ac:dyDescent="0.3">
      <c r="A80" s="249">
        <v>69</v>
      </c>
      <c r="B80" s="260">
        <v>9.23</v>
      </c>
      <c r="C80" s="247">
        <v>1.4179166666666667</v>
      </c>
      <c r="D80" s="260">
        <v>7.81</v>
      </c>
      <c r="E80" s="258"/>
      <c r="F80" s="261">
        <v>199.69</v>
      </c>
      <c r="H80" s="8"/>
      <c r="I80" s="205"/>
      <c r="J80" s="201"/>
    </row>
    <row r="81" spans="1:10" x14ac:dyDescent="0.3">
      <c r="A81" s="249">
        <v>70</v>
      </c>
      <c r="B81" s="260">
        <v>9.18</v>
      </c>
      <c r="C81" s="247">
        <v>1.36453125</v>
      </c>
      <c r="D81" s="260">
        <v>7.81</v>
      </c>
      <c r="E81" s="258"/>
      <c r="F81" s="261">
        <v>191.88</v>
      </c>
      <c r="H81" s="8"/>
      <c r="I81" s="205"/>
      <c r="J81" s="201"/>
    </row>
    <row r="82" spans="1:10" x14ac:dyDescent="0.3">
      <c r="A82" s="249">
        <v>71</v>
      </c>
      <c r="B82" s="260">
        <v>9.1199999999999992</v>
      </c>
      <c r="C82" s="247">
        <v>1.3111458333333335</v>
      </c>
      <c r="D82" s="260">
        <v>7.81</v>
      </c>
      <c r="E82" s="258"/>
      <c r="F82" s="261">
        <v>184.06</v>
      </c>
      <c r="H82" s="8"/>
      <c r="I82" s="205"/>
      <c r="J82" s="201"/>
    </row>
    <row r="83" spans="1:10" x14ac:dyDescent="0.3">
      <c r="A83" s="249">
        <v>72</v>
      </c>
      <c r="B83" s="260">
        <v>9.07</v>
      </c>
      <c r="C83" s="247">
        <v>1.2577604166666667</v>
      </c>
      <c r="D83" s="260">
        <v>7.81</v>
      </c>
      <c r="E83" s="258"/>
      <c r="F83" s="261">
        <v>176.25</v>
      </c>
      <c r="H83" s="8"/>
      <c r="I83" s="205"/>
      <c r="J83" s="201"/>
    </row>
    <row r="84" spans="1:10" x14ac:dyDescent="0.3">
      <c r="A84" s="249">
        <v>73</v>
      </c>
      <c r="B84" s="260">
        <v>9.02</v>
      </c>
      <c r="C84" s="247">
        <v>1.204375</v>
      </c>
      <c r="D84" s="260">
        <v>7.81</v>
      </c>
      <c r="E84" s="258"/>
      <c r="F84" s="261">
        <v>168.44</v>
      </c>
      <c r="H84" s="8"/>
      <c r="I84" s="205"/>
      <c r="J84" s="201"/>
    </row>
    <row r="85" spans="1:10" x14ac:dyDescent="0.3">
      <c r="A85" s="249">
        <v>74</v>
      </c>
      <c r="B85" s="260">
        <v>8.9600000000000009</v>
      </c>
      <c r="C85" s="247">
        <v>1.1509895833333335</v>
      </c>
      <c r="D85" s="260">
        <v>7.81</v>
      </c>
      <c r="E85" s="258"/>
      <c r="F85" s="261">
        <v>160.63</v>
      </c>
      <c r="H85" s="8"/>
      <c r="I85" s="205"/>
      <c r="J85" s="201"/>
    </row>
    <row r="86" spans="1:10" x14ac:dyDescent="0.3">
      <c r="A86" s="249">
        <v>75</v>
      </c>
      <c r="B86" s="260">
        <v>8.91</v>
      </c>
      <c r="C86" s="247">
        <v>1.0976041666666667</v>
      </c>
      <c r="D86" s="260">
        <v>7.81</v>
      </c>
      <c r="E86" s="258"/>
      <c r="F86" s="261">
        <v>152.81</v>
      </c>
      <c r="H86" s="8"/>
      <c r="I86" s="205"/>
      <c r="J86" s="201"/>
    </row>
    <row r="87" spans="1:10" x14ac:dyDescent="0.3">
      <c r="A87" s="249">
        <v>76</v>
      </c>
      <c r="B87" s="260">
        <v>8.86</v>
      </c>
      <c r="C87" s="247">
        <v>1.04421875</v>
      </c>
      <c r="D87" s="260">
        <v>7.81</v>
      </c>
      <c r="E87" s="258"/>
      <c r="F87" s="261">
        <v>145</v>
      </c>
      <c r="H87" s="8"/>
      <c r="I87" s="205"/>
      <c r="J87" s="201"/>
    </row>
    <row r="88" spans="1:10" x14ac:dyDescent="0.3">
      <c r="A88" s="249">
        <v>77</v>
      </c>
      <c r="B88" s="260">
        <v>8.8000000000000007</v>
      </c>
      <c r="C88" s="247">
        <v>0.99083333333333334</v>
      </c>
      <c r="D88" s="260">
        <v>7.81</v>
      </c>
      <c r="E88" s="258"/>
      <c r="F88" s="261">
        <v>137.19</v>
      </c>
      <c r="H88" s="8"/>
      <c r="I88" s="205"/>
      <c r="J88" s="201"/>
    </row>
    <row r="89" spans="1:10" x14ac:dyDescent="0.3">
      <c r="A89" s="249">
        <v>78</v>
      </c>
      <c r="B89" s="260">
        <v>8.75</v>
      </c>
      <c r="C89" s="247">
        <v>0.93744791666666671</v>
      </c>
      <c r="D89" s="260">
        <v>7.81</v>
      </c>
      <c r="E89" s="258"/>
      <c r="F89" s="261">
        <v>129.38</v>
      </c>
      <c r="H89" s="8"/>
      <c r="I89" s="205"/>
      <c r="J89" s="201"/>
    </row>
    <row r="90" spans="1:10" x14ac:dyDescent="0.3">
      <c r="A90" s="249">
        <v>79</v>
      </c>
      <c r="B90" s="260">
        <v>8.6999999999999993</v>
      </c>
      <c r="C90" s="247">
        <v>0.88406250000000008</v>
      </c>
      <c r="D90" s="260">
        <v>7.81</v>
      </c>
      <c r="E90" s="258"/>
      <c r="F90" s="261">
        <v>121.56</v>
      </c>
      <c r="H90" s="8"/>
      <c r="I90" s="205"/>
      <c r="J90" s="201"/>
    </row>
    <row r="91" spans="1:10" x14ac:dyDescent="0.3">
      <c r="A91" s="249">
        <v>80</v>
      </c>
      <c r="B91" s="260">
        <v>8.64</v>
      </c>
      <c r="C91" s="247">
        <v>0.83067708333333334</v>
      </c>
      <c r="D91" s="260">
        <v>7.81</v>
      </c>
      <c r="E91" s="258"/>
      <c r="F91" s="261">
        <v>113.75</v>
      </c>
      <c r="H91" s="8"/>
      <c r="I91" s="205"/>
      <c r="J91" s="201"/>
    </row>
    <row r="92" spans="1:10" x14ac:dyDescent="0.3">
      <c r="A92" s="249">
        <v>81</v>
      </c>
      <c r="B92" s="260">
        <v>8.59</v>
      </c>
      <c r="C92" s="247">
        <v>0.77729166666666671</v>
      </c>
      <c r="D92" s="260">
        <v>7.81</v>
      </c>
      <c r="E92" s="258"/>
      <c r="F92" s="261">
        <v>105.94</v>
      </c>
      <c r="H92" s="8"/>
      <c r="I92" s="205"/>
      <c r="J92" s="201"/>
    </row>
    <row r="93" spans="1:10" x14ac:dyDescent="0.3">
      <c r="A93" s="249">
        <v>82</v>
      </c>
      <c r="B93" s="260">
        <v>8.5399999999999991</v>
      </c>
      <c r="C93" s="247">
        <v>0.72390625000000008</v>
      </c>
      <c r="D93" s="260">
        <v>7.81</v>
      </c>
      <c r="E93" s="258"/>
      <c r="F93" s="261">
        <v>98.13</v>
      </c>
      <c r="H93" s="8"/>
      <c r="I93" s="205"/>
      <c r="J93" s="201"/>
    </row>
    <row r="94" spans="1:10" x14ac:dyDescent="0.3">
      <c r="A94" s="249">
        <v>83</v>
      </c>
      <c r="B94" s="260">
        <v>8.48</v>
      </c>
      <c r="C94" s="247">
        <v>0.67052083333333334</v>
      </c>
      <c r="D94" s="260">
        <v>7.81</v>
      </c>
      <c r="E94" s="258"/>
      <c r="F94" s="261">
        <v>90.31</v>
      </c>
      <c r="H94" s="8"/>
      <c r="I94" s="205"/>
      <c r="J94" s="201"/>
    </row>
    <row r="95" spans="1:10" x14ac:dyDescent="0.3">
      <c r="A95" s="249">
        <v>84</v>
      </c>
      <c r="B95" s="260">
        <v>8.43</v>
      </c>
      <c r="C95" s="247">
        <v>0.61713541666666671</v>
      </c>
      <c r="D95" s="260">
        <v>7.81</v>
      </c>
      <c r="E95" s="258"/>
      <c r="F95" s="261">
        <v>82.5</v>
      </c>
      <c r="H95" s="8"/>
      <c r="I95" s="205"/>
      <c r="J95" s="201"/>
    </row>
    <row r="96" spans="1:10" x14ac:dyDescent="0.3">
      <c r="A96" s="249">
        <v>85</v>
      </c>
      <c r="B96" s="260">
        <v>8.3800000000000008</v>
      </c>
      <c r="C96" s="247">
        <v>0.56374999999999997</v>
      </c>
      <c r="D96" s="260">
        <v>7.81</v>
      </c>
      <c r="E96" s="258"/>
      <c r="F96" s="261">
        <v>74.69</v>
      </c>
      <c r="H96" s="8"/>
      <c r="I96" s="205"/>
      <c r="J96" s="201"/>
    </row>
    <row r="97" spans="1:10" x14ac:dyDescent="0.3">
      <c r="A97" s="249">
        <v>86</v>
      </c>
      <c r="B97" s="260">
        <v>8.32</v>
      </c>
      <c r="C97" s="247">
        <v>0.51036458333333334</v>
      </c>
      <c r="D97" s="260">
        <v>7.81</v>
      </c>
      <c r="E97" s="258"/>
      <c r="F97" s="261">
        <v>66.88</v>
      </c>
      <c r="H97" s="8"/>
      <c r="I97" s="205"/>
      <c r="J97" s="201"/>
    </row>
    <row r="98" spans="1:10" x14ac:dyDescent="0.3">
      <c r="A98" s="249">
        <v>87</v>
      </c>
      <c r="B98" s="260">
        <v>8.27</v>
      </c>
      <c r="C98" s="247">
        <v>0.45697916666666666</v>
      </c>
      <c r="D98" s="260">
        <v>7.81</v>
      </c>
      <c r="E98" s="258"/>
      <c r="F98" s="261">
        <v>59.06</v>
      </c>
      <c r="H98" s="8"/>
      <c r="I98" s="205"/>
      <c r="J98" s="201"/>
    </row>
    <row r="99" spans="1:10" x14ac:dyDescent="0.3">
      <c r="A99" s="249">
        <v>88</v>
      </c>
      <c r="B99" s="260">
        <v>8.2200000000000006</v>
      </c>
      <c r="C99" s="247">
        <v>0.40359375000000003</v>
      </c>
      <c r="D99" s="260">
        <v>7.81</v>
      </c>
      <c r="E99" s="258"/>
      <c r="F99" s="261">
        <v>51.25</v>
      </c>
      <c r="H99" s="8"/>
      <c r="I99" s="205"/>
      <c r="J99" s="201"/>
    </row>
    <row r="100" spans="1:10" x14ac:dyDescent="0.3">
      <c r="A100" s="249">
        <v>89</v>
      </c>
      <c r="B100" s="260">
        <v>8.16</v>
      </c>
      <c r="C100" s="247">
        <v>0.35020833333333334</v>
      </c>
      <c r="D100" s="260">
        <v>7.81</v>
      </c>
      <c r="E100" s="258"/>
      <c r="F100" s="261">
        <v>43.44</v>
      </c>
      <c r="H100" s="8"/>
      <c r="I100" s="205"/>
      <c r="J100" s="201"/>
    </row>
    <row r="101" spans="1:10" x14ac:dyDescent="0.3">
      <c r="A101" s="249">
        <v>90</v>
      </c>
      <c r="B101" s="260">
        <v>8.11</v>
      </c>
      <c r="C101" s="247">
        <v>0.29682291666666666</v>
      </c>
      <c r="D101" s="260">
        <v>7.81</v>
      </c>
      <c r="E101" s="258"/>
      <c r="F101" s="261">
        <v>35.630000000000003</v>
      </c>
      <c r="H101" s="8"/>
      <c r="I101" s="205"/>
      <c r="J101" s="201"/>
    </row>
    <row r="102" spans="1:10" x14ac:dyDescent="0.3">
      <c r="A102" s="249">
        <v>91</v>
      </c>
      <c r="B102" s="260">
        <v>8.06</v>
      </c>
      <c r="C102" s="247">
        <v>0.2434375</v>
      </c>
      <c r="D102" s="260">
        <v>7.81</v>
      </c>
      <c r="E102" s="258"/>
      <c r="F102" s="261">
        <v>27.81</v>
      </c>
      <c r="H102" s="8"/>
      <c r="I102" s="205"/>
      <c r="J102" s="201"/>
    </row>
    <row r="103" spans="1:10" x14ac:dyDescent="0.3">
      <c r="A103" s="249">
        <v>92</v>
      </c>
      <c r="B103" s="260">
        <v>8</v>
      </c>
      <c r="C103" s="247">
        <v>0.19005208333333334</v>
      </c>
      <c r="D103" s="260">
        <v>7.81</v>
      </c>
      <c r="E103" s="258"/>
      <c r="F103" s="261">
        <v>20</v>
      </c>
      <c r="H103" s="8"/>
      <c r="I103" s="205"/>
      <c r="J103" s="201"/>
    </row>
    <row r="104" spans="1:10" x14ac:dyDescent="0.3">
      <c r="A104" s="249">
        <v>93</v>
      </c>
      <c r="B104" s="260">
        <v>7.95</v>
      </c>
      <c r="C104" s="247">
        <v>0.13666666666666666</v>
      </c>
      <c r="D104" s="260">
        <v>7.81</v>
      </c>
      <c r="E104" s="258"/>
      <c r="F104" s="261">
        <v>12.19</v>
      </c>
      <c r="H104" s="8"/>
      <c r="I104" s="205"/>
      <c r="J104" s="201"/>
    </row>
    <row r="105" spans="1:10" x14ac:dyDescent="0.3">
      <c r="A105" s="249">
        <v>94</v>
      </c>
      <c r="B105" s="260">
        <v>7.9</v>
      </c>
      <c r="C105" s="247">
        <v>8.3281250000000001E-2</v>
      </c>
      <c r="D105" s="260">
        <v>7.81</v>
      </c>
      <c r="E105" s="258"/>
      <c r="F105" s="261">
        <v>4.38</v>
      </c>
      <c r="H105" s="8"/>
      <c r="I105" s="205"/>
      <c r="J105" s="201"/>
    </row>
    <row r="106" spans="1:10" x14ac:dyDescent="0.3">
      <c r="A106" s="249">
        <v>95</v>
      </c>
      <c r="B106" s="260">
        <v>4.4000000000000004</v>
      </c>
      <c r="C106" s="247">
        <v>2.9895833333333333E-2</v>
      </c>
      <c r="D106" s="260">
        <v>4.37</v>
      </c>
      <c r="E106" s="258"/>
      <c r="F106" s="261">
        <v>0</v>
      </c>
      <c r="H106" s="8"/>
      <c r="I106" s="205"/>
      <c r="J106" s="201"/>
    </row>
    <row r="107" spans="1:10" x14ac:dyDescent="0.3">
      <c r="A107" s="249"/>
      <c r="B107" s="260"/>
      <c r="C107" s="247"/>
      <c r="D107" s="260"/>
      <c r="E107" s="258"/>
      <c r="F107" s="261"/>
      <c r="H107" s="8"/>
      <c r="I107" s="205"/>
      <c r="J107" s="201"/>
    </row>
    <row r="108" spans="1:10" x14ac:dyDescent="0.3">
      <c r="A108" s="249"/>
      <c r="B108" s="260"/>
      <c r="C108" s="247"/>
      <c r="D108" s="260"/>
      <c r="E108" s="258"/>
      <c r="F108" s="261"/>
      <c r="H108" s="8"/>
      <c r="I108" s="205"/>
      <c r="J108" s="201"/>
    </row>
    <row r="109" spans="1:10" x14ac:dyDescent="0.3">
      <c r="A109" s="249"/>
      <c r="B109" s="260"/>
      <c r="C109" s="247"/>
      <c r="D109" s="260"/>
      <c r="E109" s="258"/>
      <c r="F109" s="261"/>
      <c r="H109" s="8"/>
      <c r="I109" s="205"/>
      <c r="J109" s="201"/>
    </row>
    <row r="110" spans="1:10" x14ac:dyDescent="0.3">
      <c r="A110" s="249"/>
      <c r="B110" s="260"/>
      <c r="C110" s="247"/>
      <c r="D110" s="260"/>
      <c r="E110" s="258"/>
      <c r="F110" s="261"/>
      <c r="H110" s="8"/>
      <c r="I110" s="205"/>
      <c r="J110" s="201"/>
    </row>
    <row r="111" spans="1:10" x14ac:dyDescent="0.3">
      <c r="A111" s="249"/>
      <c r="B111" s="260"/>
      <c r="C111" s="247"/>
      <c r="D111" s="260"/>
      <c r="E111" s="258"/>
      <c r="F111" s="261"/>
      <c r="H111" s="8"/>
      <c r="I111" s="205"/>
      <c r="J111" s="201"/>
    </row>
    <row r="112" spans="1:10" x14ac:dyDescent="0.3">
      <c r="A112" s="249"/>
      <c r="B112" s="260"/>
      <c r="C112" s="247"/>
      <c r="D112" s="260"/>
      <c r="E112" s="258"/>
      <c r="F112" s="261"/>
      <c r="H112" s="8"/>
      <c r="I112" s="205"/>
      <c r="J112" s="201"/>
    </row>
    <row r="113" spans="1:10" x14ac:dyDescent="0.3">
      <c r="A113" s="249"/>
      <c r="B113" s="260"/>
      <c r="C113" s="247"/>
      <c r="D113" s="260"/>
      <c r="E113" s="258"/>
      <c r="F113" s="261"/>
      <c r="H113" s="8"/>
      <c r="I113" s="205"/>
      <c r="J113" s="201"/>
    </row>
    <row r="114" spans="1:10" x14ac:dyDescent="0.3">
      <c r="A114" s="249"/>
      <c r="B114" s="260"/>
      <c r="C114" s="247"/>
      <c r="D114" s="260"/>
      <c r="E114" s="258"/>
      <c r="F114" s="261"/>
      <c r="H114" s="8"/>
      <c r="I114" s="205"/>
      <c r="J114" s="201"/>
    </row>
    <row r="115" spans="1:10" x14ac:dyDescent="0.3">
      <c r="A115" s="249"/>
      <c r="B115" s="260"/>
      <c r="C115" s="247"/>
      <c r="D115" s="260"/>
      <c r="E115" s="258"/>
      <c r="F115" s="261"/>
      <c r="H115" s="8"/>
      <c r="I115" s="205"/>
      <c r="J115" s="201"/>
    </row>
    <row r="116" spans="1:10" x14ac:dyDescent="0.3">
      <c r="A116" s="249"/>
      <c r="B116" s="260"/>
      <c r="C116" s="247"/>
      <c r="D116" s="260"/>
      <c r="E116" s="258"/>
      <c r="F116" s="261"/>
      <c r="H116" s="8"/>
      <c r="I116" s="205"/>
      <c r="J116" s="201"/>
    </row>
    <row r="117" spans="1:10" x14ac:dyDescent="0.3">
      <c r="A117" s="249"/>
      <c r="B117" s="260"/>
      <c r="C117" s="247"/>
      <c r="D117" s="260"/>
      <c r="E117" s="258"/>
      <c r="F117" s="261"/>
      <c r="H117" s="8"/>
      <c r="I117" s="205"/>
      <c r="J117" s="201"/>
    </row>
    <row r="118" spans="1:10" x14ac:dyDescent="0.3">
      <c r="A118" s="249"/>
      <c r="B118" s="260"/>
      <c r="C118" s="247"/>
      <c r="D118" s="260"/>
      <c r="E118" s="258"/>
      <c r="F118" s="261"/>
      <c r="H118" s="8"/>
      <c r="I118" s="205"/>
      <c r="J118" s="201"/>
    </row>
    <row r="119" spans="1:10" x14ac:dyDescent="0.3">
      <c r="A119" s="249"/>
      <c r="B119" s="260"/>
      <c r="C119" s="247"/>
      <c r="D119" s="260"/>
      <c r="E119" s="258"/>
      <c r="F119" s="261"/>
      <c r="H119" s="8"/>
      <c r="I119" s="205"/>
      <c r="J119" s="201"/>
    </row>
    <row r="120" spans="1:10" x14ac:dyDescent="0.3">
      <c r="A120" s="249"/>
      <c r="B120" s="260"/>
      <c r="C120" s="247"/>
      <c r="D120" s="260"/>
      <c r="E120" s="258"/>
      <c r="F120" s="261"/>
      <c r="H120" s="8"/>
      <c r="I120" s="205"/>
      <c r="J120" s="201"/>
    </row>
    <row r="121" spans="1:10" x14ac:dyDescent="0.3">
      <c r="A121" s="249"/>
      <c r="B121" s="260"/>
      <c r="C121" s="247"/>
      <c r="D121" s="260"/>
      <c r="E121" s="258"/>
      <c r="F121" s="261"/>
      <c r="H121" s="8"/>
      <c r="I121" s="205"/>
      <c r="J121" s="201"/>
    </row>
    <row r="122" spans="1:10" x14ac:dyDescent="0.3">
      <c r="A122" s="249"/>
      <c r="B122" s="260"/>
      <c r="C122" s="247"/>
      <c r="D122" s="260"/>
      <c r="E122" s="258"/>
      <c r="F122" s="261"/>
      <c r="H122" s="8"/>
      <c r="I122" s="205"/>
      <c r="J122" s="201"/>
    </row>
    <row r="123" spans="1:10" x14ac:dyDescent="0.3">
      <c r="A123" s="249"/>
      <c r="B123" s="260"/>
      <c r="C123" s="247"/>
      <c r="D123" s="260"/>
      <c r="E123" s="258"/>
      <c r="F123" s="261"/>
      <c r="H123" s="8"/>
      <c r="I123" s="205"/>
      <c r="J123" s="201"/>
    </row>
    <row r="124" spans="1:10" x14ac:dyDescent="0.3">
      <c r="A124" s="249"/>
      <c r="B124" s="260"/>
      <c r="C124" s="247"/>
      <c r="D124" s="260"/>
      <c r="E124" s="258"/>
      <c r="F124" s="261"/>
      <c r="H124" s="8"/>
      <c r="I124" s="205"/>
      <c r="J124" s="201"/>
    </row>
    <row r="125" spans="1:10" x14ac:dyDescent="0.3">
      <c r="A125" s="249"/>
      <c r="B125" s="260"/>
      <c r="C125" s="247"/>
      <c r="D125" s="260"/>
      <c r="E125" s="258"/>
      <c r="F125" s="261"/>
      <c r="H125" s="8"/>
      <c r="I125" s="205"/>
      <c r="J125" s="201"/>
    </row>
    <row r="126" spans="1:10" x14ac:dyDescent="0.3">
      <c r="A126" s="249"/>
      <c r="B126" s="260"/>
      <c r="C126" s="247"/>
      <c r="D126" s="260"/>
      <c r="E126" s="258"/>
      <c r="F126" s="261"/>
      <c r="H126" s="8"/>
      <c r="I126" s="205"/>
      <c r="J126" s="201"/>
    </row>
    <row r="127" spans="1:10" x14ac:dyDescent="0.3">
      <c r="A127" s="249"/>
      <c r="B127" s="260"/>
      <c r="C127" s="247"/>
      <c r="D127" s="260"/>
      <c r="E127" s="258"/>
      <c r="F127" s="261"/>
      <c r="H127" s="8"/>
      <c r="I127" s="205"/>
      <c r="J127" s="201"/>
    </row>
    <row r="128" spans="1:10" x14ac:dyDescent="0.3">
      <c r="A128" s="249"/>
      <c r="B128" s="260"/>
      <c r="C128" s="247"/>
      <c r="D128" s="260"/>
      <c r="E128" s="258"/>
      <c r="F128" s="261"/>
      <c r="H128" s="8"/>
      <c r="I128" s="205"/>
      <c r="J128" s="201"/>
    </row>
    <row r="129" spans="1:10" x14ac:dyDescent="0.3">
      <c r="A129" s="249"/>
      <c r="B129" s="260"/>
      <c r="C129" s="247"/>
      <c r="D129" s="260"/>
      <c r="E129" s="258"/>
      <c r="F129" s="261"/>
      <c r="H129" s="8"/>
      <c r="I129" s="205"/>
      <c r="J129" s="201"/>
    </row>
    <row r="130" spans="1:10" x14ac:dyDescent="0.3">
      <c r="A130" s="249"/>
      <c r="B130" s="260"/>
      <c r="C130" s="247"/>
      <c r="D130" s="260"/>
      <c r="E130" s="258"/>
      <c r="F130" s="261"/>
      <c r="H130" s="8"/>
      <c r="I130" s="205"/>
      <c r="J130" s="201"/>
    </row>
    <row r="131" spans="1:10" x14ac:dyDescent="0.3">
      <c r="A131" s="249"/>
      <c r="B131" s="260"/>
      <c r="C131" s="247"/>
      <c r="D131" s="260"/>
      <c r="E131" s="258"/>
      <c r="F131" s="261"/>
      <c r="H131" s="8"/>
      <c r="I131" s="205"/>
      <c r="J131" s="201"/>
    </row>
    <row r="132" spans="1:10" x14ac:dyDescent="0.3">
      <c r="A132" s="8"/>
      <c r="B132" s="262"/>
      <c r="C132" s="10"/>
      <c r="D132" s="262"/>
      <c r="E132" s="205"/>
      <c r="F132" s="263"/>
      <c r="H132" s="8"/>
      <c r="I132" s="205"/>
      <c r="J132" s="201"/>
    </row>
    <row r="133" spans="1:10" x14ac:dyDescent="0.3">
      <c r="A133" s="8"/>
      <c r="B133" s="262"/>
      <c r="C133" s="10"/>
      <c r="D133" s="262"/>
      <c r="E133" s="205"/>
      <c r="F133" s="263"/>
      <c r="H133" s="8"/>
      <c r="I133" s="205"/>
      <c r="J133" s="201"/>
    </row>
    <row r="134" spans="1:10" x14ac:dyDescent="0.3">
      <c r="A134" s="8"/>
      <c r="B134" s="262"/>
      <c r="C134" s="10"/>
      <c r="D134" s="262"/>
      <c r="E134" s="205"/>
      <c r="F134" s="263"/>
      <c r="H134" s="8"/>
      <c r="I134" s="205"/>
      <c r="J134" s="201"/>
    </row>
    <row r="135" spans="1:10" x14ac:dyDescent="0.3">
      <c r="A135" s="8"/>
      <c r="B135" s="262"/>
      <c r="C135" s="10"/>
      <c r="D135" s="262"/>
      <c r="E135" s="205"/>
      <c r="F135" s="263"/>
      <c r="H135" s="8"/>
      <c r="I135" s="205"/>
      <c r="J135" s="201"/>
    </row>
    <row r="136" spans="1:10" x14ac:dyDescent="0.3">
      <c r="A136" s="8"/>
      <c r="B136" s="262"/>
      <c r="C136" s="10"/>
      <c r="D136" s="262"/>
      <c r="E136" s="205"/>
      <c r="F136" s="263"/>
      <c r="H136" s="8"/>
      <c r="I136" s="205"/>
      <c r="J136" s="201"/>
    </row>
    <row r="137" spans="1:10" x14ac:dyDescent="0.3">
      <c r="A137" s="8"/>
      <c r="B137" s="262"/>
      <c r="C137" s="10"/>
      <c r="D137" s="262"/>
      <c r="E137" s="205"/>
      <c r="F137" s="263"/>
      <c r="H137" s="8"/>
      <c r="I137" s="205"/>
      <c r="J137" s="201"/>
    </row>
    <row r="138" spans="1:10" x14ac:dyDescent="0.3">
      <c r="A138" s="8"/>
      <c r="B138" s="262"/>
      <c r="C138" s="10"/>
      <c r="D138" s="262"/>
      <c r="E138" s="205"/>
      <c r="F138" s="263"/>
      <c r="H138" s="8"/>
      <c r="I138" s="205"/>
      <c r="J138" s="201"/>
    </row>
    <row r="139" spans="1:10" x14ac:dyDescent="0.3">
      <c r="A139" s="8"/>
      <c r="B139" s="262"/>
      <c r="C139" s="10"/>
      <c r="D139" s="262"/>
      <c r="E139" s="205"/>
      <c r="F139" s="263"/>
      <c r="H139" s="8"/>
      <c r="I139" s="205"/>
      <c r="J139" s="201"/>
    </row>
    <row r="140" spans="1:10" x14ac:dyDescent="0.3">
      <c r="A140" s="8"/>
      <c r="B140" s="262"/>
      <c r="C140" s="10"/>
      <c r="D140" s="262"/>
      <c r="E140" s="205"/>
      <c r="F140" s="263"/>
      <c r="H140" s="8"/>
      <c r="I140" s="205"/>
      <c r="J140" s="201"/>
    </row>
    <row r="141" spans="1:10" x14ac:dyDescent="0.3">
      <c r="A141" s="8"/>
      <c r="B141" s="262"/>
      <c r="C141" s="10"/>
      <c r="D141" s="262"/>
      <c r="E141" s="205"/>
      <c r="F141" s="263"/>
      <c r="H141" s="8"/>
      <c r="I141" s="205"/>
      <c r="J141" s="201"/>
    </row>
    <row r="142" spans="1:10" x14ac:dyDescent="0.3">
      <c r="A142" s="8"/>
      <c r="B142" s="262"/>
      <c r="C142" s="10"/>
      <c r="D142" s="262"/>
      <c r="E142" s="205"/>
      <c r="F142" s="263"/>
      <c r="H142" s="8"/>
      <c r="I142" s="205"/>
      <c r="J142" s="201"/>
    </row>
    <row r="143" spans="1:10" x14ac:dyDescent="0.3">
      <c r="A143" s="8"/>
      <c r="B143" s="262"/>
      <c r="C143" s="10"/>
      <c r="D143" s="262"/>
      <c r="E143" s="205"/>
      <c r="F143" s="263"/>
      <c r="H143" s="8"/>
      <c r="I143" s="205"/>
      <c r="J143" s="201"/>
    </row>
    <row r="144" spans="1:10" x14ac:dyDescent="0.3">
      <c r="A144" s="8"/>
      <c r="B144" s="262"/>
      <c r="C144" s="10"/>
      <c r="D144" s="262"/>
      <c r="E144" s="205"/>
      <c r="F144" s="263"/>
      <c r="H144" s="8"/>
      <c r="I144" s="205"/>
      <c r="J144" s="201"/>
    </row>
    <row r="145" spans="1:10" x14ac:dyDescent="0.3">
      <c r="A145" s="8"/>
      <c r="B145" s="262"/>
      <c r="C145" s="10"/>
      <c r="D145" s="262"/>
      <c r="E145" s="205"/>
      <c r="F145" s="263"/>
      <c r="H145" s="8"/>
      <c r="I145" s="205"/>
      <c r="J145" s="201"/>
    </row>
    <row r="146" spans="1:10" x14ac:dyDescent="0.3">
      <c r="A146" s="8"/>
      <c r="B146" s="262"/>
      <c r="C146" s="10"/>
      <c r="D146" s="262"/>
      <c r="E146" s="205"/>
      <c r="F146" s="263"/>
      <c r="H146" s="8"/>
      <c r="I146" s="205"/>
      <c r="J146" s="201"/>
    </row>
    <row r="147" spans="1:10" x14ac:dyDescent="0.3">
      <c r="A147" s="8"/>
      <c r="B147" s="262"/>
      <c r="C147" s="10"/>
      <c r="D147" s="262"/>
      <c r="E147" s="205"/>
      <c r="F147" s="263"/>
      <c r="H147" s="8"/>
      <c r="I147" s="205"/>
      <c r="J147" s="201"/>
    </row>
    <row r="148" spans="1:10" x14ac:dyDescent="0.3">
      <c r="A148" s="8"/>
      <c r="B148" s="262"/>
      <c r="C148" s="10"/>
      <c r="D148" s="262"/>
      <c r="E148" s="205"/>
      <c r="F148" s="263"/>
      <c r="H148" s="8"/>
      <c r="I148" s="205"/>
      <c r="J148" s="201"/>
    </row>
    <row r="149" spans="1:10" x14ac:dyDescent="0.3">
      <c r="A149" s="8"/>
      <c r="B149" s="262"/>
      <c r="C149" s="10"/>
      <c r="D149" s="262"/>
      <c r="E149" s="205"/>
      <c r="F149" s="263"/>
      <c r="H149" s="8"/>
      <c r="I149" s="205"/>
      <c r="J149" s="201"/>
    </row>
    <row r="150" spans="1:10" x14ac:dyDescent="0.3">
      <c r="A150" s="8"/>
      <c r="B150" s="262"/>
      <c r="C150" s="10"/>
      <c r="D150" s="262"/>
      <c r="E150" s="205"/>
      <c r="F150" s="263"/>
      <c r="H150" s="8"/>
      <c r="I150" s="205"/>
      <c r="J150" s="201"/>
    </row>
    <row r="151" spans="1:10" x14ac:dyDescent="0.3">
      <c r="A151" s="8"/>
      <c r="B151" s="262"/>
      <c r="C151" s="10"/>
      <c r="D151" s="262"/>
      <c r="E151" s="205"/>
      <c r="F151" s="263"/>
      <c r="H151" s="8"/>
      <c r="I151" s="205"/>
      <c r="J151" s="201"/>
    </row>
    <row r="152" spans="1:10" x14ac:dyDescent="0.3">
      <c r="A152" s="8"/>
      <c r="B152" s="262"/>
      <c r="C152" s="10"/>
      <c r="D152" s="262"/>
      <c r="E152" s="205"/>
      <c r="F152" s="263"/>
      <c r="H152" s="8"/>
      <c r="I152" s="205"/>
      <c r="J152" s="201"/>
    </row>
    <row r="153" spans="1:10" x14ac:dyDescent="0.3">
      <c r="A153" s="8"/>
      <c r="B153" s="262"/>
      <c r="C153" s="10"/>
      <c r="D153" s="262"/>
      <c r="E153" s="205"/>
      <c r="F153" s="263"/>
      <c r="H153" s="8"/>
      <c r="I153" s="205"/>
      <c r="J153" s="201"/>
    </row>
    <row r="154" spans="1:10" x14ac:dyDescent="0.3">
      <c r="A154" s="8"/>
      <c r="B154" s="262"/>
      <c r="C154" s="10"/>
      <c r="D154" s="262"/>
      <c r="E154" s="205"/>
      <c r="F154" s="263"/>
      <c r="H154" s="8"/>
      <c r="I154" s="205"/>
      <c r="J154" s="201"/>
    </row>
    <row r="155" spans="1:10" x14ac:dyDescent="0.3">
      <c r="A155" s="8"/>
      <c r="B155" s="262"/>
      <c r="C155" s="10"/>
      <c r="D155" s="262"/>
      <c r="E155" s="205"/>
      <c r="F155" s="263"/>
      <c r="H155" s="8"/>
      <c r="I155" s="205"/>
      <c r="J155" s="201"/>
    </row>
    <row r="156" spans="1:10" x14ac:dyDescent="0.3">
      <c r="A156" s="8"/>
      <c r="B156" s="262"/>
      <c r="C156" s="10"/>
      <c r="D156" s="262"/>
      <c r="E156" s="205"/>
      <c r="F156" s="263"/>
      <c r="H156" s="8"/>
      <c r="I156" s="205"/>
      <c r="J156" s="201"/>
    </row>
    <row r="157" spans="1:10" x14ac:dyDescent="0.3">
      <c r="A157" s="8"/>
      <c r="B157" s="262"/>
      <c r="C157" s="10"/>
      <c r="D157" s="262"/>
      <c r="E157" s="205"/>
      <c r="F157" s="263"/>
      <c r="H157" s="8"/>
      <c r="I157" s="205"/>
      <c r="J157" s="201"/>
    </row>
    <row r="158" spans="1:10" x14ac:dyDescent="0.3">
      <c r="A158" s="8"/>
      <c r="B158" s="262"/>
      <c r="C158" s="10"/>
      <c r="D158" s="262"/>
      <c r="E158" s="205"/>
      <c r="F158" s="263"/>
      <c r="H158" s="8"/>
      <c r="I158" s="205"/>
      <c r="J158" s="201"/>
    </row>
    <row r="159" spans="1:10" x14ac:dyDescent="0.3">
      <c r="A159" s="8"/>
      <c r="B159" s="262"/>
      <c r="C159" s="10"/>
      <c r="D159" s="262"/>
      <c r="E159" s="205"/>
      <c r="F159" s="263"/>
      <c r="H159" s="8"/>
      <c r="I159" s="205"/>
      <c r="J159" s="201"/>
    </row>
    <row r="160" spans="1:10" x14ac:dyDescent="0.3">
      <c r="A160" s="8"/>
      <c r="B160" s="262"/>
      <c r="C160" s="10"/>
      <c r="D160" s="262"/>
      <c r="E160" s="205"/>
      <c r="F160" s="263"/>
      <c r="H160" s="8"/>
      <c r="I160" s="205"/>
      <c r="J160" s="201"/>
    </row>
    <row r="161" spans="1:10" x14ac:dyDescent="0.3">
      <c r="A161" s="8"/>
      <c r="B161" s="262"/>
      <c r="C161" s="10"/>
      <c r="D161" s="262"/>
      <c r="E161" s="205"/>
      <c r="F161" s="263"/>
      <c r="H161" s="8"/>
      <c r="I161" s="205"/>
      <c r="J161" s="201"/>
    </row>
    <row r="162" spans="1:10" x14ac:dyDescent="0.3">
      <c r="A162" s="8"/>
      <c r="B162" s="262"/>
      <c r="C162" s="10"/>
      <c r="D162" s="262"/>
      <c r="E162" s="205"/>
      <c r="F162" s="263"/>
      <c r="H162" s="8"/>
      <c r="I162" s="205"/>
      <c r="J162" s="201"/>
    </row>
    <row r="163" spans="1:10" x14ac:dyDescent="0.3">
      <c r="A163" s="8"/>
      <c r="B163" s="262"/>
      <c r="C163" s="10"/>
      <c r="D163" s="262"/>
      <c r="E163" s="205"/>
      <c r="F163" s="263"/>
      <c r="H163" s="8"/>
      <c r="I163" s="205"/>
      <c r="J163" s="201"/>
    </row>
    <row r="164" spans="1:10" x14ac:dyDescent="0.3">
      <c r="A164" s="8"/>
      <c r="B164" s="262"/>
      <c r="C164" s="10"/>
      <c r="D164" s="262"/>
      <c r="E164" s="205"/>
      <c r="F164" s="263"/>
      <c r="H164" s="8"/>
      <c r="I164" s="205"/>
      <c r="J164" s="201"/>
    </row>
    <row r="165" spans="1:10" x14ac:dyDescent="0.3">
      <c r="A165" s="8"/>
      <c r="B165" s="262"/>
      <c r="C165" s="10"/>
      <c r="D165" s="262"/>
      <c r="E165" s="205"/>
      <c r="F165" s="263"/>
      <c r="H165" s="8"/>
      <c r="I165" s="205"/>
      <c r="J165" s="201"/>
    </row>
    <row r="166" spans="1:10" x14ac:dyDescent="0.3">
      <c r="A166" s="8"/>
      <c r="B166" s="262"/>
      <c r="C166" s="10"/>
      <c r="D166" s="262"/>
      <c r="E166" s="205"/>
      <c r="F166" s="263"/>
      <c r="H166" s="8"/>
      <c r="I166" s="205"/>
      <c r="J166" s="201"/>
    </row>
    <row r="167" spans="1:10" x14ac:dyDescent="0.3">
      <c r="A167" s="8"/>
      <c r="B167" s="262"/>
      <c r="C167" s="10"/>
      <c r="D167" s="262"/>
      <c r="E167" s="205"/>
      <c r="F167" s="263"/>
      <c r="H167" s="8"/>
      <c r="I167" s="205"/>
      <c r="J167" s="201"/>
    </row>
    <row r="168" spans="1:10" x14ac:dyDescent="0.3">
      <c r="A168" s="8"/>
      <c r="B168" s="262"/>
      <c r="C168" s="10"/>
      <c r="D168" s="262"/>
      <c r="E168" s="205"/>
      <c r="F168" s="263"/>
      <c r="H168" s="8"/>
      <c r="I168" s="205"/>
      <c r="J168" s="201"/>
    </row>
    <row r="169" spans="1:10" x14ac:dyDescent="0.3">
      <c r="A169" s="8"/>
      <c r="B169" s="262"/>
      <c r="C169" s="10"/>
      <c r="D169" s="262"/>
      <c r="E169" s="205"/>
      <c r="F169" s="263"/>
      <c r="H169" s="8"/>
      <c r="I169" s="205"/>
      <c r="J169" s="201"/>
    </row>
    <row r="170" spans="1:10" x14ac:dyDescent="0.3">
      <c r="A170" s="8"/>
      <c r="B170" s="262"/>
      <c r="C170" s="10"/>
      <c r="D170" s="262"/>
      <c r="E170" s="205"/>
      <c r="F170" s="263"/>
      <c r="H170" s="8"/>
      <c r="I170" s="205"/>
      <c r="J170" s="201"/>
    </row>
    <row r="171" spans="1:10" x14ac:dyDescent="0.3">
      <c r="A171" s="8"/>
      <c r="B171" s="262"/>
      <c r="C171" s="10"/>
      <c r="D171" s="262"/>
      <c r="E171" s="205"/>
      <c r="F171" s="263"/>
      <c r="H171" s="8"/>
      <c r="I171" s="205"/>
      <c r="J171" s="201"/>
    </row>
    <row r="172" spans="1:10" x14ac:dyDescent="0.3">
      <c r="A172" s="8"/>
      <c r="B172" s="262"/>
      <c r="C172" s="10"/>
      <c r="D172" s="262"/>
      <c r="E172" s="205"/>
      <c r="F172" s="263"/>
      <c r="H172" s="8"/>
      <c r="I172" s="205"/>
      <c r="J172" s="201"/>
    </row>
    <row r="173" spans="1:10" x14ac:dyDescent="0.3">
      <c r="A173" s="8"/>
      <c r="B173" s="262"/>
      <c r="C173" s="10"/>
      <c r="D173" s="262"/>
      <c r="E173" s="205"/>
      <c r="F173" s="263"/>
      <c r="H173" s="8"/>
      <c r="I173" s="205"/>
      <c r="J173" s="201"/>
    </row>
    <row r="174" spans="1:10" x14ac:dyDescent="0.3">
      <c r="A174" s="8"/>
      <c r="B174" s="262"/>
      <c r="C174" s="10"/>
      <c r="D174" s="262"/>
      <c r="E174" s="205"/>
      <c r="F174" s="263"/>
      <c r="H174" s="8"/>
      <c r="I174" s="205"/>
      <c r="J174" s="201"/>
    </row>
    <row r="175" spans="1:10" x14ac:dyDescent="0.3">
      <c r="A175" s="8"/>
      <c r="B175" s="262"/>
      <c r="C175" s="10"/>
      <c r="D175" s="262"/>
      <c r="E175" s="205"/>
      <c r="F175" s="263"/>
      <c r="H175" s="8"/>
      <c r="I175" s="205"/>
      <c r="J175" s="201"/>
    </row>
    <row r="176" spans="1:10" x14ac:dyDescent="0.3">
      <c r="A176" s="8"/>
      <c r="B176" s="262"/>
      <c r="C176" s="10"/>
      <c r="D176" s="262"/>
      <c r="E176" s="205"/>
      <c r="F176" s="263"/>
      <c r="H176" s="8"/>
      <c r="I176" s="205"/>
      <c r="J176" s="201"/>
    </row>
    <row r="177" spans="1:10" x14ac:dyDescent="0.3">
      <c r="A177" s="8"/>
      <c r="B177" s="262"/>
      <c r="C177" s="10"/>
      <c r="D177" s="262"/>
      <c r="E177" s="205"/>
      <c r="F177" s="263"/>
      <c r="H177" s="8"/>
      <c r="I177" s="205"/>
      <c r="J177" s="201"/>
    </row>
    <row r="178" spans="1:10" x14ac:dyDescent="0.3">
      <c r="A178" s="8"/>
      <c r="B178" s="262"/>
      <c r="C178" s="10"/>
      <c r="D178" s="262"/>
      <c r="E178" s="205"/>
      <c r="F178" s="263"/>
      <c r="H178" s="8"/>
      <c r="I178" s="205"/>
      <c r="J178" s="201"/>
    </row>
    <row r="179" spans="1:10" x14ac:dyDescent="0.3">
      <c r="A179" s="8"/>
      <c r="B179" s="262"/>
      <c r="C179" s="10"/>
      <c r="D179" s="262"/>
      <c r="E179" s="205"/>
      <c r="F179" s="263"/>
      <c r="H179" s="8"/>
      <c r="I179" s="205"/>
      <c r="J179" s="201"/>
    </row>
    <row r="180" spans="1:10" x14ac:dyDescent="0.3">
      <c r="A180" s="8"/>
      <c r="B180" s="262"/>
      <c r="C180" s="10"/>
      <c r="D180" s="262"/>
      <c r="E180" s="205"/>
      <c r="F180" s="263"/>
      <c r="H180" s="8"/>
      <c r="I180" s="205"/>
      <c r="J180" s="201"/>
    </row>
    <row r="181" spans="1:10" x14ac:dyDescent="0.3">
      <c r="A181" s="8"/>
      <c r="B181" s="262"/>
      <c r="C181" s="10"/>
      <c r="D181" s="262"/>
      <c r="E181" s="205"/>
      <c r="F181" s="263"/>
      <c r="H181" s="8"/>
      <c r="I181" s="205"/>
      <c r="J181" s="201"/>
    </row>
    <row r="182" spans="1:10" x14ac:dyDescent="0.3">
      <c r="A182" s="8"/>
      <c r="B182" s="262"/>
      <c r="C182" s="10"/>
      <c r="D182" s="262"/>
      <c r="E182" s="205"/>
      <c r="F182" s="263"/>
      <c r="H182" s="8"/>
      <c r="I182" s="205"/>
      <c r="J182" s="201"/>
    </row>
    <row r="183" spans="1:10" x14ac:dyDescent="0.3">
      <c r="A183" s="8"/>
      <c r="B183" s="262"/>
      <c r="C183" s="10"/>
      <c r="D183" s="262"/>
      <c r="E183" s="205"/>
      <c r="F183" s="263"/>
      <c r="H183" s="8"/>
      <c r="I183" s="205"/>
      <c r="J183" s="201"/>
    </row>
    <row r="184" spans="1:10" x14ac:dyDescent="0.3">
      <c r="A184" s="8"/>
      <c r="B184" s="262"/>
      <c r="C184" s="10"/>
      <c r="D184" s="262"/>
      <c r="E184" s="205"/>
      <c r="F184" s="263"/>
      <c r="H184" s="8"/>
      <c r="I184" s="205"/>
      <c r="J184" s="201"/>
    </row>
    <row r="185" spans="1:10" x14ac:dyDescent="0.3">
      <c r="A185" s="8"/>
      <c r="B185" s="262"/>
      <c r="C185" s="10"/>
      <c r="D185" s="262"/>
      <c r="E185" s="205"/>
      <c r="F185" s="263"/>
      <c r="H185" s="8"/>
      <c r="I185" s="205"/>
      <c r="J185" s="201"/>
    </row>
    <row r="186" spans="1:10" x14ac:dyDescent="0.3">
      <c r="A186" s="8"/>
      <c r="B186" s="262"/>
      <c r="C186" s="10"/>
      <c r="D186" s="262"/>
      <c r="E186" s="205"/>
      <c r="F186" s="263"/>
      <c r="H186" s="8"/>
      <c r="I186" s="205"/>
      <c r="J186" s="201"/>
    </row>
    <row r="187" spans="1:10" x14ac:dyDescent="0.3">
      <c r="A187" s="8"/>
      <c r="B187" s="262"/>
      <c r="C187" s="10"/>
      <c r="D187" s="262"/>
      <c r="E187" s="205"/>
      <c r="F187" s="263"/>
      <c r="H187" s="8"/>
      <c r="I187" s="205"/>
      <c r="J187" s="201"/>
    </row>
    <row r="188" spans="1:10" x14ac:dyDescent="0.3">
      <c r="A188" s="8"/>
      <c r="B188" s="262"/>
      <c r="C188" s="10"/>
      <c r="D188" s="262"/>
      <c r="E188" s="205"/>
      <c r="F188" s="263"/>
      <c r="H188" s="8"/>
      <c r="I188" s="205"/>
      <c r="J188" s="201"/>
    </row>
    <row r="189" spans="1:10" x14ac:dyDescent="0.3">
      <c r="A189" s="8"/>
      <c r="B189" s="262"/>
      <c r="C189" s="10"/>
      <c r="D189" s="262"/>
      <c r="E189" s="205"/>
      <c r="F189" s="263"/>
      <c r="H189" s="8"/>
      <c r="I189" s="205"/>
      <c r="J189" s="201"/>
    </row>
    <row r="190" spans="1:10" x14ac:dyDescent="0.3">
      <c r="A190" s="8"/>
      <c r="B190" s="262"/>
      <c r="C190" s="10"/>
      <c r="D190" s="262"/>
      <c r="E190" s="205"/>
      <c r="F190" s="263"/>
      <c r="H190" s="8"/>
      <c r="I190" s="205"/>
      <c r="J190" s="201"/>
    </row>
    <row r="191" spans="1:10" x14ac:dyDescent="0.3">
      <c r="A191" s="8"/>
      <c r="B191" s="262"/>
      <c r="C191" s="10"/>
      <c r="D191" s="262"/>
      <c r="E191" s="205"/>
      <c r="F191" s="263"/>
      <c r="H191" s="8"/>
      <c r="I191" s="205"/>
      <c r="J191" s="201"/>
    </row>
    <row r="192" spans="1:10" x14ac:dyDescent="0.3">
      <c r="A192" s="8"/>
      <c r="B192" s="262"/>
      <c r="C192" s="10"/>
      <c r="D192" s="262"/>
      <c r="E192" s="205"/>
      <c r="F192" s="263"/>
      <c r="H192" s="8"/>
      <c r="I192" s="205"/>
      <c r="J192" s="201"/>
    </row>
    <row r="193" spans="1:10" x14ac:dyDescent="0.3">
      <c r="A193" s="8"/>
      <c r="B193" s="262"/>
      <c r="C193" s="10"/>
      <c r="D193" s="262"/>
      <c r="E193" s="205"/>
      <c r="F193" s="263"/>
      <c r="H193" s="8"/>
      <c r="I193" s="205"/>
      <c r="J193" s="201"/>
    </row>
    <row r="194" spans="1:10" x14ac:dyDescent="0.3">
      <c r="A194" s="8"/>
      <c r="B194" s="262"/>
      <c r="C194" s="10"/>
      <c r="D194" s="262"/>
      <c r="E194" s="205"/>
      <c r="F194" s="263"/>
      <c r="H194" s="8"/>
      <c r="I194" s="205"/>
      <c r="J194" s="201"/>
    </row>
    <row r="195" spans="1:10" x14ac:dyDescent="0.3">
      <c r="A195" s="8"/>
      <c r="B195" s="262"/>
      <c r="C195" s="10"/>
      <c r="D195" s="262"/>
      <c r="E195" s="205"/>
      <c r="F195" s="263"/>
      <c r="H195" s="8"/>
      <c r="I195" s="205"/>
      <c r="J195" s="201"/>
    </row>
    <row r="196" spans="1:10" x14ac:dyDescent="0.3">
      <c r="A196" s="8"/>
      <c r="B196" s="262"/>
      <c r="C196" s="10"/>
      <c r="D196" s="262"/>
      <c r="E196" s="205"/>
      <c r="F196" s="263"/>
      <c r="H196" s="8"/>
      <c r="I196" s="205"/>
      <c r="J196" s="201"/>
    </row>
    <row r="197" spans="1:10" x14ac:dyDescent="0.3">
      <c r="A197" s="8"/>
      <c r="B197" s="262"/>
      <c r="C197" s="10"/>
      <c r="D197" s="262"/>
      <c r="E197" s="205"/>
      <c r="F197" s="263"/>
      <c r="H197" s="8"/>
      <c r="I197" s="205"/>
      <c r="J197" s="201"/>
    </row>
    <row r="198" spans="1:10" x14ac:dyDescent="0.3">
      <c r="A198" s="8"/>
      <c r="B198" s="262"/>
      <c r="C198" s="10"/>
      <c r="D198" s="262"/>
      <c r="E198" s="205"/>
      <c r="F198" s="263"/>
      <c r="H198" s="8"/>
      <c r="I198" s="205"/>
      <c r="J198" s="201"/>
    </row>
    <row r="199" spans="1:10" x14ac:dyDescent="0.3">
      <c r="A199" s="8"/>
      <c r="B199" s="262"/>
      <c r="C199" s="10"/>
      <c r="D199" s="262"/>
      <c r="E199" s="205"/>
      <c r="F199" s="263"/>
      <c r="H199" s="8"/>
      <c r="I199" s="205"/>
      <c r="J199" s="201"/>
    </row>
    <row r="200" spans="1:10" x14ac:dyDescent="0.3">
      <c r="A200" s="8"/>
      <c r="B200" s="262"/>
      <c r="C200" s="10"/>
      <c r="D200" s="262"/>
      <c r="E200" s="205"/>
      <c r="F200" s="263"/>
      <c r="H200" s="8"/>
      <c r="I200" s="205"/>
      <c r="J200" s="201"/>
    </row>
    <row r="201" spans="1:10" x14ac:dyDescent="0.3">
      <c r="A201" s="8"/>
      <c r="B201" s="262"/>
      <c r="C201" s="10"/>
      <c r="D201" s="262"/>
      <c r="E201" s="205"/>
      <c r="F201" s="263"/>
      <c r="H201" s="8"/>
      <c r="I201" s="205"/>
      <c r="J201" s="201"/>
    </row>
    <row r="202" spans="1:10" x14ac:dyDescent="0.3">
      <c r="A202" s="8"/>
      <c r="B202" s="262"/>
      <c r="C202" s="10"/>
      <c r="D202" s="262"/>
      <c r="E202" s="205"/>
      <c r="F202" s="263"/>
      <c r="H202" s="8"/>
      <c r="I202" s="205"/>
      <c r="J202" s="201"/>
    </row>
    <row r="203" spans="1:10" x14ac:dyDescent="0.3">
      <c r="A203" s="8"/>
      <c r="B203" s="262"/>
      <c r="C203" s="10"/>
      <c r="D203" s="262"/>
      <c r="E203" s="205"/>
      <c r="F203" s="263"/>
      <c r="H203" s="8"/>
      <c r="I203" s="205"/>
      <c r="J203" s="201"/>
    </row>
    <row r="204" spans="1:10" x14ac:dyDescent="0.3">
      <c r="A204" s="8"/>
      <c r="B204" s="262"/>
      <c r="C204" s="10"/>
      <c r="D204" s="262"/>
      <c r="E204" s="205"/>
      <c r="F204" s="263"/>
      <c r="H204" s="8"/>
      <c r="I204" s="205"/>
      <c r="J204" s="201"/>
    </row>
    <row r="205" spans="1:10" x14ac:dyDescent="0.3">
      <c r="A205" s="8"/>
      <c r="B205" s="262"/>
      <c r="C205" s="10"/>
      <c r="D205" s="262"/>
      <c r="E205" s="205"/>
      <c r="F205" s="263"/>
      <c r="H205" s="8"/>
      <c r="I205" s="205"/>
      <c r="J205" s="201"/>
    </row>
    <row r="206" spans="1:10" x14ac:dyDescent="0.3">
      <c r="A206" s="8"/>
      <c r="B206" s="262"/>
      <c r="C206" s="10"/>
      <c r="D206" s="262"/>
      <c r="E206" s="205"/>
      <c r="F206" s="263"/>
      <c r="H206" s="8"/>
      <c r="I206" s="205"/>
      <c r="J206" s="201"/>
    </row>
    <row r="207" spans="1:10" x14ac:dyDescent="0.3">
      <c r="A207" s="8"/>
      <c r="B207" s="262"/>
      <c r="C207" s="10"/>
      <c r="D207" s="262"/>
      <c r="E207" s="205"/>
      <c r="F207" s="263"/>
      <c r="H207" s="8"/>
      <c r="I207" s="205"/>
      <c r="J207" s="201"/>
    </row>
    <row r="208" spans="1:10" x14ac:dyDescent="0.3">
      <c r="A208" s="8"/>
      <c r="B208" s="262"/>
      <c r="C208" s="10"/>
      <c r="D208" s="262"/>
      <c r="E208" s="205"/>
      <c r="F208" s="263"/>
      <c r="H208" s="8"/>
      <c r="I208" s="205"/>
      <c r="J208" s="201"/>
    </row>
    <row r="209" spans="1:10" x14ac:dyDescent="0.3">
      <c r="A209" s="8"/>
      <c r="B209" s="262"/>
      <c r="C209" s="10"/>
      <c r="D209" s="262"/>
      <c r="E209" s="205"/>
      <c r="F209" s="263"/>
      <c r="H209" s="8"/>
      <c r="I209" s="205"/>
      <c r="J209" s="201"/>
    </row>
    <row r="210" spans="1:10" x14ac:dyDescent="0.3">
      <c r="A210" s="8"/>
      <c r="B210" s="262"/>
      <c r="C210" s="10"/>
      <c r="D210" s="262"/>
      <c r="E210" s="205"/>
      <c r="F210" s="263"/>
      <c r="H210" s="8"/>
      <c r="I210" s="205"/>
      <c r="J210" s="201"/>
    </row>
    <row r="211" spans="1:10" x14ac:dyDescent="0.3">
      <c r="A211" s="8"/>
      <c r="B211" s="262"/>
      <c r="C211" s="10"/>
      <c r="D211" s="262"/>
      <c r="E211" s="205"/>
      <c r="F211" s="263"/>
      <c r="H211" s="8"/>
      <c r="I211" s="205"/>
      <c r="J211" s="201"/>
    </row>
    <row r="212" spans="1:10" x14ac:dyDescent="0.3">
      <c r="A212" s="8"/>
      <c r="B212" s="262"/>
      <c r="C212" s="10"/>
      <c r="D212" s="262"/>
      <c r="E212" s="205"/>
      <c r="F212" s="263"/>
      <c r="H212" s="8"/>
      <c r="I212" s="205"/>
      <c r="J212" s="201"/>
    </row>
    <row r="213" spans="1:10" x14ac:dyDescent="0.3">
      <c r="A213" s="8"/>
      <c r="B213" s="262"/>
      <c r="C213" s="10"/>
      <c r="D213" s="262"/>
      <c r="E213" s="205"/>
      <c r="F213" s="263"/>
      <c r="H213" s="8"/>
      <c r="I213" s="205"/>
      <c r="J213" s="201"/>
    </row>
    <row r="214" spans="1:10" x14ac:dyDescent="0.3">
      <c r="A214" s="8"/>
      <c r="B214" s="262"/>
      <c r="C214" s="10"/>
      <c r="D214" s="262"/>
      <c r="E214" s="205"/>
      <c r="F214" s="263"/>
      <c r="H214" s="8"/>
      <c r="I214" s="205"/>
      <c r="J214" s="201"/>
    </row>
    <row r="215" spans="1:10" x14ac:dyDescent="0.3">
      <c r="A215" s="8"/>
      <c r="B215" s="262"/>
      <c r="C215" s="10"/>
      <c r="D215" s="262"/>
      <c r="E215" s="205"/>
      <c r="F215" s="263"/>
      <c r="H215" s="8"/>
      <c r="I215" s="205"/>
      <c r="J215" s="201"/>
    </row>
    <row r="216" spans="1:10" x14ac:dyDescent="0.3">
      <c r="A216" s="8"/>
      <c r="B216" s="262"/>
      <c r="C216" s="10"/>
      <c r="D216" s="262"/>
      <c r="E216" s="205"/>
      <c r="F216" s="263"/>
      <c r="H216" s="8"/>
      <c r="I216" s="205"/>
      <c r="J216" s="201"/>
    </row>
    <row r="217" spans="1:10" x14ac:dyDescent="0.3">
      <c r="A217" s="8"/>
      <c r="B217" s="262"/>
      <c r="C217" s="10"/>
      <c r="D217" s="262"/>
      <c r="E217" s="205"/>
      <c r="F217" s="263"/>
      <c r="H217" s="8"/>
      <c r="I217" s="205"/>
      <c r="J217" s="201"/>
    </row>
    <row r="218" spans="1:10" x14ac:dyDescent="0.3">
      <c r="A218" s="8"/>
      <c r="B218" s="262"/>
      <c r="C218" s="10"/>
      <c r="D218" s="262"/>
      <c r="E218" s="205"/>
      <c r="F218" s="263"/>
      <c r="H218" s="8"/>
      <c r="I218" s="205"/>
      <c r="J218" s="201"/>
    </row>
    <row r="219" spans="1:10" x14ac:dyDescent="0.3">
      <c r="A219" s="8"/>
      <c r="B219" s="262"/>
      <c r="C219" s="10"/>
      <c r="D219" s="262"/>
      <c r="E219" s="205"/>
      <c r="F219" s="263"/>
      <c r="H219" s="8"/>
      <c r="I219" s="205"/>
      <c r="J219" s="201"/>
    </row>
    <row r="220" spans="1:10" x14ac:dyDescent="0.3">
      <c r="A220" s="8"/>
      <c r="B220" s="262"/>
      <c r="C220" s="10"/>
      <c r="D220" s="262"/>
      <c r="E220" s="205"/>
      <c r="F220" s="263"/>
      <c r="H220" s="8"/>
      <c r="I220" s="205"/>
      <c r="J220" s="201"/>
    </row>
    <row r="221" spans="1:10" x14ac:dyDescent="0.3">
      <c r="A221" s="8"/>
      <c r="B221" s="262"/>
      <c r="C221" s="10"/>
      <c r="D221" s="262"/>
      <c r="E221" s="205"/>
      <c r="F221" s="263"/>
      <c r="H221" s="8"/>
      <c r="I221" s="205"/>
      <c r="J221" s="201"/>
    </row>
    <row r="222" spans="1:10" x14ac:dyDescent="0.3">
      <c r="A222" s="8"/>
      <c r="B222" s="262"/>
      <c r="C222" s="10"/>
      <c r="D222" s="262"/>
      <c r="E222" s="205"/>
      <c r="F222" s="263"/>
      <c r="H222" s="8"/>
      <c r="I222" s="205"/>
      <c r="J222" s="201"/>
    </row>
    <row r="223" spans="1:10" x14ac:dyDescent="0.3">
      <c r="A223" s="8"/>
      <c r="B223" s="262"/>
      <c r="C223" s="10"/>
      <c r="D223" s="262"/>
      <c r="E223" s="205"/>
      <c r="F223" s="263"/>
      <c r="H223" s="8"/>
      <c r="I223" s="205"/>
      <c r="J223" s="201"/>
    </row>
    <row r="224" spans="1:10" x14ac:dyDescent="0.3">
      <c r="A224" s="8"/>
      <c r="B224" s="262"/>
      <c r="C224" s="10"/>
      <c r="D224" s="262"/>
      <c r="E224" s="205"/>
      <c r="F224" s="263"/>
      <c r="H224" s="8"/>
      <c r="I224" s="205"/>
      <c r="J224" s="201"/>
    </row>
    <row r="225" spans="1:10" x14ac:dyDescent="0.3">
      <c r="A225" s="8"/>
      <c r="B225" s="262"/>
      <c r="C225" s="10"/>
      <c r="D225" s="262"/>
      <c r="E225" s="205"/>
      <c r="F225" s="263"/>
      <c r="H225" s="8"/>
      <c r="I225" s="205"/>
      <c r="J225" s="201"/>
    </row>
    <row r="226" spans="1:10" x14ac:dyDescent="0.3">
      <c r="A226" s="8"/>
      <c r="B226" s="262"/>
      <c r="C226" s="10"/>
      <c r="D226" s="262"/>
      <c r="E226" s="205"/>
      <c r="F226" s="263"/>
      <c r="H226" s="8"/>
      <c r="I226" s="205"/>
      <c r="J226" s="201"/>
    </row>
    <row r="227" spans="1:10" x14ac:dyDescent="0.3">
      <c r="A227" s="8"/>
      <c r="B227" s="262"/>
      <c r="C227" s="10"/>
      <c r="D227" s="262"/>
      <c r="E227" s="205"/>
      <c r="F227" s="263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6"/>
      <c r="C578" s="266"/>
      <c r="D578" s="266"/>
      <c r="E578" s="264"/>
      <c r="F578" s="265"/>
      <c r="H578" s="8"/>
      <c r="I578" s="205"/>
      <c r="J578" s="201"/>
    </row>
    <row r="579" spans="1:10" x14ac:dyDescent="0.3">
      <c r="A579" s="8"/>
      <c r="B579" s="266"/>
      <c r="C579" s="266"/>
      <c r="D579" s="266"/>
      <c r="E579" s="264"/>
      <c r="F579" s="265"/>
      <c r="H579" s="8"/>
      <c r="I579" s="205"/>
      <c r="J579" s="201"/>
    </row>
    <row r="580" spans="1:10" x14ac:dyDescent="0.3">
      <c r="A580" s="8"/>
      <c r="B580" s="266"/>
      <c r="C580" s="266"/>
      <c r="D580" s="266"/>
      <c r="E580" s="264"/>
      <c r="F580" s="265"/>
      <c r="H580" s="8"/>
      <c r="I580" s="205"/>
      <c r="J580" s="201"/>
    </row>
    <row r="581" spans="1:10" x14ac:dyDescent="0.3">
      <c r="A581" s="8"/>
      <c r="B581" s="266"/>
      <c r="C581" s="266"/>
      <c r="D581" s="266"/>
      <c r="E581" s="264"/>
      <c r="F581" s="265"/>
      <c r="H581" s="8"/>
      <c r="I581" s="205"/>
      <c r="J581" s="201"/>
    </row>
    <row r="582" spans="1:10" x14ac:dyDescent="0.3">
      <c r="A582" s="8"/>
      <c r="B582" s="266"/>
      <c r="C582" s="266"/>
      <c r="D582" s="266"/>
      <c r="E582" s="264"/>
      <c r="F582" s="265"/>
      <c r="H582" s="8"/>
      <c r="I582" s="205"/>
      <c r="J582" s="201"/>
    </row>
    <row r="583" spans="1:10" x14ac:dyDescent="0.3">
      <c r="A583" s="8"/>
      <c r="B583" s="266"/>
      <c r="C583" s="266"/>
      <c r="D583" s="266"/>
      <c r="E583" s="264"/>
      <c r="F583" s="265"/>
      <c r="H583" s="8"/>
      <c r="I583" s="205"/>
      <c r="J583" s="201"/>
    </row>
    <row r="584" spans="1:10" x14ac:dyDescent="0.3">
      <c r="A584" s="8"/>
      <c r="B584" s="266"/>
      <c r="C584" s="266"/>
      <c r="D584" s="266"/>
      <c r="E584" s="264"/>
      <c r="F584" s="265"/>
      <c r="H584" s="8"/>
      <c r="I584" s="205"/>
      <c r="J584" s="201"/>
    </row>
    <row r="585" spans="1:10" x14ac:dyDescent="0.3">
      <c r="A585" s="8"/>
      <c r="B585" s="266"/>
      <c r="C585" s="266"/>
      <c r="D585" s="266"/>
      <c r="E585" s="264"/>
      <c r="F585" s="265"/>
      <c r="H585" s="8"/>
      <c r="I585" s="205"/>
      <c r="J585" s="201"/>
    </row>
    <row r="586" spans="1:10" x14ac:dyDescent="0.3">
      <c r="A586" s="8"/>
      <c r="B586" s="266"/>
      <c r="C586" s="266"/>
      <c r="D586" s="266"/>
      <c r="E586" s="264"/>
      <c r="F586" s="265"/>
      <c r="H586" s="8"/>
      <c r="I586" s="205"/>
      <c r="J586" s="201"/>
    </row>
    <row r="587" spans="1:10" x14ac:dyDescent="0.3">
      <c r="A587" s="8"/>
      <c r="B587" s="266"/>
      <c r="C587" s="266"/>
      <c r="D587" s="266"/>
      <c r="E587" s="264"/>
      <c r="F587" s="265"/>
      <c r="H587" s="8"/>
      <c r="I587" s="205"/>
      <c r="J587" s="201"/>
    </row>
    <row r="588" spans="1:10" x14ac:dyDescent="0.3">
      <c r="A588" s="8"/>
      <c r="B588" s="266"/>
      <c r="C588" s="266"/>
      <c r="D588" s="266"/>
      <c r="E588" s="264"/>
      <c r="F588" s="265"/>
      <c r="H588" s="8"/>
      <c r="I588" s="205"/>
      <c r="J588" s="201"/>
    </row>
    <row r="589" spans="1:10" x14ac:dyDescent="0.3">
      <c r="A589" s="8"/>
      <c r="B589" s="266"/>
      <c r="C589" s="266"/>
      <c r="D589" s="266"/>
      <c r="E589" s="264"/>
      <c r="F589" s="265"/>
      <c r="H589" s="8"/>
      <c r="I589" s="205"/>
      <c r="J589" s="201"/>
    </row>
    <row r="590" spans="1:10" x14ac:dyDescent="0.3">
      <c r="A590" s="8"/>
      <c r="B590" s="266"/>
      <c r="C590" s="266"/>
      <c r="D590" s="266"/>
      <c r="E590" s="264"/>
      <c r="F590" s="265"/>
      <c r="H590" s="8"/>
      <c r="I590" s="205"/>
      <c r="J590" s="201"/>
    </row>
    <row r="591" spans="1:10" x14ac:dyDescent="0.3">
      <c r="A591" s="8"/>
      <c r="B591" s="266"/>
      <c r="C591" s="266"/>
      <c r="D591" s="266"/>
      <c r="E591" s="264"/>
      <c r="F591" s="265"/>
      <c r="H591" s="8"/>
      <c r="I591" s="205"/>
      <c r="J591" s="201"/>
    </row>
    <row r="592" spans="1:10" x14ac:dyDescent="0.3">
      <c r="A592" s="8"/>
      <c r="B592" s="266"/>
      <c r="C592" s="266"/>
      <c r="D592" s="266"/>
      <c r="E592" s="264"/>
      <c r="F592" s="265"/>
      <c r="H592" s="8"/>
      <c r="I592" s="205"/>
      <c r="J592" s="201"/>
    </row>
    <row r="593" spans="1:10" x14ac:dyDescent="0.3">
      <c r="A593" s="8"/>
      <c r="B593" s="266"/>
      <c r="C593" s="266"/>
      <c r="D593" s="266"/>
      <c r="E593" s="264"/>
      <c r="F593" s="265"/>
      <c r="H593" s="8"/>
      <c r="I593" s="205"/>
      <c r="J593" s="201"/>
    </row>
    <row r="594" spans="1:10" x14ac:dyDescent="0.3">
      <c r="A594" s="8"/>
      <c r="B594" s="266"/>
      <c r="C594" s="266"/>
      <c r="D594" s="266"/>
      <c r="E594" s="264"/>
      <c r="F594" s="265"/>
      <c r="H594" s="8"/>
      <c r="I594" s="205"/>
      <c r="J594" s="201"/>
    </row>
    <row r="595" spans="1:10" x14ac:dyDescent="0.3">
      <c r="A595" s="8"/>
      <c r="B595" s="266"/>
      <c r="C595" s="266"/>
      <c r="D595" s="266"/>
      <c r="E595" s="264"/>
      <c r="F595" s="265"/>
      <c r="H595" s="8"/>
      <c r="I595" s="205"/>
      <c r="J595" s="201"/>
    </row>
    <row r="596" spans="1:10" x14ac:dyDescent="0.3">
      <c r="A596" s="8"/>
      <c r="B596" s="266"/>
      <c r="C596" s="266"/>
      <c r="D596" s="266"/>
      <c r="E596" s="264"/>
      <c r="F596" s="265"/>
      <c r="H596" s="8"/>
      <c r="I596" s="205"/>
      <c r="J596" s="201"/>
    </row>
    <row r="597" spans="1:10" x14ac:dyDescent="0.3">
      <c r="A597" s="8"/>
      <c r="B597" s="266"/>
      <c r="C597" s="266"/>
      <c r="D597" s="266"/>
      <c r="E597" s="264"/>
      <c r="F597" s="265"/>
      <c r="H597" s="8"/>
      <c r="I597" s="205"/>
      <c r="J597" s="201"/>
    </row>
    <row r="598" spans="1:10" x14ac:dyDescent="0.3">
      <c r="A598" s="8"/>
      <c r="B598" s="266"/>
      <c r="C598" s="266"/>
      <c r="D598" s="266"/>
      <c r="E598" s="264"/>
      <c r="F598" s="265"/>
      <c r="H598" s="8"/>
      <c r="I598" s="205"/>
      <c r="J598" s="201"/>
    </row>
    <row r="599" spans="1:10" x14ac:dyDescent="0.3">
      <c r="A599" s="8"/>
      <c r="B599" s="266"/>
      <c r="C599" s="266"/>
      <c r="D599" s="266"/>
      <c r="E599" s="264"/>
      <c r="F599" s="265"/>
      <c r="H599" s="8"/>
      <c r="I599" s="205"/>
      <c r="J599" s="201"/>
    </row>
    <row r="600" spans="1:10" x14ac:dyDescent="0.3">
      <c r="A600" s="8"/>
      <c r="B600" s="266"/>
      <c r="C600" s="266"/>
      <c r="D600" s="266"/>
      <c r="E600" s="264"/>
      <c r="F600" s="265"/>
      <c r="H600" s="8"/>
      <c r="I600" s="205"/>
      <c r="J600" s="201"/>
    </row>
    <row r="601" spans="1:10" x14ac:dyDescent="0.3">
      <c r="A601" s="8"/>
      <c r="B601" s="266"/>
      <c r="C601" s="266"/>
      <c r="D601" s="266"/>
      <c r="E601" s="264"/>
      <c r="F601" s="265"/>
      <c r="H601" s="8"/>
      <c r="I601" s="205"/>
      <c r="J601" s="201"/>
    </row>
    <row r="602" spans="1:10" x14ac:dyDescent="0.3">
      <c r="A602" s="8"/>
      <c r="B602" s="266"/>
      <c r="C602" s="266"/>
      <c r="D602" s="266"/>
      <c r="E602" s="264"/>
      <c r="F602" s="265"/>
      <c r="H602" s="8"/>
      <c r="I602" s="205"/>
      <c r="J602" s="201"/>
    </row>
    <row r="603" spans="1:10" x14ac:dyDescent="0.3">
      <c r="A603" s="8"/>
      <c r="B603" s="266"/>
      <c r="C603" s="266"/>
      <c r="D603" s="266"/>
      <c r="E603" s="264"/>
      <c r="F603" s="265"/>
      <c r="H603" s="8"/>
      <c r="I603" s="205"/>
      <c r="J603" s="201"/>
    </row>
    <row r="604" spans="1:10" x14ac:dyDescent="0.3">
      <c r="A604" s="8"/>
      <c r="B604" s="266"/>
      <c r="C604" s="266"/>
      <c r="D604" s="266"/>
      <c r="E604" s="264"/>
      <c r="F604" s="265"/>
      <c r="H604" s="8"/>
      <c r="I604" s="205"/>
      <c r="J604" s="201"/>
    </row>
    <row r="605" spans="1:10" x14ac:dyDescent="0.3">
      <c r="A605" s="8"/>
      <c r="B605" s="266"/>
      <c r="C605" s="266"/>
      <c r="D605" s="266"/>
      <c r="E605" s="264"/>
      <c r="F605" s="265"/>
      <c r="H605" s="8"/>
      <c r="I605" s="205"/>
      <c r="J605" s="201"/>
    </row>
    <row r="606" spans="1:10" x14ac:dyDescent="0.3">
      <c r="A606" s="8"/>
      <c r="B606" s="266"/>
      <c r="C606" s="266"/>
      <c r="D606" s="266"/>
      <c r="E606" s="264"/>
      <c r="F606" s="265"/>
      <c r="H606" s="8"/>
      <c r="I606" s="205"/>
      <c r="J606" s="201"/>
    </row>
    <row r="607" spans="1:10" x14ac:dyDescent="0.3">
      <c r="A607" s="8"/>
      <c r="B607" s="266"/>
      <c r="C607" s="266"/>
      <c r="D607" s="266"/>
      <c r="E607" s="264"/>
      <c r="F607" s="265"/>
      <c r="H607" s="8"/>
      <c r="I607" s="205"/>
      <c r="J607" s="201"/>
    </row>
    <row r="608" spans="1:10" x14ac:dyDescent="0.3">
      <c r="A608" s="8"/>
      <c r="B608" s="266"/>
      <c r="C608" s="266"/>
      <c r="D608" s="266"/>
      <c r="E608" s="264"/>
      <c r="F608" s="265"/>
      <c r="H608" s="8"/>
      <c r="I608" s="205"/>
      <c r="J608" s="201"/>
    </row>
    <row r="609" spans="1:10" x14ac:dyDescent="0.3">
      <c r="A609" s="8"/>
      <c r="B609" s="266"/>
      <c r="C609" s="266"/>
      <c r="D609" s="266"/>
      <c r="E609" s="264"/>
      <c r="F609" s="265"/>
      <c r="H609" s="8"/>
      <c r="I609" s="205"/>
      <c r="J609" s="201"/>
    </row>
    <row r="610" spans="1:10" x14ac:dyDescent="0.3">
      <c r="A610" s="8"/>
      <c r="B610" s="266"/>
      <c r="C610" s="266"/>
      <c r="D610" s="266"/>
      <c r="E610" s="264"/>
      <c r="F610" s="265"/>
      <c r="H610" s="8"/>
      <c r="I610" s="205"/>
      <c r="J610" s="201"/>
    </row>
    <row r="611" spans="1:10" x14ac:dyDescent="0.3">
      <c r="A611" s="8"/>
      <c r="B611" s="266"/>
      <c r="C611" s="266"/>
      <c r="D611" s="266"/>
      <c r="E611" s="264"/>
      <c r="F611" s="265"/>
      <c r="H611" s="8"/>
      <c r="I611" s="205"/>
      <c r="J611" s="201"/>
    </row>
    <row r="612" spans="1:10" x14ac:dyDescent="0.3">
      <c r="A612" s="8"/>
      <c r="B612" s="266"/>
      <c r="C612" s="266"/>
      <c r="D612" s="266"/>
      <c r="E612" s="264"/>
      <c r="F612" s="265"/>
      <c r="H612" s="8"/>
      <c r="I612" s="205"/>
      <c r="J612" s="201"/>
    </row>
    <row r="613" spans="1:10" x14ac:dyDescent="0.3">
      <c r="A613" s="8"/>
      <c r="B613" s="266"/>
      <c r="C613" s="266"/>
      <c r="D613" s="266"/>
      <c r="E613" s="264"/>
      <c r="F613" s="265"/>
      <c r="H613" s="8"/>
      <c r="I613" s="205"/>
      <c r="J613" s="201"/>
    </row>
    <row r="614" spans="1:10" x14ac:dyDescent="0.3">
      <c r="A614" s="8"/>
      <c r="B614" s="266"/>
      <c r="C614" s="266"/>
      <c r="D614" s="266"/>
      <c r="E614" s="264"/>
      <c r="F614" s="265"/>
      <c r="H614" s="8"/>
      <c r="I614" s="205"/>
      <c r="J614" s="201"/>
    </row>
    <row r="615" spans="1:10" x14ac:dyDescent="0.3">
      <c r="A615" s="8"/>
      <c r="B615" s="266"/>
      <c r="C615" s="266"/>
      <c r="D615" s="266"/>
      <c r="E615" s="264"/>
      <c r="F615" s="265"/>
      <c r="H615" s="8"/>
      <c r="I615" s="205"/>
      <c r="J615" s="201"/>
    </row>
    <row r="616" spans="1:10" x14ac:dyDescent="0.3">
      <c r="A616" s="8"/>
      <c r="B616" s="266"/>
      <c r="C616" s="266"/>
      <c r="D616" s="266"/>
      <c r="E616" s="264"/>
      <c r="F616" s="265"/>
      <c r="H616" s="8"/>
      <c r="I616" s="205"/>
      <c r="J616" s="201"/>
    </row>
    <row r="617" spans="1:10" x14ac:dyDescent="0.3">
      <c r="A617" s="8"/>
      <c r="B617" s="266"/>
      <c r="C617" s="266"/>
      <c r="D617" s="266"/>
      <c r="E617" s="264"/>
      <c r="F617" s="265"/>
      <c r="H617" s="8"/>
      <c r="I617" s="205"/>
      <c r="J617" s="201"/>
    </row>
    <row r="618" spans="1:10" x14ac:dyDescent="0.3">
      <c r="A618" s="8"/>
      <c r="B618" s="266"/>
      <c r="C618" s="266"/>
      <c r="D618" s="266"/>
      <c r="E618" s="264"/>
      <c r="F618" s="265"/>
      <c r="H618" s="8"/>
      <c r="I618" s="205"/>
      <c r="J618" s="201"/>
    </row>
    <row r="619" spans="1:10" x14ac:dyDescent="0.3">
      <c r="A619" s="8"/>
      <c r="B619" s="266"/>
      <c r="C619" s="266"/>
      <c r="D619" s="266"/>
      <c r="E619" s="264"/>
      <c r="F619" s="265"/>
      <c r="H619" s="8"/>
      <c r="I619" s="205"/>
      <c r="J619" s="201"/>
    </row>
    <row r="620" spans="1:10" x14ac:dyDescent="0.3">
      <c r="A620" s="8"/>
      <c r="B620" s="266"/>
      <c r="C620" s="266"/>
      <c r="D620" s="266"/>
      <c r="E620" s="264"/>
      <c r="F620" s="265"/>
      <c r="H620" s="8"/>
      <c r="I620" s="205"/>
      <c r="J620" s="201"/>
    </row>
    <row r="621" spans="1:10" x14ac:dyDescent="0.3">
      <c r="A621" s="8"/>
      <c r="B621" s="266"/>
      <c r="C621" s="266"/>
      <c r="D621" s="266"/>
      <c r="E621" s="264"/>
      <c r="F621" s="265"/>
      <c r="H621" s="8"/>
      <c r="I621" s="205"/>
      <c r="J621" s="201"/>
    </row>
    <row r="622" spans="1:10" x14ac:dyDescent="0.3">
      <c r="A622" s="8"/>
      <c r="B622" s="266"/>
      <c r="C622" s="266"/>
      <c r="D622" s="266"/>
      <c r="E622" s="264"/>
      <c r="F622" s="265"/>
      <c r="H622" s="8"/>
      <c r="I622" s="205"/>
      <c r="J622" s="201"/>
    </row>
    <row r="623" spans="1:10" x14ac:dyDescent="0.3">
      <c r="A623" s="8"/>
      <c r="B623" s="266"/>
      <c r="C623" s="266"/>
      <c r="D623" s="266"/>
      <c r="E623" s="264"/>
      <c r="F623" s="265"/>
      <c r="H623" s="8"/>
      <c r="I623" s="205"/>
      <c r="J623" s="201"/>
    </row>
    <row r="624" spans="1:10" x14ac:dyDescent="0.3">
      <c r="A624" s="8"/>
      <c r="B624" s="266"/>
      <c r="C624" s="266"/>
      <c r="D624" s="266"/>
      <c r="E624" s="264"/>
      <c r="F624" s="265"/>
      <c r="H624" s="8"/>
      <c r="I624" s="205"/>
      <c r="J624" s="201"/>
    </row>
    <row r="625" spans="1:10" x14ac:dyDescent="0.3">
      <c r="A625" s="8"/>
      <c r="B625" s="266"/>
      <c r="C625" s="266"/>
      <c r="D625" s="266"/>
      <c r="E625" s="264"/>
      <c r="F625" s="265"/>
      <c r="H625" s="8"/>
      <c r="I625" s="205"/>
      <c r="J625" s="201"/>
    </row>
    <row r="626" spans="1:10" x14ac:dyDescent="0.3">
      <c r="A626" s="8"/>
      <c r="B626" s="266"/>
      <c r="C626" s="266"/>
      <c r="D626" s="266"/>
      <c r="E626" s="264"/>
      <c r="F626" s="265"/>
      <c r="H626" s="8"/>
      <c r="I626" s="205"/>
      <c r="J626" s="201"/>
    </row>
    <row r="627" spans="1:10" x14ac:dyDescent="0.3">
      <c r="A627" s="8"/>
      <c r="B627" s="266"/>
      <c r="C627" s="266"/>
      <c r="D627" s="266"/>
      <c r="E627" s="264"/>
      <c r="F627" s="265"/>
      <c r="H627" s="8"/>
      <c r="I627" s="205"/>
      <c r="J627" s="201"/>
    </row>
    <row r="628" spans="1:10" x14ac:dyDescent="0.3">
      <c r="A628" s="8"/>
      <c r="B628" s="266"/>
      <c r="C628" s="266"/>
      <c r="D628" s="266"/>
      <c r="E628" s="264"/>
      <c r="F628" s="265"/>
      <c r="H628" s="8"/>
      <c r="I628" s="205"/>
      <c r="J628" s="201"/>
    </row>
    <row r="629" spans="1:10" x14ac:dyDescent="0.3">
      <c r="A629" s="8"/>
      <c r="B629" s="266"/>
      <c r="C629" s="266"/>
      <c r="D629" s="266"/>
      <c r="E629" s="264"/>
      <c r="F629" s="265"/>
      <c r="H629" s="8"/>
      <c r="I629" s="205"/>
      <c r="J629" s="201"/>
    </row>
    <row r="630" spans="1:10" x14ac:dyDescent="0.3">
      <c r="A630" s="8"/>
      <c r="B630" s="266"/>
      <c r="C630" s="266"/>
      <c r="D630" s="266"/>
      <c r="E630" s="264"/>
      <c r="F630" s="265"/>
      <c r="H630" s="8"/>
      <c r="I630" s="205"/>
      <c r="J630" s="201"/>
    </row>
    <row r="631" spans="1:10" x14ac:dyDescent="0.3">
      <c r="A631" s="8"/>
      <c r="B631" s="266"/>
      <c r="C631" s="266"/>
      <c r="D631" s="266"/>
      <c r="E631" s="264"/>
      <c r="F631" s="265"/>
      <c r="H631" s="8"/>
      <c r="I631" s="205"/>
      <c r="J631" s="201"/>
    </row>
    <row r="632" spans="1:10" x14ac:dyDescent="0.3">
      <c r="A632" s="8"/>
      <c r="B632" s="266"/>
      <c r="C632" s="266"/>
      <c r="D632" s="266"/>
      <c r="E632" s="264"/>
      <c r="F632" s="265"/>
      <c r="H632" s="8"/>
      <c r="I632" s="205"/>
      <c r="J632" s="201"/>
    </row>
    <row r="633" spans="1:10" x14ac:dyDescent="0.3">
      <c r="A633" s="8"/>
      <c r="B633" s="266"/>
      <c r="C633" s="266"/>
      <c r="D633" s="266"/>
      <c r="E633" s="264"/>
      <c r="F633" s="265"/>
      <c r="H633" s="8"/>
      <c r="I633" s="205"/>
      <c r="J633" s="201"/>
    </row>
    <row r="634" spans="1:10" x14ac:dyDescent="0.3">
      <c r="A634" s="8"/>
      <c r="B634" s="266"/>
      <c r="C634" s="266"/>
      <c r="D634" s="266"/>
      <c r="E634" s="264"/>
      <c r="F634" s="265"/>
      <c r="H634" s="8"/>
      <c r="I634" s="205"/>
      <c r="J634" s="201"/>
    </row>
    <row r="635" spans="1:10" x14ac:dyDescent="0.3">
      <c r="A635" s="8"/>
      <c r="B635" s="266"/>
      <c r="C635" s="266"/>
      <c r="D635" s="266"/>
      <c r="E635" s="264"/>
      <c r="F635" s="265"/>
      <c r="H635" s="8"/>
      <c r="I635" s="205"/>
      <c r="J635" s="201"/>
    </row>
    <row r="636" spans="1:10" x14ac:dyDescent="0.3">
      <c r="A636" s="8"/>
      <c r="B636" s="266"/>
      <c r="C636" s="266"/>
      <c r="D636" s="266"/>
      <c r="E636" s="264"/>
      <c r="F636" s="265"/>
      <c r="H636" s="8"/>
      <c r="I636" s="205"/>
      <c r="J636" s="201"/>
    </row>
    <row r="637" spans="1:10" x14ac:dyDescent="0.3">
      <c r="A637" s="8"/>
      <c r="B637" s="266"/>
      <c r="C637" s="266"/>
      <c r="D637" s="266"/>
      <c r="E637" s="264"/>
      <c r="F637" s="265"/>
      <c r="H637" s="8"/>
      <c r="I637" s="205"/>
      <c r="J637" s="201"/>
    </row>
    <row r="638" spans="1:10" x14ac:dyDescent="0.3">
      <c r="A638" s="8"/>
      <c r="B638" s="266"/>
      <c r="C638" s="266"/>
      <c r="D638" s="266"/>
      <c r="E638" s="264"/>
      <c r="F638" s="265"/>
      <c r="H638" s="8"/>
      <c r="I638" s="205"/>
      <c r="J638" s="201"/>
    </row>
    <row r="639" spans="1:10" x14ac:dyDescent="0.3">
      <c r="A639" s="8"/>
      <c r="B639" s="266"/>
      <c r="C639" s="266"/>
      <c r="D639" s="266"/>
      <c r="E639" s="264"/>
      <c r="F639" s="265"/>
      <c r="H639" s="8"/>
      <c r="I639" s="205"/>
      <c r="J639" s="201"/>
    </row>
    <row r="640" spans="1:10" x14ac:dyDescent="0.3">
      <c r="A640" s="8"/>
      <c r="B640" s="266"/>
      <c r="C640" s="266"/>
      <c r="D640" s="266"/>
      <c r="E640" s="264"/>
      <c r="F640" s="265"/>
      <c r="H640" s="8"/>
      <c r="I640" s="205"/>
      <c r="J640" s="201"/>
    </row>
    <row r="641" spans="1:10" x14ac:dyDescent="0.3">
      <c r="A641" s="8"/>
      <c r="B641" s="266"/>
      <c r="C641" s="266"/>
      <c r="D641" s="266"/>
      <c r="E641" s="264"/>
      <c r="F641" s="265"/>
      <c r="H641" s="8"/>
      <c r="I641" s="205"/>
      <c r="J641" s="201"/>
    </row>
    <row r="642" spans="1:10" x14ac:dyDescent="0.3">
      <c r="A642" s="8"/>
      <c r="B642" s="266"/>
      <c r="C642" s="266"/>
      <c r="D642" s="266"/>
      <c r="E642" s="264"/>
      <c r="F642" s="265"/>
      <c r="H642" s="8"/>
      <c r="I642" s="205"/>
      <c r="J642" s="201"/>
    </row>
    <row r="643" spans="1:10" x14ac:dyDescent="0.3">
      <c r="A643" s="8"/>
      <c r="B643" s="266"/>
      <c r="C643" s="266"/>
      <c r="D643" s="266"/>
      <c r="E643" s="264"/>
      <c r="F643" s="265"/>
      <c r="H643" s="8"/>
      <c r="I643" s="205"/>
      <c r="J643" s="201"/>
    </row>
    <row r="644" spans="1:10" x14ac:dyDescent="0.3">
      <c r="A644" s="8"/>
      <c r="B644" s="266"/>
      <c r="C644" s="266"/>
      <c r="D644" s="266"/>
      <c r="E644" s="264"/>
      <c r="F644" s="265"/>
      <c r="H644" s="8"/>
      <c r="I644" s="205"/>
      <c r="J644" s="201"/>
    </row>
    <row r="645" spans="1:10" x14ac:dyDescent="0.3">
      <c r="A645" s="8"/>
      <c r="B645" s="266"/>
      <c r="C645" s="266"/>
      <c r="D645" s="266"/>
      <c r="E645" s="264"/>
      <c r="F645" s="265"/>
      <c r="H645" s="8"/>
      <c r="I645" s="205"/>
      <c r="J645" s="201"/>
    </row>
    <row r="646" spans="1:10" x14ac:dyDescent="0.3">
      <c r="A646" s="8"/>
      <c r="B646" s="266"/>
      <c r="C646" s="266"/>
      <c r="D646" s="266"/>
      <c r="E646" s="264"/>
      <c r="F646" s="265"/>
      <c r="H646" s="8"/>
      <c r="I646" s="205"/>
      <c r="J646" s="201"/>
    </row>
    <row r="647" spans="1:10" x14ac:dyDescent="0.3">
      <c r="A647" s="8"/>
      <c r="B647" s="266"/>
      <c r="C647" s="266"/>
      <c r="D647" s="266"/>
      <c r="E647" s="264"/>
      <c r="F647" s="265"/>
      <c r="H647" s="8"/>
      <c r="I647" s="205"/>
      <c r="J647" s="201"/>
    </row>
    <row r="648" spans="1:10" x14ac:dyDescent="0.3">
      <c r="A648" s="8"/>
      <c r="B648" s="266"/>
      <c r="C648" s="266"/>
      <c r="D648" s="266"/>
      <c r="E648" s="264"/>
      <c r="F648" s="265"/>
      <c r="H648" s="8"/>
      <c r="I648" s="205"/>
      <c r="J648" s="201"/>
    </row>
    <row r="649" spans="1:10" x14ac:dyDescent="0.3">
      <c r="A649" s="8"/>
      <c r="B649" s="266"/>
      <c r="C649" s="266"/>
      <c r="D649" s="266"/>
      <c r="E649" s="264"/>
      <c r="F649" s="265"/>
      <c r="H649" s="8"/>
      <c r="I649" s="205"/>
      <c r="J649" s="201"/>
    </row>
    <row r="650" spans="1:10" x14ac:dyDescent="0.3">
      <c r="A650" s="8"/>
      <c r="B650" s="266"/>
      <c r="C650" s="266"/>
      <c r="D650" s="266"/>
      <c r="E650" s="264"/>
      <c r="F650" s="265"/>
      <c r="H650" s="8"/>
      <c r="I650" s="205"/>
      <c r="J650" s="201"/>
    </row>
    <row r="651" spans="1:10" x14ac:dyDescent="0.3">
      <c r="A651" s="8"/>
      <c r="B651" s="266"/>
      <c r="C651" s="266"/>
      <c r="D651" s="266"/>
      <c r="E651" s="264"/>
      <c r="F651" s="265"/>
      <c r="H651" s="8"/>
      <c r="I651" s="205"/>
      <c r="J651" s="201"/>
    </row>
    <row r="652" spans="1:10" x14ac:dyDescent="0.3">
      <c r="A652" s="8"/>
      <c r="B652" s="266"/>
      <c r="C652" s="266"/>
      <c r="D652" s="266"/>
      <c r="E652" s="264"/>
      <c r="F652" s="265"/>
      <c r="H652" s="8"/>
      <c r="I652" s="205"/>
      <c r="J652" s="201"/>
    </row>
    <row r="653" spans="1:10" x14ac:dyDescent="0.3">
      <c r="A653" s="8"/>
      <c r="B653" s="266"/>
      <c r="C653" s="266"/>
      <c r="D653" s="266"/>
      <c r="E653" s="264"/>
      <c r="F653" s="265"/>
      <c r="H653" s="8"/>
      <c r="I653" s="205"/>
      <c r="J653" s="201"/>
    </row>
    <row r="654" spans="1:10" x14ac:dyDescent="0.3">
      <c r="A654" s="8"/>
      <c r="B654" s="266"/>
      <c r="C654" s="266"/>
      <c r="D654" s="266"/>
      <c r="E654" s="264"/>
      <c r="F654" s="265"/>
      <c r="H654" s="8"/>
      <c r="I654" s="205"/>
      <c r="J654" s="201"/>
    </row>
    <row r="655" spans="1:10" x14ac:dyDescent="0.3">
      <c r="A655" s="8"/>
      <c r="B655" s="266"/>
      <c r="C655" s="266"/>
      <c r="D655" s="266"/>
      <c r="E655" s="264"/>
      <c r="F655" s="265"/>
      <c r="H655" s="8"/>
      <c r="I655" s="205"/>
      <c r="J655" s="201"/>
    </row>
    <row r="656" spans="1:10" x14ac:dyDescent="0.3">
      <c r="A656" s="8"/>
      <c r="B656" s="266"/>
      <c r="C656" s="266"/>
      <c r="D656" s="266"/>
      <c r="E656" s="264"/>
      <c r="F656" s="265"/>
      <c r="H656" s="8"/>
      <c r="I656" s="205"/>
      <c r="J656" s="201"/>
    </row>
    <row r="657" spans="1:10" x14ac:dyDescent="0.3">
      <c r="A657" s="8"/>
      <c r="B657" s="266"/>
      <c r="C657" s="266"/>
      <c r="D657" s="266"/>
      <c r="E657" s="264"/>
      <c r="F657" s="265"/>
      <c r="H657" s="8"/>
      <c r="I657" s="205"/>
      <c r="J657" s="201"/>
    </row>
    <row r="658" spans="1:10" x14ac:dyDescent="0.3">
      <c r="A658" s="8"/>
      <c r="B658" s="266"/>
      <c r="C658" s="266"/>
      <c r="D658" s="266"/>
      <c r="E658" s="264"/>
      <c r="F658" s="265"/>
      <c r="H658" s="8"/>
      <c r="I658" s="205"/>
      <c r="J658" s="201"/>
    </row>
    <row r="659" spans="1:10" x14ac:dyDescent="0.3">
      <c r="A659" s="8"/>
      <c r="B659" s="266"/>
      <c r="C659" s="266"/>
      <c r="D659" s="266"/>
      <c r="E659" s="264"/>
      <c r="F659" s="265"/>
      <c r="H659" s="8"/>
      <c r="I659" s="205"/>
      <c r="J659" s="201"/>
    </row>
    <row r="660" spans="1:10" x14ac:dyDescent="0.3">
      <c r="A660" s="8"/>
      <c r="B660" s="266"/>
      <c r="C660" s="266"/>
      <c r="D660" s="266"/>
      <c r="E660" s="264"/>
      <c r="F660" s="265"/>
      <c r="H660" s="8"/>
      <c r="I660" s="205"/>
      <c r="J660" s="201"/>
    </row>
    <row r="661" spans="1:10" x14ac:dyDescent="0.3">
      <c r="A661" s="8"/>
      <c r="B661" s="266"/>
      <c r="C661" s="266"/>
      <c r="D661" s="266"/>
      <c r="E661" s="264"/>
      <c r="F661" s="265"/>
      <c r="H661" s="8"/>
      <c r="I661" s="205"/>
      <c r="J661" s="201"/>
    </row>
    <row r="662" spans="1:10" x14ac:dyDescent="0.3">
      <c r="A662" s="8"/>
      <c r="B662" s="266"/>
      <c r="C662" s="266"/>
      <c r="D662" s="266"/>
      <c r="E662" s="264"/>
      <c r="F662" s="265"/>
      <c r="H662" s="8"/>
      <c r="I662" s="205"/>
      <c r="J662" s="201"/>
    </row>
    <row r="663" spans="1:10" x14ac:dyDescent="0.3">
      <c r="A663" s="8"/>
      <c r="B663" s="266"/>
      <c r="C663" s="266"/>
      <c r="D663" s="266"/>
      <c r="E663" s="264"/>
      <c r="F663" s="265"/>
      <c r="H663" s="8"/>
      <c r="I663" s="205"/>
      <c r="J663" s="201"/>
    </row>
    <row r="664" spans="1:10" x14ac:dyDescent="0.3">
      <c r="A664" s="8"/>
      <c r="B664" s="266"/>
      <c r="C664" s="266"/>
      <c r="D664" s="266"/>
      <c r="E664" s="264"/>
      <c r="F664" s="265"/>
      <c r="H664" s="8"/>
      <c r="I664" s="205"/>
      <c r="J664" s="201"/>
    </row>
    <row r="665" spans="1:10" x14ac:dyDescent="0.3">
      <c r="A665" s="8"/>
      <c r="B665" s="266"/>
      <c r="C665" s="266"/>
      <c r="D665" s="266"/>
      <c r="E665" s="264"/>
      <c r="F665" s="265"/>
      <c r="H665" s="8"/>
      <c r="I665" s="205"/>
      <c r="J665" s="201"/>
    </row>
    <row r="666" spans="1:10" x14ac:dyDescent="0.3">
      <c r="A666" s="8"/>
      <c r="B666" s="266"/>
      <c r="C666" s="266"/>
      <c r="D666" s="266"/>
      <c r="E666" s="264"/>
      <c r="F666" s="265"/>
      <c r="H666" s="8"/>
      <c r="I666" s="205"/>
      <c r="J666" s="201"/>
    </row>
    <row r="667" spans="1:10" x14ac:dyDescent="0.3">
      <c r="A667" s="8"/>
      <c r="B667" s="266"/>
      <c r="C667" s="266"/>
      <c r="D667" s="266"/>
      <c r="E667" s="264"/>
      <c r="F667" s="265"/>
      <c r="H667" s="8"/>
      <c r="I667" s="205"/>
      <c r="J667" s="201"/>
    </row>
    <row r="668" spans="1:10" x14ac:dyDescent="0.3">
      <c r="A668" s="8"/>
      <c r="B668" s="266"/>
      <c r="C668" s="266"/>
      <c r="D668" s="266"/>
      <c r="E668" s="264"/>
      <c r="F668" s="265"/>
      <c r="H668" s="8"/>
      <c r="I668" s="205"/>
      <c r="J668" s="201"/>
    </row>
    <row r="669" spans="1:10" x14ac:dyDescent="0.3">
      <c r="A669" s="8"/>
      <c r="B669" s="266"/>
      <c r="C669" s="266"/>
      <c r="D669" s="266"/>
      <c r="E669" s="264"/>
      <c r="F669" s="265"/>
      <c r="H669" s="8"/>
      <c r="I669" s="205"/>
      <c r="J669" s="201"/>
    </row>
    <row r="670" spans="1:10" x14ac:dyDescent="0.3">
      <c r="A670" s="8"/>
      <c r="B670" s="266"/>
      <c r="C670" s="266"/>
      <c r="D670" s="266"/>
      <c r="E670" s="264"/>
      <c r="F670" s="265"/>
      <c r="H670" s="8"/>
      <c r="I670" s="205"/>
      <c r="J670" s="201"/>
    </row>
    <row r="671" spans="1:10" x14ac:dyDescent="0.3">
      <c r="A671" s="8"/>
      <c r="B671" s="266"/>
      <c r="C671" s="266"/>
      <c r="D671" s="266"/>
      <c r="E671" s="264"/>
      <c r="F671" s="265"/>
      <c r="H671" s="8"/>
      <c r="I671" s="205"/>
      <c r="J671" s="201"/>
    </row>
    <row r="672" spans="1:10" x14ac:dyDescent="0.3">
      <c r="A672" s="8"/>
      <c r="B672" s="266"/>
      <c r="C672" s="266"/>
      <c r="D672" s="266"/>
      <c r="E672" s="264"/>
      <c r="F672" s="265"/>
      <c r="H672" s="8"/>
      <c r="I672" s="205"/>
      <c r="J672" s="201"/>
    </row>
    <row r="673" spans="1:10" x14ac:dyDescent="0.3">
      <c r="A673" s="8"/>
      <c r="B673" s="266"/>
      <c r="C673" s="266"/>
      <c r="D673" s="266"/>
      <c r="E673" s="264"/>
      <c r="F673" s="265"/>
      <c r="H673" s="8"/>
      <c r="I673" s="205"/>
      <c r="J673" s="201"/>
    </row>
    <row r="674" spans="1:10" x14ac:dyDescent="0.3">
      <c r="A674" s="8"/>
      <c r="B674" s="266"/>
      <c r="C674" s="266"/>
      <c r="D674" s="266"/>
      <c r="E674" s="264"/>
      <c r="F674" s="265"/>
      <c r="H674" s="8"/>
      <c r="I674" s="205"/>
      <c r="J674" s="201"/>
    </row>
    <row r="675" spans="1:10" x14ac:dyDescent="0.3">
      <c r="A675" s="8"/>
      <c r="B675" s="266"/>
      <c r="C675" s="266"/>
      <c r="D675" s="266"/>
      <c r="E675" s="264"/>
      <c r="F675" s="265"/>
      <c r="H675" s="8"/>
      <c r="I675" s="205"/>
      <c r="J675" s="201"/>
    </row>
    <row r="676" spans="1:10" x14ac:dyDescent="0.3">
      <c r="A676" s="8"/>
      <c r="B676" s="266"/>
      <c r="C676" s="266"/>
      <c r="D676" s="266"/>
      <c r="E676" s="264"/>
      <c r="F676" s="265"/>
      <c r="H676" s="8"/>
      <c r="I676" s="205"/>
      <c r="J676" s="201"/>
    </row>
    <row r="677" spans="1:10" x14ac:dyDescent="0.3">
      <c r="A677" s="8"/>
      <c r="B677" s="266"/>
      <c r="C677" s="266"/>
      <c r="D677" s="266"/>
      <c r="E677" s="264"/>
      <c r="F677" s="265"/>
      <c r="H677" s="8"/>
      <c r="I677" s="205"/>
      <c r="J677" s="201"/>
    </row>
    <row r="678" spans="1:10" x14ac:dyDescent="0.3">
      <c r="A678" s="8"/>
      <c r="B678" s="266"/>
      <c r="C678" s="266"/>
      <c r="D678" s="266"/>
      <c r="E678" s="264"/>
      <c r="F678" s="265"/>
      <c r="H678" s="8"/>
      <c r="I678" s="205"/>
      <c r="J678" s="201"/>
    </row>
    <row r="679" spans="1:10" x14ac:dyDescent="0.3">
      <c r="A679" s="8"/>
      <c r="B679" s="266"/>
      <c r="C679" s="266"/>
      <c r="D679" s="266"/>
      <c r="E679" s="264"/>
      <c r="F679" s="265"/>
      <c r="H679" s="8"/>
      <c r="I679" s="205"/>
      <c r="J679" s="201"/>
    </row>
    <row r="680" spans="1:10" x14ac:dyDescent="0.3">
      <c r="A680" s="8"/>
      <c r="B680" s="266"/>
      <c r="C680" s="266"/>
      <c r="D680" s="266"/>
      <c r="E680" s="264"/>
      <c r="F680" s="265"/>
      <c r="H680" s="8"/>
      <c r="I680" s="205"/>
      <c r="J680" s="201"/>
    </row>
    <row r="681" spans="1:10" x14ac:dyDescent="0.3">
      <c r="A681" s="8"/>
      <c r="B681" s="266"/>
      <c r="C681" s="266"/>
      <c r="D681" s="266"/>
      <c r="E681" s="264"/>
      <c r="F681" s="265"/>
      <c r="H681" s="8"/>
      <c r="I681" s="205"/>
      <c r="J681" s="201"/>
    </row>
    <row r="682" spans="1:10" x14ac:dyDescent="0.3">
      <c r="A682" s="8"/>
      <c r="B682" s="266"/>
      <c r="C682" s="266"/>
      <c r="D682" s="266"/>
      <c r="E682" s="264"/>
      <c r="F682" s="265"/>
      <c r="H682" s="8"/>
      <c r="I682" s="205"/>
      <c r="J682" s="201"/>
    </row>
    <row r="683" spans="1:10" x14ac:dyDescent="0.3">
      <c r="A683" s="8"/>
      <c r="B683" s="266"/>
      <c r="C683" s="266"/>
      <c r="D683" s="266"/>
      <c r="E683" s="264"/>
      <c r="F683" s="265"/>
      <c r="H683" s="8"/>
      <c r="I683" s="205"/>
      <c r="J683" s="201"/>
    </row>
    <row r="684" spans="1:10" x14ac:dyDescent="0.3">
      <c r="A684" s="8"/>
      <c r="B684" s="266"/>
      <c r="C684" s="266"/>
      <c r="D684" s="266"/>
      <c r="E684" s="264"/>
      <c r="F684" s="265"/>
      <c r="H684" s="8"/>
      <c r="I684" s="205"/>
      <c r="J684" s="201"/>
    </row>
    <row r="685" spans="1:10" x14ac:dyDescent="0.3">
      <c r="A685" s="8"/>
      <c r="B685" s="266"/>
      <c r="C685" s="266"/>
      <c r="D685" s="266"/>
      <c r="E685" s="264"/>
      <c r="F685" s="265"/>
      <c r="H685" s="8"/>
      <c r="I685" s="205"/>
      <c r="J685" s="201"/>
    </row>
    <row r="686" spans="1:10" x14ac:dyDescent="0.3">
      <c r="A686" s="8"/>
      <c r="B686" s="266"/>
      <c r="C686" s="266"/>
      <c r="D686" s="266"/>
      <c r="E686" s="264"/>
      <c r="F686" s="265"/>
      <c r="H686" s="8"/>
      <c r="I686" s="205"/>
      <c r="J686" s="201"/>
    </row>
    <row r="687" spans="1:10" x14ac:dyDescent="0.3">
      <c r="A687" s="8"/>
      <c r="B687" s="266"/>
      <c r="C687" s="266"/>
      <c r="D687" s="266"/>
      <c r="E687" s="264"/>
      <c r="F687" s="265"/>
      <c r="H687" s="8"/>
      <c r="I687" s="205"/>
      <c r="J687" s="201"/>
    </row>
    <row r="688" spans="1:10" x14ac:dyDescent="0.3">
      <c r="A688" s="8"/>
      <c r="B688" s="266"/>
      <c r="C688" s="266"/>
      <c r="D688" s="266"/>
      <c r="E688" s="264"/>
      <c r="F688" s="265"/>
      <c r="H688" s="8"/>
      <c r="I688" s="205"/>
      <c r="J688" s="201"/>
    </row>
    <row r="689" spans="1:10" x14ac:dyDescent="0.3">
      <c r="A689" s="8"/>
      <c r="B689" s="266"/>
      <c r="C689" s="266"/>
      <c r="D689" s="266"/>
      <c r="E689" s="264"/>
      <c r="F689" s="265"/>
      <c r="H689" s="8"/>
      <c r="I689" s="205"/>
      <c r="J689" s="201"/>
    </row>
    <row r="690" spans="1:10" x14ac:dyDescent="0.3">
      <c r="A690" s="8"/>
      <c r="B690" s="266"/>
      <c r="C690" s="266"/>
      <c r="D690" s="266"/>
      <c r="E690" s="264"/>
      <c r="F690" s="265"/>
      <c r="H690" s="8"/>
      <c r="I690" s="205"/>
      <c r="J690" s="201"/>
    </row>
    <row r="691" spans="1:10" x14ac:dyDescent="0.3">
      <c r="A691" s="8"/>
      <c r="B691" s="266"/>
      <c r="C691" s="266"/>
      <c r="D691" s="266"/>
      <c r="E691" s="264"/>
      <c r="F691" s="265"/>
      <c r="H691" s="8"/>
      <c r="I691" s="205"/>
      <c r="J691" s="201"/>
    </row>
    <row r="692" spans="1:10" x14ac:dyDescent="0.3">
      <c r="A692" s="8"/>
      <c r="B692" s="266"/>
      <c r="C692" s="266"/>
      <c r="D692" s="266"/>
      <c r="E692" s="264"/>
      <c r="F692" s="265"/>
      <c r="H692" s="8"/>
      <c r="I692" s="205"/>
      <c r="J692" s="201"/>
    </row>
    <row r="693" spans="1:10" x14ac:dyDescent="0.3">
      <c r="A693" s="8"/>
      <c r="B693" s="266"/>
      <c r="C693" s="266"/>
      <c r="D693" s="266"/>
      <c r="E693" s="264"/>
      <c r="F693" s="265"/>
      <c r="H693" s="8"/>
      <c r="I693" s="205"/>
      <c r="J693" s="201"/>
    </row>
    <row r="694" spans="1:10" x14ac:dyDescent="0.3">
      <c r="A694" s="8"/>
      <c r="B694" s="266"/>
      <c r="C694" s="266"/>
      <c r="D694" s="266"/>
      <c r="E694" s="264"/>
      <c r="F694" s="265"/>
      <c r="H694" s="8"/>
      <c r="I694" s="205"/>
      <c r="J694" s="201"/>
    </row>
    <row r="695" spans="1:10" x14ac:dyDescent="0.3">
      <c r="A695" s="8"/>
      <c r="B695" s="266"/>
      <c r="C695" s="266"/>
      <c r="D695" s="266"/>
      <c r="E695" s="264"/>
      <c r="F695" s="265"/>
      <c r="H695" s="8"/>
      <c r="I695" s="205"/>
      <c r="J695" s="201"/>
    </row>
    <row r="696" spans="1:10" x14ac:dyDescent="0.3">
      <c r="A696" s="8"/>
      <c r="B696" s="266"/>
      <c r="C696" s="266"/>
      <c r="D696" s="266"/>
      <c r="E696" s="264"/>
      <c r="F696" s="265"/>
      <c r="H696" s="8"/>
      <c r="I696" s="205"/>
      <c r="J696" s="201"/>
    </row>
    <row r="697" spans="1:10" x14ac:dyDescent="0.3">
      <c r="A697" s="8"/>
      <c r="B697" s="266"/>
      <c r="C697" s="266"/>
      <c r="D697" s="266"/>
      <c r="E697" s="264"/>
      <c r="F697" s="265"/>
      <c r="H697" s="8"/>
      <c r="I697" s="205"/>
      <c r="J697" s="201"/>
    </row>
    <row r="698" spans="1:10" x14ac:dyDescent="0.3">
      <c r="A698" s="8"/>
      <c r="B698" s="266"/>
      <c r="C698" s="266"/>
      <c r="D698" s="266"/>
      <c r="E698" s="264"/>
      <c r="F698" s="265"/>
      <c r="H698" s="8"/>
      <c r="I698" s="205"/>
      <c r="J698" s="201"/>
    </row>
    <row r="699" spans="1:10" x14ac:dyDescent="0.3">
      <c r="A699" s="8"/>
      <c r="B699" s="266"/>
      <c r="C699" s="266"/>
      <c r="D699" s="266"/>
      <c r="E699" s="264"/>
      <c r="F699" s="265"/>
      <c r="H699" s="8"/>
      <c r="I699" s="205"/>
      <c r="J699" s="201"/>
    </row>
    <row r="700" spans="1:10" x14ac:dyDescent="0.3">
      <c r="A700" s="8"/>
      <c r="B700" s="266"/>
      <c r="C700" s="266"/>
      <c r="D700" s="266"/>
      <c r="E700" s="264"/>
      <c r="F700" s="265"/>
      <c r="H700" s="8"/>
      <c r="I700" s="205"/>
      <c r="J700" s="201"/>
    </row>
    <row r="701" spans="1:10" x14ac:dyDescent="0.3">
      <c r="A701" s="8"/>
      <c r="B701" s="266"/>
      <c r="C701" s="266"/>
      <c r="D701" s="266"/>
      <c r="E701" s="264"/>
      <c r="F701" s="265"/>
      <c r="H701" s="8"/>
      <c r="I701" s="205"/>
      <c r="J701" s="201"/>
    </row>
    <row r="702" spans="1:10" x14ac:dyDescent="0.3">
      <c r="A702" s="8"/>
      <c r="B702" s="266"/>
      <c r="C702" s="266"/>
      <c r="D702" s="266"/>
      <c r="E702" s="264"/>
      <c r="F702" s="265"/>
      <c r="H702" s="8"/>
      <c r="I702" s="205"/>
      <c r="J702" s="201"/>
    </row>
    <row r="703" spans="1:10" x14ac:dyDescent="0.3">
      <c r="A703" s="8"/>
      <c r="B703" s="266"/>
      <c r="C703" s="266"/>
      <c r="D703" s="266"/>
      <c r="E703" s="264"/>
      <c r="F703" s="265"/>
      <c r="H703" s="8"/>
      <c r="I703" s="205"/>
      <c r="J703" s="201"/>
    </row>
    <row r="704" spans="1:10" x14ac:dyDescent="0.3">
      <c r="A704" s="8"/>
      <c r="B704" s="266"/>
      <c r="C704" s="266"/>
      <c r="D704" s="266"/>
      <c r="E704" s="264"/>
      <c r="F704" s="265"/>
      <c r="H704" s="8"/>
      <c r="I704" s="205"/>
      <c r="J704" s="201"/>
    </row>
    <row r="705" spans="1:10" x14ac:dyDescent="0.3">
      <c r="A705" s="8"/>
      <c r="B705" s="266"/>
      <c r="C705" s="266"/>
      <c r="D705" s="266"/>
      <c r="E705" s="264"/>
      <c r="F705" s="265"/>
      <c r="H705" s="8"/>
      <c r="I705" s="205"/>
      <c r="J705" s="201"/>
    </row>
    <row r="706" spans="1:10" x14ac:dyDescent="0.3">
      <c r="A706" s="8"/>
      <c r="B706" s="266"/>
      <c r="C706" s="266"/>
      <c r="D706" s="266"/>
      <c r="E706" s="264"/>
      <c r="F706" s="265"/>
      <c r="H706" s="8"/>
      <c r="I706" s="205"/>
      <c r="J706" s="201"/>
    </row>
    <row r="707" spans="1:10" x14ac:dyDescent="0.3">
      <c r="A707" s="8"/>
      <c r="B707" s="266"/>
      <c r="C707" s="266"/>
      <c r="D707" s="266"/>
      <c r="E707" s="264"/>
      <c r="F707" s="265"/>
      <c r="H707" s="8"/>
      <c r="I707" s="205"/>
      <c r="J707" s="201"/>
    </row>
    <row r="708" spans="1:10" x14ac:dyDescent="0.3">
      <c r="A708" s="8"/>
      <c r="B708" s="266"/>
      <c r="C708" s="266"/>
      <c r="D708" s="266"/>
      <c r="E708" s="264"/>
      <c r="F708" s="265"/>
      <c r="H708" s="8"/>
      <c r="I708" s="205"/>
      <c r="J708" s="201"/>
    </row>
    <row r="709" spans="1:10" x14ac:dyDescent="0.3">
      <c r="A709" s="8"/>
      <c r="B709" s="266"/>
      <c r="C709" s="266"/>
      <c r="D709" s="266"/>
      <c r="E709" s="264"/>
      <c r="F709" s="265"/>
      <c r="H709" s="8"/>
      <c r="I709" s="205"/>
      <c r="J709" s="201"/>
    </row>
    <row r="710" spans="1:10" x14ac:dyDescent="0.3">
      <c r="A710" s="8"/>
      <c r="B710" s="266"/>
      <c r="C710" s="266"/>
      <c r="D710" s="266"/>
      <c r="E710" s="264"/>
      <c r="F710" s="265"/>
      <c r="H710" s="8"/>
      <c r="I710" s="205"/>
      <c r="J710" s="201"/>
    </row>
    <row r="711" spans="1:10" x14ac:dyDescent="0.3">
      <c r="A711" s="8"/>
      <c r="B711" s="266"/>
      <c r="C711" s="266"/>
      <c r="D711" s="266"/>
      <c r="E711" s="264"/>
      <c r="F711" s="265"/>
      <c r="H711" s="8"/>
      <c r="I711" s="205"/>
      <c r="J711" s="201"/>
    </row>
    <row r="712" spans="1:10" x14ac:dyDescent="0.3">
      <c r="A712" s="8"/>
      <c r="B712" s="266"/>
      <c r="C712" s="266"/>
      <c r="D712" s="266"/>
      <c r="E712" s="264"/>
      <c r="F712" s="265"/>
      <c r="H712" s="8"/>
      <c r="I712" s="205"/>
      <c r="J712" s="201"/>
    </row>
    <row r="713" spans="1:10" x14ac:dyDescent="0.3">
      <c r="A713" s="8"/>
      <c r="B713" s="266"/>
      <c r="C713" s="266"/>
      <c r="D713" s="266"/>
      <c r="E713" s="264"/>
      <c r="F713" s="265"/>
      <c r="H713" s="8"/>
      <c r="I713" s="205"/>
      <c r="J713" s="201"/>
    </row>
    <row r="714" spans="1:10" x14ac:dyDescent="0.3">
      <c r="A714" s="8"/>
      <c r="B714" s="266"/>
      <c r="C714" s="266"/>
      <c r="D714" s="266"/>
      <c r="E714" s="264"/>
      <c r="F714" s="265"/>
      <c r="H714" s="8"/>
      <c r="I714" s="205"/>
      <c r="J714" s="201"/>
    </row>
    <row r="715" spans="1:10" x14ac:dyDescent="0.3">
      <c r="A715" s="8"/>
      <c r="B715" s="266"/>
      <c r="C715" s="266"/>
      <c r="D715" s="266"/>
      <c r="E715" s="264"/>
      <c r="F715" s="265"/>
      <c r="H715" s="8"/>
      <c r="I715" s="205"/>
      <c r="J715" s="201"/>
    </row>
    <row r="716" spans="1:10" x14ac:dyDescent="0.3">
      <c r="A716" s="8"/>
      <c r="B716" s="266"/>
      <c r="C716" s="266"/>
      <c r="D716" s="266"/>
      <c r="E716" s="264"/>
      <c r="F716" s="265"/>
      <c r="H716" s="8"/>
      <c r="I716" s="205"/>
      <c r="J716" s="201"/>
    </row>
    <row r="717" spans="1:10" x14ac:dyDescent="0.3">
      <c r="A717" s="8"/>
      <c r="B717" s="266"/>
      <c r="C717" s="266"/>
      <c r="D717" s="266"/>
      <c r="E717" s="264"/>
      <c r="F717" s="265"/>
      <c r="H717" s="8"/>
      <c r="I717" s="205"/>
      <c r="J717" s="201"/>
    </row>
    <row r="718" spans="1:10" x14ac:dyDescent="0.3">
      <c r="A718" s="8"/>
      <c r="B718" s="266"/>
      <c r="C718" s="266"/>
      <c r="D718" s="266"/>
      <c r="E718" s="264"/>
      <c r="F718" s="265"/>
      <c r="H718" s="8"/>
      <c r="I718" s="205"/>
      <c r="J718" s="201"/>
    </row>
    <row r="719" spans="1:10" x14ac:dyDescent="0.3">
      <c r="A719" s="8"/>
      <c r="B719" s="266"/>
      <c r="C719" s="266"/>
      <c r="D719" s="266"/>
      <c r="E719" s="264"/>
      <c r="F719" s="265"/>
      <c r="H719" s="8"/>
      <c r="I719" s="205"/>
      <c r="J719" s="201"/>
    </row>
    <row r="720" spans="1:10" x14ac:dyDescent="0.3">
      <c r="A720" s="8"/>
      <c r="B720" s="266"/>
      <c r="C720" s="266"/>
      <c r="D720" s="266"/>
      <c r="E720" s="264"/>
      <c r="F720" s="265"/>
      <c r="H720" s="8"/>
      <c r="I720" s="205"/>
      <c r="J720" s="201"/>
    </row>
    <row r="721" spans="1:10" x14ac:dyDescent="0.3">
      <c r="A721" s="8"/>
      <c r="B721" s="266"/>
      <c r="C721" s="266"/>
      <c r="D721" s="266"/>
      <c r="E721" s="264"/>
      <c r="F721" s="265"/>
      <c r="H721" s="8"/>
      <c r="I721" s="205"/>
      <c r="J721" s="201"/>
    </row>
    <row r="722" spans="1:10" x14ac:dyDescent="0.3">
      <c r="A722" s="8"/>
      <c r="B722" s="266"/>
      <c r="C722" s="266"/>
      <c r="D722" s="266"/>
      <c r="E722" s="264"/>
      <c r="F722" s="265"/>
      <c r="H722" s="8"/>
      <c r="I722" s="205"/>
      <c r="J722" s="201"/>
    </row>
    <row r="723" spans="1:10" x14ac:dyDescent="0.3">
      <c r="A723" s="8"/>
      <c r="B723" s="266"/>
      <c r="C723" s="266"/>
      <c r="D723" s="266"/>
      <c r="E723" s="264"/>
      <c r="F723" s="265"/>
      <c r="H723" s="8"/>
      <c r="I723" s="205"/>
      <c r="J723" s="201"/>
    </row>
    <row r="724" spans="1:10" x14ac:dyDescent="0.3">
      <c r="A724" s="8"/>
      <c r="B724" s="266"/>
      <c r="C724" s="266"/>
      <c r="D724" s="266"/>
      <c r="E724" s="264"/>
      <c r="F724" s="265"/>
      <c r="H724" s="8"/>
      <c r="I724" s="205"/>
      <c r="J724" s="201"/>
    </row>
    <row r="725" spans="1:10" x14ac:dyDescent="0.3">
      <c r="A725" s="8"/>
      <c r="B725" s="266"/>
      <c r="C725" s="266"/>
      <c r="D725" s="266"/>
      <c r="E725" s="264"/>
      <c r="F725" s="265"/>
      <c r="H725" s="8"/>
      <c r="I725" s="205"/>
      <c r="J725" s="201"/>
    </row>
    <row r="726" spans="1:10" x14ac:dyDescent="0.3">
      <c r="A726" s="8"/>
      <c r="B726" s="266"/>
      <c r="C726" s="266"/>
      <c r="D726" s="266"/>
      <c r="E726" s="264"/>
      <c r="F726" s="265"/>
      <c r="H726" s="8"/>
      <c r="I726" s="205"/>
      <c r="J726" s="201"/>
    </row>
    <row r="727" spans="1:10" x14ac:dyDescent="0.3">
      <c r="A727" s="8"/>
      <c r="B727" s="266"/>
      <c r="C727" s="266"/>
      <c r="D727" s="266"/>
      <c r="E727" s="264"/>
      <c r="F727" s="265"/>
      <c r="H727" s="8"/>
      <c r="I727" s="205"/>
      <c r="J727" s="201"/>
    </row>
    <row r="728" spans="1:10" x14ac:dyDescent="0.3">
      <c r="A728" s="8"/>
      <c r="B728" s="266"/>
      <c r="C728" s="266"/>
      <c r="D728" s="266"/>
      <c r="E728" s="264"/>
      <c r="F728" s="265"/>
      <c r="H728" s="8"/>
      <c r="I728" s="205"/>
      <c r="J728" s="201"/>
    </row>
    <row r="729" spans="1:10" x14ac:dyDescent="0.3">
      <c r="A729" s="8"/>
      <c r="B729" s="266"/>
      <c r="C729" s="266"/>
      <c r="D729" s="266"/>
      <c r="E729" s="264"/>
      <c r="F729" s="265"/>
      <c r="H729" s="8"/>
      <c r="I729" s="205"/>
      <c r="J729" s="201"/>
    </row>
    <row r="730" spans="1:10" x14ac:dyDescent="0.3">
      <c r="A730" s="8"/>
      <c r="B730" s="266"/>
      <c r="C730" s="266"/>
      <c r="D730" s="266"/>
      <c r="E730" s="264"/>
      <c r="F730" s="265"/>
      <c r="H730" s="8"/>
      <c r="I730" s="205"/>
      <c r="J730" s="201"/>
    </row>
    <row r="731" spans="1:10" x14ac:dyDescent="0.3">
      <c r="A731" s="8"/>
      <c r="B731" s="266"/>
      <c r="C731" s="266"/>
      <c r="D731" s="266"/>
      <c r="E731" s="264"/>
      <c r="F731" s="265"/>
      <c r="H731" s="8"/>
      <c r="I731" s="205"/>
      <c r="J731" s="201"/>
    </row>
    <row r="732" spans="1:10" x14ac:dyDescent="0.3">
      <c r="A732" s="8"/>
      <c r="B732" s="266"/>
      <c r="C732" s="266"/>
      <c r="D732" s="266"/>
      <c r="E732" s="264"/>
      <c r="F732" s="265"/>
      <c r="H732" s="8"/>
      <c r="I732" s="205"/>
      <c r="J732" s="201"/>
    </row>
    <row r="733" spans="1:10" x14ac:dyDescent="0.3">
      <c r="A733" s="8"/>
      <c r="B733" s="266"/>
      <c r="C733" s="266"/>
      <c r="D733" s="266"/>
      <c r="E733" s="264"/>
      <c r="F733" s="265"/>
      <c r="H733" s="8"/>
      <c r="I733" s="205"/>
      <c r="J733" s="201"/>
    </row>
    <row r="734" spans="1:10" x14ac:dyDescent="0.3">
      <c r="A734" s="8"/>
      <c r="B734" s="266"/>
      <c r="C734" s="266"/>
      <c r="D734" s="266"/>
      <c r="E734" s="264"/>
      <c r="F734" s="265"/>
      <c r="H734" s="8"/>
      <c r="I734" s="205"/>
      <c r="J734" s="201"/>
    </row>
    <row r="735" spans="1:10" x14ac:dyDescent="0.3">
      <c r="A735" s="8"/>
      <c r="B735" s="266"/>
      <c r="C735" s="266"/>
      <c r="D735" s="266"/>
      <c r="E735" s="264"/>
      <c r="F735" s="265"/>
      <c r="H735" s="8"/>
      <c r="I735" s="205"/>
      <c r="J735" s="201"/>
    </row>
    <row r="736" spans="1:10" x14ac:dyDescent="0.3">
      <c r="A736" s="8"/>
      <c r="B736" s="266"/>
      <c r="C736" s="266"/>
      <c r="D736" s="266"/>
      <c r="E736" s="264"/>
      <c r="F736" s="265"/>
      <c r="H736" s="8"/>
      <c r="I736" s="205"/>
      <c r="J736" s="201"/>
    </row>
    <row r="737" spans="1:10" x14ac:dyDescent="0.3">
      <c r="A737" s="8"/>
      <c r="B737" s="266"/>
      <c r="C737" s="266"/>
      <c r="D737" s="266"/>
      <c r="E737" s="264"/>
      <c r="F737" s="265"/>
      <c r="H737" s="8"/>
      <c r="I737" s="205"/>
      <c r="J737" s="201"/>
    </row>
    <row r="738" spans="1:10" x14ac:dyDescent="0.3">
      <c r="A738" s="8"/>
      <c r="B738" s="266"/>
      <c r="C738" s="266"/>
      <c r="D738" s="266"/>
      <c r="E738" s="264"/>
      <c r="F738" s="265"/>
      <c r="H738" s="8"/>
      <c r="I738" s="205"/>
      <c r="J738" s="201"/>
    </row>
    <row r="739" spans="1:10" x14ac:dyDescent="0.3">
      <c r="A739" s="8"/>
      <c r="B739" s="266"/>
      <c r="C739" s="266"/>
      <c r="D739" s="266"/>
      <c r="E739" s="264"/>
      <c r="F739" s="265"/>
      <c r="H739" s="8"/>
      <c r="I739" s="205"/>
      <c r="J739" s="201"/>
    </row>
    <row r="740" spans="1:10" x14ac:dyDescent="0.3">
      <c r="A740" s="8"/>
      <c r="B740" s="266"/>
      <c r="C740" s="266"/>
      <c r="D740" s="266"/>
      <c r="E740" s="264"/>
      <c r="F740" s="265"/>
      <c r="H740" s="8"/>
      <c r="I740" s="205"/>
      <c r="J740" s="201"/>
    </row>
    <row r="741" spans="1:10" x14ac:dyDescent="0.3">
      <c r="A741" s="8"/>
      <c r="B741" s="266"/>
      <c r="C741" s="266"/>
      <c r="D741" s="266"/>
      <c r="E741" s="264"/>
      <c r="F741" s="265"/>
      <c r="H741" s="8"/>
      <c r="I741" s="205"/>
      <c r="J741" s="201"/>
    </row>
    <row r="742" spans="1:10" x14ac:dyDescent="0.3">
      <c r="A742" s="8"/>
      <c r="B742" s="266"/>
      <c r="C742" s="266"/>
      <c r="D742" s="266"/>
      <c r="E742" s="264"/>
      <c r="F742" s="265"/>
      <c r="H742" s="8"/>
      <c r="I742" s="205"/>
      <c r="J742" s="201"/>
    </row>
    <row r="743" spans="1:10" x14ac:dyDescent="0.3">
      <c r="A743" s="8"/>
      <c r="B743" s="266"/>
      <c r="C743" s="266"/>
      <c r="D743" s="266"/>
      <c r="E743" s="264"/>
      <c r="F743" s="265"/>
      <c r="H743" s="8"/>
      <c r="I743" s="205"/>
      <c r="J743" s="201"/>
    </row>
    <row r="744" spans="1:10" x14ac:dyDescent="0.3">
      <c r="A744" s="8"/>
      <c r="B744" s="266"/>
      <c r="C744" s="266"/>
      <c r="D744" s="266"/>
      <c r="E744" s="264"/>
      <c r="F744" s="265"/>
      <c r="H744" s="8"/>
      <c r="I744" s="205"/>
      <c r="J744" s="201"/>
    </row>
    <row r="745" spans="1:10" x14ac:dyDescent="0.3">
      <c r="A745" s="8"/>
      <c r="B745" s="266"/>
      <c r="C745" s="266"/>
      <c r="D745" s="266"/>
      <c r="E745" s="264"/>
      <c r="F745" s="265"/>
      <c r="H745" s="8"/>
      <c r="I745" s="205"/>
      <c r="J745" s="201"/>
    </row>
    <row r="746" spans="1:10" x14ac:dyDescent="0.3">
      <c r="A746" s="8"/>
      <c r="B746" s="266"/>
      <c r="C746" s="266"/>
      <c r="D746" s="266"/>
      <c r="E746" s="264"/>
      <c r="F746" s="265"/>
      <c r="H746" s="8"/>
      <c r="I746" s="205"/>
      <c r="J746" s="201"/>
    </row>
    <row r="747" spans="1:10" x14ac:dyDescent="0.3">
      <c r="A747" s="8"/>
      <c r="B747" s="266"/>
      <c r="C747" s="266"/>
      <c r="D747" s="266"/>
      <c r="E747" s="264"/>
      <c r="F747" s="265"/>
      <c r="H747" s="8"/>
      <c r="I747" s="205"/>
      <c r="J747" s="201"/>
    </row>
    <row r="748" spans="1:10" x14ac:dyDescent="0.3">
      <c r="A748" s="8"/>
      <c r="B748" s="266"/>
      <c r="C748" s="266"/>
      <c r="D748" s="266"/>
      <c r="E748" s="264"/>
      <c r="F748" s="265"/>
      <c r="H748" s="8"/>
      <c r="I748" s="205"/>
      <c r="J748" s="201"/>
    </row>
    <row r="749" spans="1:10" x14ac:dyDescent="0.3">
      <c r="A749" s="8"/>
      <c r="B749" s="266"/>
      <c r="C749" s="266"/>
      <c r="D749" s="266"/>
      <c r="E749" s="264"/>
      <c r="F749" s="265"/>
      <c r="H749" s="8"/>
      <c r="I749" s="205"/>
      <c r="J749" s="201"/>
    </row>
    <row r="750" spans="1:10" x14ac:dyDescent="0.3">
      <c r="A750" s="8"/>
      <c r="B750" s="266"/>
      <c r="C750" s="266"/>
      <c r="D750" s="266"/>
      <c r="E750" s="264"/>
      <c r="F750" s="265"/>
      <c r="H750" s="8"/>
      <c r="I750" s="205"/>
      <c r="J750" s="201"/>
    </row>
    <row r="751" spans="1:10" x14ac:dyDescent="0.3">
      <c r="A751" s="8"/>
      <c r="B751" s="266"/>
      <c r="C751" s="266"/>
      <c r="D751" s="266"/>
      <c r="E751" s="264"/>
      <c r="F751" s="265"/>
      <c r="H751" s="8"/>
      <c r="I751" s="205"/>
      <c r="J751" s="201"/>
    </row>
    <row r="752" spans="1:10" x14ac:dyDescent="0.3">
      <c r="A752" s="8"/>
      <c r="B752" s="266"/>
      <c r="C752" s="266"/>
      <c r="D752" s="266"/>
      <c r="E752" s="264"/>
      <c r="F752" s="265"/>
      <c r="H752" s="8"/>
      <c r="I752" s="205"/>
      <c r="J752" s="201"/>
    </row>
    <row r="753" spans="1:10" x14ac:dyDescent="0.3">
      <c r="A753" s="8"/>
      <c r="B753" s="266"/>
      <c r="C753" s="266"/>
      <c r="D753" s="266"/>
      <c r="E753" s="264"/>
      <c r="F753" s="265"/>
      <c r="H753" s="8"/>
      <c r="I753" s="205"/>
      <c r="J753" s="201"/>
    </row>
    <row r="754" spans="1:10" x14ac:dyDescent="0.3">
      <c r="A754" s="8"/>
      <c r="B754" s="266"/>
      <c r="C754" s="266"/>
      <c r="D754" s="266"/>
      <c r="E754" s="264"/>
      <c r="F754" s="265"/>
      <c r="H754" s="8"/>
      <c r="I754" s="205"/>
      <c r="J754" s="201"/>
    </row>
    <row r="755" spans="1:10" x14ac:dyDescent="0.3">
      <c r="A755" s="8"/>
      <c r="B755" s="266"/>
      <c r="C755" s="266"/>
      <c r="D755" s="266"/>
      <c r="E755" s="264"/>
      <c r="F755" s="265"/>
      <c r="H755" s="8"/>
      <c r="I755" s="205"/>
      <c r="J755" s="201"/>
    </row>
    <row r="756" spans="1:10" x14ac:dyDescent="0.3">
      <c r="A756" s="8"/>
      <c r="B756" s="266"/>
      <c r="C756" s="266"/>
      <c r="D756" s="266"/>
      <c r="E756" s="264"/>
      <c r="F756" s="265"/>
      <c r="H756" s="8"/>
      <c r="I756" s="205"/>
      <c r="J756" s="201"/>
    </row>
    <row r="757" spans="1:10" x14ac:dyDescent="0.3">
      <c r="A757" s="8"/>
      <c r="B757" s="266"/>
      <c r="C757" s="266"/>
      <c r="D757" s="266"/>
      <c r="E757" s="264"/>
      <c r="F757" s="265"/>
      <c r="H757" s="8"/>
      <c r="I757" s="205"/>
      <c r="J757" s="201"/>
    </row>
    <row r="758" spans="1:10" x14ac:dyDescent="0.3">
      <c r="A758" s="8"/>
      <c r="B758" s="266"/>
      <c r="C758" s="266"/>
      <c r="D758" s="266"/>
      <c r="E758" s="264"/>
      <c r="F758" s="265"/>
      <c r="H758" s="8"/>
      <c r="I758" s="205"/>
      <c r="J758" s="201"/>
    </row>
    <row r="759" spans="1:10" x14ac:dyDescent="0.3">
      <c r="A759" s="8"/>
      <c r="B759" s="266"/>
      <c r="C759" s="266"/>
      <c r="D759" s="266"/>
      <c r="E759" s="264"/>
      <c r="F759" s="265"/>
      <c r="H759" s="8"/>
      <c r="I759" s="205"/>
      <c r="J759" s="201"/>
    </row>
    <row r="760" spans="1:10" x14ac:dyDescent="0.3">
      <c r="A760" s="8"/>
      <c r="B760" s="266"/>
      <c r="C760" s="266"/>
      <c r="D760" s="266"/>
      <c r="E760" s="264"/>
      <c r="F760" s="265"/>
      <c r="H760" s="8"/>
      <c r="I760" s="205"/>
      <c r="J760" s="201"/>
    </row>
    <row r="761" spans="1:10" x14ac:dyDescent="0.3">
      <c r="A761" s="8"/>
      <c r="B761" s="266"/>
      <c r="C761" s="266"/>
      <c r="D761" s="266"/>
      <c r="E761" s="264"/>
      <c r="F761" s="265"/>
      <c r="H761" s="8"/>
      <c r="I761" s="205"/>
      <c r="J761" s="201"/>
    </row>
    <row r="762" spans="1:10" x14ac:dyDescent="0.3">
      <c r="A762" s="8"/>
      <c r="B762" s="266"/>
      <c r="C762" s="266"/>
      <c r="D762" s="266"/>
      <c r="E762" s="264"/>
      <c r="F762" s="265"/>
      <c r="H762" s="8"/>
      <c r="I762" s="205"/>
      <c r="J762" s="201"/>
    </row>
    <row r="763" spans="1:10" x14ac:dyDescent="0.3">
      <c r="A763" s="8"/>
      <c r="B763" s="266"/>
      <c r="C763" s="266"/>
      <c r="D763" s="266"/>
      <c r="E763" s="264"/>
      <c r="F763" s="265"/>
      <c r="H763" s="8"/>
      <c r="I763" s="205"/>
      <c r="J763" s="201"/>
    </row>
    <row r="764" spans="1:10" x14ac:dyDescent="0.3">
      <c r="A764" s="8"/>
      <c r="B764" s="266"/>
      <c r="C764" s="266"/>
      <c r="D764" s="266"/>
      <c r="E764" s="264"/>
      <c r="F764" s="265"/>
      <c r="H764" s="8"/>
      <c r="I764" s="205"/>
      <c r="J764" s="201"/>
    </row>
    <row r="765" spans="1:10" x14ac:dyDescent="0.3">
      <c r="A765" s="8"/>
      <c r="B765" s="266"/>
      <c r="C765" s="266"/>
      <c r="D765" s="266"/>
      <c r="E765" s="264"/>
      <c r="F765" s="265"/>
      <c r="H765" s="8"/>
      <c r="I765" s="205"/>
      <c r="J765" s="201"/>
    </row>
    <row r="766" spans="1:10" x14ac:dyDescent="0.3">
      <c r="A766" s="8"/>
      <c r="B766" s="266"/>
      <c r="C766" s="266"/>
      <c r="D766" s="266"/>
      <c r="E766" s="264"/>
      <c r="F766" s="265"/>
      <c r="H766" s="8"/>
      <c r="I766" s="205"/>
      <c r="J766" s="201"/>
    </row>
    <row r="767" spans="1:10" x14ac:dyDescent="0.3">
      <c r="A767" s="8"/>
      <c r="B767" s="266"/>
      <c r="C767" s="266"/>
      <c r="D767" s="266"/>
      <c r="E767" s="264"/>
      <c r="F767" s="265"/>
      <c r="H767" s="8"/>
      <c r="I767" s="205"/>
      <c r="J767" s="201"/>
    </row>
    <row r="768" spans="1:10" x14ac:dyDescent="0.3">
      <c r="A768" s="8"/>
      <c r="B768" s="266"/>
      <c r="C768" s="266"/>
      <c r="D768" s="266"/>
      <c r="E768" s="264"/>
      <c r="F768" s="265"/>
      <c r="H768" s="8"/>
      <c r="I768" s="205"/>
      <c r="J768" s="201"/>
    </row>
    <row r="769" spans="1:10" x14ac:dyDescent="0.3">
      <c r="A769" s="8"/>
      <c r="B769" s="266"/>
      <c r="C769" s="266"/>
      <c r="D769" s="266"/>
      <c r="E769" s="264"/>
      <c r="F769" s="265"/>
      <c r="H769" s="8"/>
      <c r="I769" s="205"/>
      <c r="J769" s="201"/>
    </row>
    <row r="770" spans="1:10" x14ac:dyDescent="0.3">
      <c r="A770" s="8"/>
      <c r="B770" s="266"/>
      <c r="C770" s="266"/>
      <c r="D770" s="266"/>
      <c r="E770" s="264"/>
      <c r="F770" s="265"/>
      <c r="H770" s="8"/>
      <c r="I770" s="205"/>
      <c r="J770" s="201"/>
    </row>
    <row r="771" spans="1:10" x14ac:dyDescent="0.3">
      <c r="A771" s="8"/>
      <c r="B771" s="266"/>
      <c r="C771" s="266"/>
      <c r="D771" s="266"/>
      <c r="E771" s="264"/>
      <c r="F771" s="265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9"/>
      <c r="F772" s="250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9"/>
      <c r="F773" s="250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9"/>
      <c r="F774" s="250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9"/>
      <c r="F775" s="250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9"/>
      <c r="F776" s="250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9"/>
      <c r="F777" s="250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9"/>
      <c r="F778" s="250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9"/>
      <c r="F779" s="250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9"/>
      <c r="F780" s="250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9"/>
      <c r="F781" s="250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9"/>
      <c r="F782" s="250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9"/>
      <c r="F783" s="250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9"/>
      <c r="F784" s="250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9"/>
      <c r="F785" s="250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9"/>
      <c r="F786" s="250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9"/>
      <c r="F787" s="250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9"/>
      <c r="F788" s="250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9"/>
      <c r="F789" s="250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9"/>
      <c r="F790" s="250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9"/>
      <c r="F791" s="250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9"/>
      <c r="F792" s="250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9"/>
      <c r="F793" s="250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9"/>
      <c r="F794" s="250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9"/>
      <c r="F795" s="250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9"/>
      <c r="F796" s="250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9"/>
      <c r="F797" s="250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9"/>
      <c r="F798" s="250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9"/>
      <c r="F799" s="250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9"/>
      <c r="F800" s="250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9"/>
      <c r="F801" s="250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9"/>
      <c r="F802" s="250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9"/>
      <c r="F803" s="250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9"/>
      <c r="F804" s="250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9"/>
      <c r="F805" s="250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9"/>
      <c r="F806" s="250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9"/>
      <c r="F807" s="250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9"/>
      <c r="F808" s="250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9"/>
      <c r="F809" s="250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9"/>
      <c r="F810" s="250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9"/>
      <c r="F811" s="250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9"/>
      <c r="F812" s="250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9"/>
      <c r="F813" s="250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9"/>
      <c r="F814" s="250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9"/>
      <c r="F815" s="250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9"/>
      <c r="F816" s="250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9"/>
      <c r="F817" s="250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9"/>
      <c r="F818" s="250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9"/>
      <c r="F819" s="250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9"/>
      <c r="F820" s="250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9"/>
      <c r="F821" s="250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9"/>
      <c r="F822" s="250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9"/>
      <c r="F823" s="250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9"/>
      <c r="F824" s="250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9"/>
      <c r="F825" s="250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9"/>
      <c r="F826" s="250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9"/>
      <c r="F827" s="250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9"/>
      <c r="F828" s="250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9"/>
      <c r="F829" s="250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9"/>
      <c r="F830" s="250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9"/>
      <c r="F831" s="250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9"/>
      <c r="F832" s="250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9"/>
      <c r="F833" s="250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9"/>
      <c r="F834" s="250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9"/>
      <c r="F835" s="250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9"/>
      <c r="F836" s="250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9"/>
      <c r="F837" s="250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9"/>
      <c r="F838" s="250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9"/>
      <c r="F839" s="250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9"/>
      <c r="F840" s="250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9"/>
      <c r="F841" s="250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9"/>
      <c r="F842" s="250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9"/>
      <c r="F843" s="250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9"/>
      <c r="F844" s="250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9"/>
      <c r="F845" s="250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9"/>
      <c r="F846" s="250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9"/>
      <c r="F847" s="250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9"/>
      <c r="F848" s="250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9"/>
      <c r="F849" s="250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9"/>
      <c r="F850" s="250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9"/>
      <c r="F851" s="250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9"/>
      <c r="F852" s="250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9"/>
      <c r="F853" s="250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9"/>
      <c r="F854" s="250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9"/>
      <c r="F855" s="250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9"/>
      <c r="F856" s="250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9"/>
      <c r="F857" s="250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9"/>
      <c r="F858" s="250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9"/>
      <c r="F859" s="250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9"/>
      <c r="F860" s="250"/>
      <c r="H860" s="8"/>
      <c r="I860" s="205"/>
      <c r="J860" s="201"/>
    </row>
    <row r="861" spans="1:10" x14ac:dyDescent="0.3">
      <c r="A861" s="50"/>
      <c r="B861" s="251"/>
      <c r="C861" s="251"/>
      <c r="D861" s="251"/>
      <c r="E861" s="273"/>
      <c r="F861" s="252"/>
      <c r="H861" s="11"/>
      <c r="I861" s="210"/>
      <c r="J861" s="211"/>
    </row>
    <row r="862" spans="1:10" x14ac:dyDescent="0.3">
      <c r="A862" s="55"/>
      <c r="E862" s="235"/>
      <c r="H862" s="246"/>
      <c r="I862" s="269"/>
      <c r="J862" s="269"/>
    </row>
    <row r="863" spans="1:10" x14ac:dyDescent="0.3">
      <c r="A863" s="55"/>
      <c r="E863" s="235"/>
      <c r="H863" s="246"/>
      <c r="I863" s="269"/>
      <c r="J863" s="269"/>
    </row>
    <row r="864" spans="1:10" x14ac:dyDescent="0.3">
      <c r="A864" s="55"/>
      <c r="E864" s="235"/>
      <c r="H864" s="246"/>
      <c r="I864" s="269"/>
      <c r="J864" s="269"/>
    </row>
    <row r="865" spans="1:10" x14ac:dyDescent="0.3">
      <c r="A865" s="55"/>
      <c r="E865" s="235"/>
      <c r="H865" s="246"/>
      <c r="I865" s="269"/>
      <c r="J865" s="269"/>
    </row>
    <row r="866" spans="1:10" x14ac:dyDescent="0.3">
      <c r="A866" s="55"/>
      <c r="E866" s="235"/>
      <c r="H866" s="246"/>
      <c r="I866" s="269"/>
      <c r="J866" s="269"/>
    </row>
    <row r="867" spans="1:10" x14ac:dyDescent="0.3">
      <c r="A867" s="55"/>
      <c r="E867" s="235"/>
      <c r="H867" s="246"/>
      <c r="I867" s="269"/>
      <c r="J867" s="269"/>
    </row>
    <row r="868" spans="1:10" x14ac:dyDescent="0.3">
      <c r="A868" s="55"/>
      <c r="E868" s="235"/>
      <c r="H868" s="246"/>
      <c r="I868" s="269"/>
      <c r="J868" s="269"/>
    </row>
    <row r="869" spans="1:10" x14ac:dyDescent="0.3">
      <c r="A869" s="55"/>
      <c r="E869" s="235"/>
      <c r="H869" s="246"/>
      <c r="I869" s="269"/>
      <c r="J869" s="269"/>
    </row>
    <row r="870" spans="1:10" x14ac:dyDescent="0.3">
      <c r="A870" s="55"/>
      <c r="E870" s="235"/>
      <c r="H870" s="246"/>
      <c r="I870" s="269"/>
      <c r="J870" s="269"/>
    </row>
    <row r="871" spans="1:10" x14ac:dyDescent="0.3">
      <c r="A871" s="55"/>
      <c r="E871" s="235"/>
      <c r="H871" s="246"/>
      <c r="I871" s="269"/>
      <c r="J871" s="269"/>
    </row>
    <row r="872" spans="1:10" x14ac:dyDescent="0.3">
      <c r="A872" s="55"/>
      <c r="E872" s="235"/>
      <c r="H872" s="246"/>
      <c r="I872" s="269"/>
      <c r="J872" s="269"/>
    </row>
    <row r="873" spans="1:10" x14ac:dyDescent="0.3">
      <c r="A873" s="55"/>
      <c r="E873" s="235"/>
      <c r="H873" s="246"/>
      <c r="I873" s="269"/>
      <c r="J873" s="269"/>
    </row>
    <row r="874" spans="1:10" x14ac:dyDescent="0.3">
      <c r="A874" s="55"/>
      <c r="E874" s="235"/>
      <c r="H874" s="246"/>
      <c r="I874" s="269"/>
      <c r="J874" s="269"/>
    </row>
    <row r="875" spans="1:10" x14ac:dyDescent="0.3">
      <c r="A875" s="55"/>
      <c r="E875" s="235"/>
      <c r="H875" s="246"/>
      <c r="I875" s="269"/>
      <c r="J875" s="269"/>
    </row>
    <row r="876" spans="1:10" x14ac:dyDescent="0.3">
      <c r="A876" s="55"/>
      <c r="E876" s="235"/>
      <c r="H876" s="246"/>
      <c r="I876" s="269"/>
      <c r="J876" s="269"/>
    </row>
    <row r="877" spans="1:10" x14ac:dyDescent="0.3">
      <c r="A877" s="55"/>
      <c r="E877" s="235"/>
      <c r="H877" s="246"/>
      <c r="I877" s="269"/>
      <c r="J877" s="269"/>
    </row>
    <row r="878" spans="1:10" x14ac:dyDescent="0.3">
      <c r="A878" s="55"/>
      <c r="E878" s="235"/>
      <c r="H878" s="246"/>
      <c r="I878" s="269"/>
      <c r="J878" s="269"/>
    </row>
    <row r="879" spans="1:10" x14ac:dyDescent="0.3">
      <c r="A879" s="55"/>
      <c r="E879" s="235"/>
      <c r="H879" s="246"/>
      <c r="I879" s="269"/>
      <c r="J879" s="269"/>
    </row>
    <row r="880" spans="1:10" x14ac:dyDescent="0.3">
      <c r="A880" s="55"/>
      <c r="E880" s="235"/>
      <c r="H880" s="246"/>
      <c r="I880" s="269"/>
      <c r="J880" s="269"/>
    </row>
    <row r="881" spans="1:10" x14ac:dyDescent="0.3">
      <c r="A881" s="55"/>
      <c r="E881" s="235"/>
      <c r="H881" s="246"/>
      <c r="I881" s="269"/>
      <c r="J881" s="269"/>
    </row>
    <row r="882" spans="1:10" x14ac:dyDescent="0.3">
      <c r="A882" s="55"/>
      <c r="E882" s="235"/>
      <c r="H882" s="246"/>
      <c r="I882" s="269"/>
      <c r="J882" s="269"/>
    </row>
    <row r="883" spans="1:10" x14ac:dyDescent="0.3">
      <c r="A883" s="55"/>
      <c r="E883" s="235"/>
      <c r="H883" s="246"/>
      <c r="I883" s="269"/>
      <c r="J883" s="269"/>
    </row>
    <row r="884" spans="1:10" x14ac:dyDescent="0.3">
      <c r="A884" s="55"/>
      <c r="E884" s="235"/>
      <c r="H884" s="246"/>
      <c r="I884" s="269"/>
      <c r="J884" s="269"/>
    </row>
    <row r="885" spans="1:10" x14ac:dyDescent="0.3">
      <c r="A885" s="55"/>
      <c r="E885" s="235"/>
      <c r="H885" s="246"/>
      <c r="I885" s="269"/>
      <c r="J885" s="269"/>
    </row>
    <row r="886" spans="1:10" x14ac:dyDescent="0.3">
      <c r="A886" s="55"/>
      <c r="E886" s="235"/>
      <c r="H886" s="246"/>
      <c r="I886" s="269"/>
      <c r="J886" s="269"/>
    </row>
    <row r="887" spans="1:10" x14ac:dyDescent="0.3">
      <c r="A887" s="55"/>
      <c r="E887" s="235"/>
      <c r="H887" s="246"/>
      <c r="I887" s="269"/>
      <c r="J887" s="269"/>
    </row>
    <row r="888" spans="1:10" x14ac:dyDescent="0.3">
      <c r="A888" s="55"/>
      <c r="E888" s="235"/>
      <c r="H888" s="246"/>
      <c r="I888" s="269"/>
      <c r="J888" s="269"/>
    </row>
    <row r="889" spans="1:10" x14ac:dyDescent="0.3">
      <c r="A889" s="55"/>
      <c r="E889" s="235"/>
      <c r="H889" s="246"/>
      <c r="I889" s="269"/>
      <c r="J889" s="269"/>
    </row>
    <row r="890" spans="1:10" x14ac:dyDescent="0.3">
      <c r="A890" s="55"/>
      <c r="E890" s="235"/>
      <c r="H890" s="246"/>
      <c r="I890" s="269"/>
      <c r="J890" s="269"/>
    </row>
    <row r="891" spans="1:10" x14ac:dyDescent="0.3">
      <c r="A891" s="55"/>
      <c r="E891" s="235"/>
      <c r="H891" s="246"/>
      <c r="I891" s="269"/>
      <c r="J891" s="269"/>
    </row>
    <row r="892" spans="1:10" x14ac:dyDescent="0.3">
      <c r="A892" s="55"/>
      <c r="E892" s="235"/>
      <c r="H892" s="246"/>
      <c r="I892" s="269"/>
      <c r="J892" s="269"/>
    </row>
    <row r="893" spans="1:10" x14ac:dyDescent="0.3">
      <c r="A893" s="55"/>
      <c r="E893" s="235"/>
      <c r="H893" s="246"/>
      <c r="I893" s="269"/>
      <c r="J893" s="269"/>
    </row>
    <row r="894" spans="1:10" x14ac:dyDescent="0.3">
      <c r="A894" s="55"/>
      <c r="E894" s="235"/>
      <c r="H894" s="246"/>
      <c r="I894" s="269"/>
      <c r="J894" s="269"/>
    </row>
    <row r="895" spans="1:10" x14ac:dyDescent="0.3">
      <c r="A895" s="55"/>
      <c r="E895" s="235"/>
      <c r="H895" s="246"/>
      <c r="I895" s="269"/>
      <c r="J895" s="269"/>
    </row>
    <row r="896" spans="1:10" x14ac:dyDescent="0.3">
      <c r="A896" s="55"/>
      <c r="E896" s="235"/>
      <c r="H896" s="246"/>
      <c r="I896" s="269"/>
      <c r="J896" s="269"/>
    </row>
    <row r="897" spans="1:10" x14ac:dyDescent="0.3">
      <c r="A897" s="55"/>
      <c r="E897" s="235"/>
      <c r="H897" s="246"/>
      <c r="I897" s="269"/>
      <c r="J897" s="269"/>
    </row>
    <row r="898" spans="1:10" x14ac:dyDescent="0.3">
      <c r="A898" s="55"/>
      <c r="E898" s="235"/>
      <c r="H898" s="246"/>
      <c r="I898" s="269"/>
      <c r="J898" s="269"/>
    </row>
    <row r="899" spans="1:10" x14ac:dyDescent="0.3">
      <c r="A899" s="55"/>
      <c r="E899" s="235"/>
      <c r="H899" s="246"/>
      <c r="I899" s="269"/>
      <c r="J899" s="269"/>
    </row>
    <row r="900" spans="1:10" x14ac:dyDescent="0.3">
      <c r="A900" s="55"/>
      <c r="E900" s="235"/>
      <c r="H900" s="246"/>
      <c r="I900" s="269"/>
      <c r="J900" s="269"/>
    </row>
    <row r="901" spans="1:10" x14ac:dyDescent="0.3">
      <c r="A901" s="55"/>
      <c r="E901" s="235"/>
      <c r="H901" s="246"/>
      <c r="I901" s="269"/>
      <c r="J901" s="269"/>
    </row>
    <row r="902" spans="1:10" x14ac:dyDescent="0.3">
      <c r="A902" s="55"/>
      <c r="E902" s="235"/>
      <c r="H902" s="246"/>
      <c r="I902" s="269"/>
      <c r="J902" s="269"/>
    </row>
    <row r="903" spans="1:10" x14ac:dyDescent="0.3">
      <c r="A903" s="55"/>
      <c r="E903" s="235"/>
      <c r="H903" s="246"/>
      <c r="I903" s="269"/>
      <c r="J903" s="269"/>
    </row>
    <row r="904" spans="1:10" x14ac:dyDescent="0.3">
      <c r="A904" s="55"/>
      <c r="E904" s="235"/>
      <c r="H904" s="246"/>
      <c r="I904" s="269"/>
      <c r="J904" s="269"/>
    </row>
    <row r="905" spans="1:10" x14ac:dyDescent="0.3">
      <c r="A905" s="55"/>
      <c r="E905" s="235"/>
      <c r="H905" s="246"/>
      <c r="I905" s="269"/>
      <c r="J905" s="269"/>
    </row>
    <row r="906" spans="1:10" x14ac:dyDescent="0.3">
      <c r="A906" s="55"/>
      <c r="E906" s="235"/>
      <c r="H906" s="246"/>
      <c r="I906" s="269"/>
      <c r="J906" s="269"/>
    </row>
    <row r="907" spans="1:10" x14ac:dyDescent="0.3">
      <c r="A907" s="55"/>
      <c r="E907" s="235"/>
      <c r="H907" s="246"/>
      <c r="I907" s="269"/>
      <c r="J907" s="269"/>
    </row>
    <row r="908" spans="1:10" x14ac:dyDescent="0.3">
      <c r="A908" s="55"/>
      <c r="E908" s="235"/>
      <c r="H908" s="246"/>
      <c r="I908" s="269"/>
      <c r="J908" s="269"/>
    </row>
    <row r="909" spans="1:10" x14ac:dyDescent="0.3">
      <c r="A909" s="55"/>
      <c r="E909" s="235"/>
      <c r="H909" s="246"/>
      <c r="I909" s="269"/>
      <c r="J909" s="269"/>
    </row>
    <row r="910" spans="1:10" x14ac:dyDescent="0.3">
      <c r="A910" s="55"/>
      <c r="E910" s="235"/>
      <c r="H910" s="246"/>
      <c r="I910" s="269"/>
      <c r="J910" s="269"/>
    </row>
    <row r="911" spans="1:10" x14ac:dyDescent="0.3">
      <c r="A911" s="55"/>
      <c r="E911" s="235"/>
      <c r="H911" s="246"/>
      <c r="I911" s="269"/>
      <c r="J911" s="269"/>
    </row>
    <row r="912" spans="1:10" x14ac:dyDescent="0.3">
      <c r="A912" s="55"/>
      <c r="E912" s="235"/>
      <c r="H912" s="246"/>
      <c r="I912" s="269"/>
      <c r="J912" s="269"/>
    </row>
    <row r="913" spans="1:10" x14ac:dyDescent="0.3">
      <c r="A913" s="55"/>
      <c r="E913" s="235"/>
      <c r="H913" s="246"/>
      <c r="I913" s="269"/>
      <c r="J913" s="269"/>
    </row>
    <row r="914" spans="1:10" x14ac:dyDescent="0.3">
      <c r="A914" s="55"/>
      <c r="E914" s="235"/>
      <c r="H914" s="246"/>
      <c r="I914" s="269"/>
      <c r="J914" s="269"/>
    </row>
    <row r="915" spans="1:10" x14ac:dyDescent="0.3">
      <c r="A915" s="55"/>
      <c r="E915" s="235"/>
      <c r="H915" s="246"/>
      <c r="I915" s="269"/>
      <c r="J915" s="269"/>
    </row>
    <row r="916" spans="1:10" x14ac:dyDescent="0.3">
      <c r="A916" s="55"/>
      <c r="E916" s="235"/>
      <c r="H916" s="246"/>
      <c r="I916" s="269"/>
      <c r="J916" s="269"/>
    </row>
    <row r="917" spans="1:10" x14ac:dyDescent="0.3">
      <c r="A917" s="55"/>
      <c r="E917" s="235"/>
      <c r="H917" s="246"/>
      <c r="I917" s="269"/>
      <c r="J917" s="269"/>
    </row>
    <row r="918" spans="1:10" x14ac:dyDescent="0.3">
      <c r="A918" s="55"/>
      <c r="E918" s="235"/>
      <c r="H918" s="246"/>
      <c r="I918" s="269"/>
      <c r="J918" s="269"/>
    </row>
    <row r="919" spans="1:10" x14ac:dyDescent="0.3">
      <c r="A919" s="55"/>
      <c r="E919" s="235"/>
      <c r="H919" s="246"/>
      <c r="I919" s="269"/>
      <c r="J919" s="269"/>
    </row>
    <row r="920" spans="1:10" x14ac:dyDescent="0.3">
      <c r="A920" s="55"/>
      <c r="E920" s="235"/>
      <c r="H920" s="246"/>
      <c r="I920" s="269"/>
      <c r="J920" s="269"/>
    </row>
    <row r="921" spans="1:10" x14ac:dyDescent="0.3">
      <c r="A921" s="55"/>
      <c r="E921" s="235"/>
      <c r="H921" s="246"/>
      <c r="I921" s="269"/>
      <c r="J921" s="269"/>
    </row>
    <row r="922" spans="1:10" x14ac:dyDescent="0.3">
      <c r="A922" s="55"/>
      <c r="E922" s="235"/>
      <c r="H922" s="246"/>
      <c r="I922" s="269"/>
      <c r="J922" s="269"/>
    </row>
    <row r="923" spans="1:10" x14ac:dyDescent="0.3">
      <c r="A923" s="55"/>
      <c r="E923" s="235"/>
      <c r="H923" s="246"/>
      <c r="I923" s="269"/>
      <c r="J923" s="269"/>
    </row>
    <row r="924" spans="1:10" x14ac:dyDescent="0.3">
      <c r="A924" s="55"/>
      <c r="E924" s="235"/>
      <c r="H924" s="246"/>
      <c r="I924" s="269"/>
      <c r="J924" s="269"/>
    </row>
    <row r="925" spans="1:10" x14ac:dyDescent="0.3">
      <c r="A925" s="55"/>
      <c r="E925" s="235"/>
      <c r="H925" s="246"/>
      <c r="I925" s="269"/>
      <c r="J925" s="269"/>
    </row>
    <row r="926" spans="1:10" x14ac:dyDescent="0.3">
      <c r="A926" s="55"/>
      <c r="E926" s="235"/>
      <c r="H926" s="246"/>
      <c r="I926" s="269"/>
      <c r="J926" s="269"/>
    </row>
    <row r="927" spans="1:10" x14ac:dyDescent="0.3">
      <c r="A927" s="55"/>
      <c r="E927" s="235"/>
      <c r="H927" s="246"/>
      <c r="I927" s="269"/>
      <c r="J927" s="269"/>
    </row>
    <row r="928" spans="1:10" x14ac:dyDescent="0.3">
      <c r="A928" s="55"/>
      <c r="E928" s="235"/>
      <c r="H928" s="246"/>
      <c r="I928" s="269"/>
      <c r="J928" s="269"/>
    </row>
    <row r="929" spans="1:10" x14ac:dyDescent="0.3">
      <c r="A929" s="55"/>
      <c r="E929" s="235"/>
      <c r="H929" s="246"/>
      <c r="I929" s="269"/>
      <c r="J929" s="269"/>
    </row>
    <row r="930" spans="1:10" x14ac:dyDescent="0.3">
      <c r="A930" s="55"/>
      <c r="E930" s="235"/>
      <c r="H930" s="246"/>
      <c r="I930" s="269"/>
      <c r="J930" s="269"/>
    </row>
    <row r="931" spans="1:10" x14ac:dyDescent="0.3">
      <c r="A931" s="55"/>
      <c r="E931" s="235"/>
      <c r="H931" s="246"/>
      <c r="I931" s="269"/>
      <c r="J931" s="269"/>
    </row>
    <row r="932" spans="1:10" x14ac:dyDescent="0.3">
      <c r="A932" s="55"/>
      <c r="E932" s="235"/>
      <c r="H932" s="246"/>
      <c r="I932" s="269"/>
      <c r="J932" s="269"/>
    </row>
    <row r="933" spans="1:10" x14ac:dyDescent="0.3">
      <c r="A933" s="55"/>
      <c r="E933" s="235"/>
      <c r="H933" s="246"/>
      <c r="I933" s="269"/>
      <c r="J933" s="269"/>
    </row>
    <row r="934" spans="1:10" x14ac:dyDescent="0.3">
      <c r="A934" s="55"/>
      <c r="E934" s="235"/>
      <c r="H934" s="246"/>
      <c r="I934" s="269"/>
      <c r="J934" s="269"/>
    </row>
    <row r="935" spans="1:10" x14ac:dyDescent="0.3">
      <c r="A935" s="55"/>
      <c r="E935" s="235"/>
      <c r="H935" s="246"/>
      <c r="I935" s="269"/>
      <c r="J935" s="269"/>
    </row>
    <row r="936" spans="1:10" x14ac:dyDescent="0.3">
      <c r="A936" s="55"/>
      <c r="E936" s="235"/>
      <c r="H936" s="246"/>
      <c r="I936" s="269"/>
      <c r="J936" s="269"/>
    </row>
    <row r="937" spans="1:10" x14ac:dyDescent="0.3">
      <c r="A937" s="55"/>
      <c r="E937" s="235"/>
      <c r="H937" s="246"/>
      <c r="I937" s="269"/>
      <c r="J937" s="269"/>
    </row>
    <row r="938" spans="1:10" x14ac:dyDescent="0.3">
      <c r="A938" s="55"/>
      <c r="E938" s="235"/>
      <c r="H938" s="246"/>
      <c r="I938" s="269"/>
      <c r="J938" s="269"/>
    </row>
    <row r="939" spans="1:10" x14ac:dyDescent="0.3">
      <c r="A939" s="55"/>
      <c r="E939" s="235"/>
      <c r="H939" s="246"/>
      <c r="I939" s="269"/>
      <c r="J939" s="269"/>
    </row>
    <row r="940" spans="1:10" x14ac:dyDescent="0.3">
      <c r="A940" s="55"/>
      <c r="E940" s="235"/>
      <c r="H940" s="246"/>
      <c r="I940" s="269"/>
      <c r="J940" s="269"/>
    </row>
    <row r="941" spans="1:10" x14ac:dyDescent="0.3">
      <c r="A941" s="55"/>
      <c r="E941" s="235"/>
      <c r="H941" s="246"/>
      <c r="I941" s="269"/>
      <c r="J941" s="269"/>
    </row>
    <row r="942" spans="1:10" x14ac:dyDescent="0.3">
      <c r="A942" s="55"/>
      <c r="E942" s="235"/>
      <c r="H942" s="246"/>
      <c r="I942" s="269"/>
      <c r="J942" s="269"/>
    </row>
    <row r="943" spans="1:10" x14ac:dyDescent="0.3">
      <c r="A943" s="55"/>
      <c r="E943" s="235"/>
      <c r="H943" s="246"/>
      <c r="I943" s="269"/>
      <c r="J943" s="269"/>
    </row>
    <row r="944" spans="1:10" x14ac:dyDescent="0.3">
      <c r="A944" s="55"/>
      <c r="E944" s="235"/>
      <c r="H944" s="246"/>
      <c r="I944" s="269"/>
      <c r="J944" s="269"/>
    </row>
    <row r="945" spans="1:10" x14ac:dyDescent="0.3">
      <c r="A945" s="55"/>
      <c r="E945" s="235"/>
      <c r="H945" s="246"/>
      <c r="I945" s="269"/>
      <c r="J945" s="269"/>
    </row>
    <row r="946" spans="1:10" x14ac:dyDescent="0.3">
      <c r="A946" s="55"/>
      <c r="E946" s="235"/>
      <c r="H946" s="246"/>
      <c r="I946" s="269"/>
      <c r="J946" s="269"/>
    </row>
    <row r="947" spans="1:10" x14ac:dyDescent="0.3">
      <c r="A947" s="55"/>
      <c r="E947" s="235"/>
      <c r="H947" s="246"/>
      <c r="I947" s="269"/>
      <c r="J947" s="269"/>
    </row>
    <row r="948" spans="1:10" x14ac:dyDescent="0.3">
      <c r="A948" s="55"/>
      <c r="E948" s="235"/>
      <c r="H948" s="246"/>
      <c r="I948" s="269"/>
      <c r="J948" s="269"/>
    </row>
    <row r="949" spans="1:10" x14ac:dyDescent="0.3">
      <c r="A949" s="55"/>
      <c r="E949" s="235"/>
      <c r="H949" s="246"/>
      <c r="I949" s="269"/>
      <c r="J949" s="269"/>
    </row>
    <row r="950" spans="1:10" x14ac:dyDescent="0.3">
      <c r="A950" s="55"/>
      <c r="E950" s="235"/>
      <c r="H950" s="246"/>
      <c r="I950" s="269"/>
      <c r="J950" s="269"/>
    </row>
    <row r="951" spans="1:10" x14ac:dyDescent="0.3">
      <c r="A951" s="55"/>
      <c r="E951" s="235"/>
      <c r="H951" s="246"/>
      <c r="I951" s="269"/>
      <c r="J951" s="269"/>
    </row>
    <row r="952" spans="1:10" x14ac:dyDescent="0.3">
      <c r="A952" s="55"/>
      <c r="E952" s="235"/>
      <c r="H952" s="246"/>
      <c r="I952" s="269"/>
      <c r="J952" s="269"/>
    </row>
    <row r="953" spans="1:10" x14ac:dyDescent="0.3">
      <c r="A953" s="55"/>
      <c r="E953" s="235"/>
      <c r="H953" s="246"/>
      <c r="I953" s="269"/>
      <c r="J953" s="269"/>
    </row>
    <row r="954" spans="1:10" x14ac:dyDescent="0.3">
      <c r="A954" s="55"/>
      <c r="E954" s="235"/>
      <c r="H954" s="246"/>
      <c r="I954" s="269"/>
      <c r="J954" s="269"/>
    </row>
    <row r="955" spans="1:10" x14ac:dyDescent="0.3">
      <c r="A955" s="55"/>
      <c r="E955" s="235"/>
      <c r="H955" s="246"/>
      <c r="I955" s="269"/>
      <c r="J955" s="269"/>
    </row>
    <row r="956" spans="1:10" x14ac:dyDescent="0.3">
      <c r="A956" s="55"/>
      <c r="E956" s="235"/>
      <c r="H956" s="246"/>
      <c r="I956" s="269"/>
      <c r="J956" s="269"/>
    </row>
    <row r="957" spans="1:10" x14ac:dyDescent="0.3">
      <c r="A957" s="55"/>
      <c r="E957" s="235"/>
      <c r="H957" s="246"/>
      <c r="I957" s="269"/>
      <c r="J957" s="269"/>
    </row>
    <row r="958" spans="1:10" x14ac:dyDescent="0.3">
      <c r="A958" s="55"/>
      <c r="E958" s="235"/>
      <c r="H958" s="246"/>
      <c r="I958" s="269"/>
      <c r="J958" s="269"/>
    </row>
    <row r="959" spans="1:10" x14ac:dyDescent="0.3">
      <c r="A959" s="55"/>
      <c r="E959" s="235"/>
      <c r="H959" s="246"/>
      <c r="I959" s="269"/>
      <c r="J959" s="269"/>
    </row>
    <row r="960" spans="1:10" x14ac:dyDescent="0.3">
      <c r="A960" s="55"/>
      <c r="E960" s="235"/>
      <c r="H960" s="246"/>
      <c r="I960" s="269"/>
      <c r="J960" s="269"/>
    </row>
    <row r="961" spans="1:10" x14ac:dyDescent="0.3">
      <c r="A961" s="55"/>
      <c r="E961" s="235"/>
      <c r="H961" s="246"/>
      <c r="I961" s="269"/>
      <c r="J961" s="269"/>
    </row>
    <row r="962" spans="1:10" x14ac:dyDescent="0.3">
      <c r="A962" s="55"/>
      <c r="E962" s="235"/>
      <c r="H962" s="246"/>
      <c r="I962" s="269"/>
      <c r="J962" s="269"/>
    </row>
    <row r="963" spans="1:10" x14ac:dyDescent="0.3">
      <c r="A963" s="55"/>
      <c r="E963" s="235"/>
      <c r="H963" s="246"/>
      <c r="I963" s="269"/>
      <c r="J963" s="269"/>
    </row>
    <row r="964" spans="1:10" x14ac:dyDescent="0.3">
      <c r="A964" s="55"/>
      <c r="E964" s="235"/>
      <c r="H964" s="246"/>
      <c r="I964" s="269"/>
      <c r="J964" s="269"/>
    </row>
    <row r="965" spans="1:10" x14ac:dyDescent="0.3">
      <c r="A965" s="55"/>
      <c r="E965" s="235"/>
      <c r="H965" s="246"/>
      <c r="I965" s="269"/>
      <c r="J965" s="269"/>
    </row>
    <row r="966" spans="1:10" x14ac:dyDescent="0.3">
      <c r="A966" s="55"/>
      <c r="E966" s="235"/>
      <c r="H966" s="246"/>
      <c r="I966" s="269"/>
      <c r="J966" s="269"/>
    </row>
    <row r="967" spans="1:10" x14ac:dyDescent="0.3">
      <c r="A967" s="55"/>
      <c r="E967" s="235"/>
      <c r="H967" s="246"/>
      <c r="I967" s="269"/>
      <c r="J967" s="269"/>
    </row>
    <row r="968" spans="1:10" x14ac:dyDescent="0.3">
      <c r="A968" s="55"/>
      <c r="E968" s="235"/>
      <c r="H968" s="246"/>
      <c r="I968" s="269"/>
      <c r="J968" s="269"/>
    </row>
    <row r="969" spans="1:10" x14ac:dyDescent="0.3">
      <c r="A969" s="55"/>
      <c r="E969" s="235"/>
      <c r="H969" s="246"/>
      <c r="I969" s="269"/>
      <c r="J969" s="269"/>
    </row>
    <row r="970" spans="1:10" x14ac:dyDescent="0.3">
      <c r="A970" s="55"/>
      <c r="E970" s="235"/>
      <c r="I970" s="235"/>
      <c r="J970" s="235"/>
    </row>
    <row r="971" spans="1:10" x14ac:dyDescent="0.3">
      <c r="A971" s="55"/>
      <c r="E971" s="235"/>
      <c r="I971" s="235"/>
      <c r="J971" s="235"/>
    </row>
    <row r="972" spans="1:10" x14ac:dyDescent="0.3">
      <c r="A972" s="55"/>
      <c r="E972" s="235"/>
      <c r="I972" s="235"/>
      <c r="J972" s="235"/>
    </row>
    <row r="973" spans="1:10" x14ac:dyDescent="0.3">
      <c r="A973" s="55"/>
      <c r="E973" s="235"/>
      <c r="I973" s="235"/>
      <c r="J973" s="235"/>
    </row>
    <row r="974" spans="1:10" x14ac:dyDescent="0.3">
      <c r="A974" s="55"/>
      <c r="E974" s="235"/>
      <c r="I974" s="235"/>
      <c r="J974" s="235"/>
    </row>
    <row r="975" spans="1:10" x14ac:dyDescent="0.3">
      <c r="A975" s="55"/>
      <c r="E975" s="235"/>
      <c r="I975" s="235"/>
      <c r="J975" s="235"/>
    </row>
    <row r="976" spans="1:10" x14ac:dyDescent="0.3">
      <c r="A976" s="55"/>
      <c r="E976" s="235"/>
      <c r="I976" s="235"/>
      <c r="J976" s="235"/>
    </row>
    <row r="977" spans="1:10" x14ac:dyDescent="0.3">
      <c r="A977" s="55"/>
      <c r="E977" s="235"/>
      <c r="I977" s="235"/>
      <c r="J977" s="235"/>
    </row>
    <row r="978" spans="1:10" x14ac:dyDescent="0.3">
      <c r="A978" s="55"/>
      <c r="E978" s="235"/>
      <c r="I978" s="235"/>
      <c r="J978" s="235"/>
    </row>
    <row r="979" spans="1:10" x14ac:dyDescent="0.3">
      <c r="A979" s="55"/>
      <c r="E979" s="235"/>
      <c r="I979" s="235"/>
      <c r="J979" s="235"/>
    </row>
    <row r="980" spans="1:10" x14ac:dyDescent="0.3">
      <c r="A980" s="55"/>
      <c r="E980" s="235"/>
      <c r="I980" s="235"/>
      <c r="J980" s="235"/>
    </row>
    <row r="981" spans="1:10" x14ac:dyDescent="0.3">
      <c r="A981" s="55"/>
      <c r="E981" s="235"/>
      <c r="I981" s="235"/>
      <c r="J981" s="235"/>
    </row>
    <row r="982" spans="1:10" x14ac:dyDescent="0.3">
      <c r="A982" s="55"/>
      <c r="E982" s="235"/>
      <c r="I982" s="235"/>
      <c r="J982" s="235"/>
    </row>
    <row r="983" spans="1:10" x14ac:dyDescent="0.3">
      <c r="A983" s="55"/>
      <c r="E983" s="235"/>
      <c r="I983" s="235"/>
      <c r="J983" s="235"/>
    </row>
    <row r="984" spans="1:10" x14ac:dyDescent="0.3">
      <c r="A984" s="55"/>
      <c r="E984" s="235"/>
      <c r="I984" s="235"/>
      <c r="J984" s="235"/>
    </row>
    <row r="985" spans="1:10" x14ac:dyDescent="0.3">
      <c r="A985" s="55"/>
      <c r="E985" s="235"/>
      <c r="I985" s="235"/>
      <c r="J985" s="235"/>
    </row>
    <row r="986" spans="1:10" x14ac:dyDescent="0.3">
      <c r="A986" s="55"/>
      <c r="E986" s="235"/>
      <c r="I986" s="235"/>
      <c r="J986" s="235"/>
    </row>
    <row r="987" spans="1:10" x14ac:dyDescent="0.3">
      <c r="A987" s="55"/>
      <c r="E987" s="235"/>
      <c r="I987" s="235"/>
      <c r="J987" s="235"/>
    </row>
    <row r="988" spans="1:10" x14ac:dyDescent="0.3">
      <c r="A988" s="55"/>
      <c r="E988" s="235"/>
      <c r="I988" s="235"/>
      <c r="J988" s="235"/>
    </row>
    <row r="989" spans="1:10" x14ac:dyDescent="0.3">
      <c r="A989" s="55"/>
      <c r="E989" s="235"/>
      <c r="I989" s="235"/>
      <c r="J989" s="235"/>
    </row>
    <row r="990" spans="1:10" x14ac:dyDescent="0.3">
      <c r="A990" s="55"/>
      <c r="E990" s="235"/>
      <c r="I990" s="235"/>
      <c r="J990" s="235"/>
    </row>
    <row r="991" spans="1:10" x14ac:dyDescent="0.3">
      <c r="A991" s="55"/>
      <c r="E991" s="235"/>
      <c r="I991" s="235"/>
      <c r="J991" s="235"/>
    </row>
    <row r="992" spans="1:10" x14ac:dyDescent="0.3">
      <c r="A992" s="55"/>
      <c r="E992" s="235"/>
      <c r="I992" s="235"/>
      <c r="J992" s="235"/>
    </row>
    <row r="993" spans="1:10" x14ac:dyDescent="0.3">
      <c r="A993" s="55"/>
      <c r="E993" s="235"/>
      <c r="I993" s="235"/>
      <c r="J993" s="235"/>
    </row>
    <row r="994" spans="1:10" x14ac:dyDescent="0.3">
      <c r="A994" s="55"/>
      <c r="E994" s="235"/>
      <c r="I994" s="235"/>
      <c r="J994" s="235"/>
    </row>
    <row r="995" spans="1:10" x14ac:dyDescent="0.3">
      <c r="A995" s="55"/>
      <c r="E995" s="235"/>
      <c r="I995" s="235"/>
      <c r="J995" s="235"/>
    </row>
    <row r="996" spans="1:10" x14ac:dyDescent="0.3">
      <c r="A996" s="55"/>
      <c r="E996" s="235"/>
      <c r="I996" s="235"/>
      <c r="J996" s="235"/>
    </row>
    <row r="997" spans="1:10" x14ac:dyDescent="0.3">
      <c r="A997" s="55"/>
      <c r="E997" s="235"/>
      <c r="I997" s="235"/>
      <c r="J997" s="235"/>
    </row>
    <row r="998" spans="1:10" x14ac:dyDescent="0.3">
      <c r="A998" s="55"/>
      <c r="E998" s="235"/>
      <c r="I998" s="235"/>
      <c r="J998" s="235"/>
    </row>
    <row r="999" spans="1:10" x14ac:dyDescent="0.3">
      <c r="A999" s="55"/>
      <c r="E999" s="235"/>
      <c r="I999" s="235"/>
      <c r="J999" s="235"/>
    </row>
    <row r="1000" spans="1:10" x14ac:dyDescent="0.3">
      <c r="A1000" s="55"/>
      <c r="E1000" s="235"/>
      <c r="I1000" s="235"/>
      <c r="J1000" s="235"/>
    </row>
    <row r="1001" spans="1:10" x14ac:dyDescent="0.3">
      <c r="A1001" s="55"/>
      <c r="E1001" s="235"/>
      <c r="I1001" s="235"/>
      <c r="J1001" s="235"/>
    </row>
    <row r="1002" spans="1:10" x14ac:dyDescent="0.3">
      <c r="A1002" s="55"/>
      <c r="E1002" s="235"/>
      <c r="I1002" s="235"/>
      <c r="J1002" s="235"/>
    </row>
    <row r="1003" spans="1:10" x14ac:dyDescent="0.3">
      <c r="A1003" s="55"/>
      <c r="E1003" s="235"/>
      <c r="I1003" s="235"/>
      <c r="J1003" s="235"/>
    </row>
    <row r="1004" spans="1:10" x14ac:dyDescent="0.3">
      <c r="A1004" s="55"/>
      <c r="E1004" s="235"/>
      <c r="I1004" s="235"/>
      <c r="J1004" s="235"/>
    </row>
    <row r="1005" spans="1:10" x14ac:dyDescent="0.3">
      <c r="A1005" s="55"/>
      <c r="E1005" s="235"/>
      <c r="I1005" s="235"/>
      <c r="J1005" s="235"/>
    </row>
    <row r="1006" spans="1:10" x14ac:dyDescent="0.3">
      <c r="A1006" s="55"/>
      <c r="E1006" s="235"/>
      <c r="I1006" s="235"/>
      <c r="J1006" s="235"/>
    </row>
    <row r="1007" spans="1:10" x14ac:dyDescent="0.3">
      <c r="A1007" s="55"/>
      <c r="E1007" s="235"/>
      <c r="I1007" s="235"/>
      <c r="J1007" s="235"/>
    </row>
    <row r="1008" spans="1:10" x14ac:dyDescent="0.3">
      <c r="A1008" s="55"/>
      <c r="E1008" s="235"/>
      <c r="I1008" s="235"/>
      <c r="J1008" s="235"/>
    </row>
    <row r="1009" spans="1:10" x14ac:dyDescent="0.3">
      <c r="A1009" s="55"/>
      <c r="E1009" s="235"/>
      <c r="I1009" s="235"/>
      <c r="J1009" s="235"/>
    </row>
    <row r="1010" spans="1:10" x14ac:dyDescent="0.3">
      <c r="A1010" s="55"/>
      <c r="E1010" s="235"/>
      <c r="I1010" s="235"/>
      <c r="J1010" s="235"/>
    </row>
    <row r="1011" spans="1:10" x14ac:dyDescent="0.3">
      <c r="A1011" s="55"/>
      <c r="E1011" s="235"/>
      <c r="I1011" s="235"/>
      <c r="J1011" s="235"/>
    </row>
    <row r="1012" spans="1:10" x14ac:dyDescent="0.3">
      <c r="A1012" s="55"/>
      <c r="E1012" s="235"/>
      <c r="I1012" s="235"/>
      <c r="J1012" s="235"/>
    </row>
    <row r="1013" spans="1:10" x14ac:dyDescent="0.3">
      <c r="A1013" s="55"/>
      <c r="E1013" s="235"/>
      <c r="I1013" s="235"/>
      <c r="J1013" s="235"/>
    </row>
    <row r="1014" spans="1:10" x14ac:dyDescent="0.3">
      <c r="A1014" s="55"/>
      <c r="E1014" s="235"/>
      <c r="I1014" s="235"/>
      <c r="J1014" s="235"/>
    </row>
    <row r="1015" spans="1:10" x14ac:dyDescent="0.3">
      <c r="A1015" s="55"/>
      <c r="E1015" s="235"/>
      <c r="I1015" s="235"/>
      <c r="J1015" s="235"/>
    </row>
    <row r="1016" spans="1:10" x14ac:dyDescent="0.3">
      <c r="A1016" s="55"/>
      <c r="E1016" s="235"/>
      <c r="I1016" s="235"/>
      <c r="J1016" s="235"/>
    </row>
    <row r="1017" spans="1:10" x14ac:dyDescent="0.3">
      <c r="A1017" s="55"/>
      <c r="E1017" s="235"/>
      <c r="I1017" s="235"/>
      <c r="J1017" s="235"/>
    </row>
    <row r="1018" spans="1:10" x14ac:dyDescent="0.3">
      <c r="A1018" s="55"/>
      <c r="E1018" s="235"/>
      <c r="I1018" s="235"/>
      <c r="J1018" s="235"/>
    </row>
    <row r="1019" spans="1:10" x14ac:dyDescent="0.3">
      <c r="A1019" s="55"/>
      <c r="E1019" s="235"/>
      <c r="I1019" s="235"/>
      <c r="J1019" s="235"/>
    </row>
    <row r="1020" spans="1:10" x14ac:dyDescent="0.3">
      <c r="A1020" s="55"/>
      <c r="E1020" s="235"/>
      <c r="I1020" s="235"/>
      <c r="J1020" s="235"/>
    </row>
    <row r="1021" spans="1:10" x14ac:dyDescent="0.3">
      <c r="A1021" s="55"/>
      <c r="E1021" s="235"/>
      <c r="I1021" s="235"/>
      <c r="J1021" s="235"/>
    </row>
    <row r="1022" spans="1:10" x14ac:dyDescent="0.3">
      <c r="A1022" s="55"/>
      <c r="E1022" s="235"/>
      <c r="I1022" s="235"/>
      <c r="J1022" s="235"/>
    </row>
    <row r="1023" spans="1:10" x14ac:dyDescent="0.3">
      <c r="A1023" s="55"/>
      <c r="E1023" s="235"/>
      <c r="I1023" s="235"/>
      <c r="J1023" s="235"/>
    </row>
    <row r="1024" spans="1:10" x14ac:dyDescent="0.3">
      <c r="A1024" s="55"/>
      <c r="E1024" s="235"/>
      <c r="I1024" s="235"/>
      <c r="J1024" s="235"/>
    </row>
    <row r="1025" spans="1:10" x14ac:dyDescent="0.3">
      <c r="A1025" s="55"/>
      <c r="E1025" s="235"/>
      <c r="I1025" s="235"/>
      <c r="J1025" s="235"/>
    </row>
    <row r="1026" spans="1:10" x14ac:dyDescent="0.3">
      <c r="A1026" s="55"/>
      <c r="E1026" s="235"/>
      <c r="I1026" s="235"/>
      <c r="J1026" s="235"/>
    </row>
    <row r="1027" spans="1:10" x14ac:dyDescent="0.3">
      <c r="A1027" s="55"/>
      <c r="E1027" s="235"/>
      <c r="I1027" s="235"/>
      <c r="J1027" s="235"/>
    </row>
    <row r="1028" spans="1:10" x14ac:dyDescent="0.3">
      <c r="A1028" s="55"/>
      <c r="E1028" s="235"/>
      <c r="I1028" s="235"/>
      <c r="J1028" s="235"/>
    </row>
    <row r="1029" spans="1:10" x14ac:dyDescent="0.3">
      <c r="A1029" s="55"/>
      <c r="E1029" s="235"/>
      <c r="I1029" s="235"/>
      <c r="J1029" s="235"/>
    </row>
    <row r="1030" spans="1:10" x14ac:dyDescent="0.3">
      <c r="A1030" s="55"/>
      <c r="E1030" s="235"/>
      <c r="I1030" s="235"/>
      <c r="J1030" s="235"/>
    </row>
    <row r="1031" spans="1:10" x14ac:dyDescent="0.3">
      <c r="A1031" s="55"/>
      <c r="E1031" s="235"/>
      <c r="I1031" s="235"/>
      <c r="J1031" s="235"/>
    </row>
    <row r="1032" spans="1:10" x14ac:dyDescent="0.3">
      <c r="A1032" s="55"/>
      <c r="E1032" s="235"/>
      <c r="I1032" s="235"/>
      <c r="J1032" s="235"/>
    </row>
    <row r="1033" spans="1:10" x14ac:dyDescent="0.3">
      <c r="A1033" s="55"/>
      <c r="E1033" s="235"/>
      <c r="I1033" s="235"/>
      <c r="J1033" s="235"/>
    </row>
    <row r="1034" spans="1:10" x14ac:dyDescent="0.3">
      <c r="A1034" s="55"/>
      <c r="E1034" s="235"/>
      <c r="I1034" s="235"/>
      <c r="J1034" s="235"/>
    </row>
    <row r="1035" spans="1:10" x14ac:dyDescent="0.3">
      <c r="A1035" s="55"/>
      <c r="E1035" s="235"/>
      <c r="I1035" s="235"/>
      <c r="J1035" s="235"/>
    </row>
    <row r="1036" spans="1:10" x14ac:dyDescent="0.3">
      <c r="A1036" s="55"/>
      <c r="E1036" s="235"/>
      <c r="I1036" s="235"/>
      <c r="J1036" s="235"/>
    </row>
    <row r="1037" spans="1:10" x14ac:dyDescent="0.3">
      <c r="A1037" s="55"/>
      <c r="E1037" s="235"/>
      <c r="I1037" s="235"/>
      <c r="J1037" s="235"/>
    </row>
    <row r="1038" spans="1:10" x14ac:dyDescent="0.3">
      <c r="A1038" s="55"/>
      <c r="E1038" s="235"/>
      <c r="I1038" s="235"/>
      <c r="J1038" s="235"/>
    </row>
    <row r="1039" spans="1:10" x14ac:dyDescent="0.3">
      <c r="A1039" s="55"/>
      <c r="E1039" s="235"/>
      <c r="I1039" s="235"/>
      <c r="J1039" s="235"/>
    </row>
    <row r="1040" spans="1:10" x14ac:dyDescent="0.3">
      <c r="A1040" s="55"/>
      <c r="E1040" s="235"/>
      <c r="I1040" s="235"/>
      <c r="J1040" s="235"/>
    </row>
    <row r="1041" spans="1:10" x14ac:dyDescent="0.3">
      <c r="A1041" s="55"/>
      <c r="E1041" s="235"/>
      <c r="I1041" s="235"/>
      <c r="J1041" s="235"/>
    </row>
    <row r="1042" spans="1:10" x14ac:dyDescent="0.3">
      <c r="A1042" s="55"/>
      <c r="E1042" s="235"/>
      <c r="I1042" s="235"/>
      <c r="J1042" s="235"/>
    </row>
    <row r="1043" spans="1:10" x14ac:dyDescent="0.3">
      <c r="A1043" s="55"/>
      <c r="E1043" s="235"/>
      <c r="I1043" s="235"/>
      <c r="J1043" s="235"/>
    </row>
    <row r="1044" spans="1:10" x14ac:dyDescent="0.3">
      <c r="A1044" s="55"/>
      <c r="E1044" s="235"/>
      <c r="I1044" s="235"/>
      <c r="J1044" s="235"/>
    </row>
    <row r="1045" spans="1:10" x14ac:dyDescent="0.3">
      <c r="A1045" s="55"/>
      <c r="E1045" s="235"/>
      <c r="I1045" s="235"/>
      <c r="J1045" s="235"/>
    </row>
    <row r="1046" spans="1:10" x14ac:dyDescent="0.3">
      <c r="A1046" s="55"/>
      <c r="E1046" s="235"/>
      <c r="I1046" s="235"/>
      <c r="J1046" s="235"/>
    </row>
    <row r="1047" spans="1:10" x14ac:dyDescent="0.3">
      <c r="A1047" s="55"/>
      <c r="E1047" s="235"/>
      <c r="I1047" s="235"/>
      <c r="J1047" s="235"/>
    </row>
    <row r="1048" spans="1:10" x14ac:dyDescent="0.3">
      <c r="A1048" s="55"/>
      <c r="E1048" s="235"/>
      <c r="I1048" s="235"/>
      <c r="J1048" s="235"/>
    </row>
    <row r="1049" spans="1:10" x14ac:dyDescent="0.3">
      <c r="A1049" s="55"/>
      <c r="E1049" s="235"/>
      <c r="I1049" s="235"/>
      <c r="J1049" s="235"/>
    </row>
    <row r="1050" spans="1:10" x14ac:dyDescent="0.3">
      <c r="A1050" s="55"/>
      <c r="E1050" s="235"/>
      <c r="I1050" s="235"/>
      <c r="J1050" s="235"/>
    </row>
    <row r="1051" spans="1:10" x14ac:dyDescent="0.3">
      <c r="A1051" s="55"/>
      <c r="I1051" s="235"/>
      <c r="J1051" s="235"/>
    </row>
    <row r="1052" spans="1:10" x14ac:dyDescent="0.3">
      <c r="A1052" s="55"/>
      <c r="I1052" s="235"/>
      <c r="J1052" s="235"/>
    </row>
    <row r="1053" spans="1:10" x14ac:dyDescent="0.3">
      <c r="A1053" s="55"/>
      <c r="I1053" s="235"/>
      <c r="J1053" s="235"/>
    </row>
    <row r="1054" spans="1:10" x14ac:dyDescent="0.3">
      <c r="A1054" s="55"/>
      <c r="I1054" s="235"/>
      <c r="J1054" s="235"/>
    </row>
    <row r="1055" spans="1:10" x14ac:dyDescent="0.3">
      <c r="A1055" s="55"/>
      <c r="I1055" s="235"/>
      <c r="J1055" s="235"/>
    </row>
    <row r="1056" spans="1:10" x14ac:dyDescent="0.3">
      <c r="A1056" s="55"/>
      <c r="I1056" s="235"/>
      <c r="J1056" s="235"/>
    </row>
    <row r="1057" spans="1:10" x14ac:dyDescent="0.3">
      <c r="A1057" s="55"/>
      <c r="I1057" s="235"/>
      <c r="J1057" s="235"/>
    </row>
    <row r="1058" spans="1:10" x14ac:dyDescent="0.3">
      <c r="A1058" s="55"/>
      <c r="I1058" s="235"/>
      <c r="J1058" s="235"/>
    </row>
    <row r="1059" spans="1:10" x14ac:dyDescent="0.3">
      <c r="A1059" s="55"/>
      <c r="I1059" s="235"/>
      <c r="J1059" s="235"/>
    </row>
    <row r="1060" spans="1:10" x14ac:dyDescent="0.3">
      <c r="A1060" s="55"/>
      <c r="I1060" s="235"/>
      <c r="J1060" s="235"/>
    </row>
    <row r="1061" spans="1:10" x14ac:dyDescent="0.3">
      <c r="A1061" s="55"/>
      <c r="I1061" s="235"/>
      <c r="J1061" s="235"/>
    </row>
    <row r="1062" spans="1:10" x14ac:dyDescent="0.3">
      <c r="A1062" s="55"/>
      <c r="I1062" s="235"/>
      <c r="J1062" s="235"/>
    </row>
    <row r="1063" spans="1:10" x14ac:dyDescent="0.3">
      <c r="A1063" s="55"/>
      <c r="I1063" s="235"/>
      <c r="J1063" s="235"/>
    </row>
    <row r="1064" spans="1:10" x14ac:dyDescent="0.3">
      <c r="A1064" s="55"/>
      <c r="I1064" s="235"/>
      <c r="J1064" s="235"/>
    </row>
    <row r="1065" spans="1:10" x14ac:dyDescent="0.3">
      <c r="A1065" s="55"/>
      <c r="I1065" s="235"/>
      <c r="J1065" s="235"/>
    </row>
    <row r="1066" spans="1:10" x14ac:dyDescent="0.3">
      <c r="A1066" s="55"/>
      <c r="I1066" s="235"/>
      <c r="J1066" s="235"/>
    </row>
    <row r="1067" spans="1:10" x14ac:dyDescent="0.3">
      <c r="A1067" s="55"/>
      <c r="I1067" s="235"/>
      <c r="J1067" s="235"/>
    </row>
    <row r="1068" spans="1:10" x14ac:dyDescent="0.3">
      <c r="A1068" s="55"/>
      <c r="I1068" s="235"/>
      <c r="J1068" s="235"/>
    </row>
    <row r="1069" spans="1:10" x14ac:dyDescent="0.3">
      <c r="A1069" s="55"/>
      <c r="I1069" s="235"/>
      <c r="J1069" s="235"/>
    </row>
    <row r="1070" spans="1:10" x14ac:dyDescent="0.3">
      <c r="A1070" s="55"/>
      <c r="I1070" s="235"/>
      <c r="J1070" s="235"/>
    </row>
    <row r="1071" spans="1:10" x14ac:dyDescent="0.3">
      <c r="A1071" s="55"/>
      <c r="I1071" s="235"/>
      <c r="J1071" s="235"/>
    </row>
    <row r="1072" spans="1:10" x14ac:dyDescent="0.3">
      <c r="A1072" s="55"/>
      <c r="I1072" s="235"/>
      <c r="J1072" s="235"/>
    </row>
    <row r="1073" spans="1:10" x14ac:dyDescent="0.3">
      <c r="A1073" s="55"/>
      <c r="I1073" s="235"/>
      <c r="J1073" s="235"/>
    </row>
    <row r="1074" spans="1:10" x14ac:dyDescent="0.3">
      <c r="A1074" s="55"/>
      <c r="I1074" s="235"/>
      <c r="J1074" s="235"/>
    </row>
    <row r="1075" spans="1:10" x14ac:dyDescent="0.3">
      <c r="A1075" s="55"/>
      <c r="I1075" s="235"/>
      <c r="J1075" s="235"/>
    </row>
    <row r="1076" spans="1:10" x14ac:dyDescent="0.3">
      <c r="A1076" s="55"/>
      <c r="I1076" s="235"/>
      <c r="J1076" s="235"/>
    </row>
    <row r="1077" spans="1:10" x14ac:dyDescent="0.3">
      <c r="A1077" s="55"/>
      <c r="I1077" s="235"/>
      <c r="J1077" s="235"/>
    </row>
    <row r="1078" spans="1:10" x14ac:dyDescent="0.3">
      <c r="A1078" s="55"/>
      <c r="I1078" s="235"/>
      <c r="J1078" s="235"/>
    </row>
    <row r="1079" spans="1:10" x14ac:dyDescent="0.3">
      <c r="A1079" s="55"/>
      <c r="I1079" s="235"/>
      <c r="J1079" s="235"/>
    </row>
    <row r="1080" spans="1:10" x14ac:dyDescent="0.3">
      <c r="A1080" s="55"/>
      <c r="I1080" s="235"/>
      <c r="J1080" s="235"/>
    </row>
    <row r="1081" spans="1:10" x14ac:dyDescent="0.3">
      <c r="A1081" s="55"/>
      <c r="I1081" s="235"/>
      <c r="J1081" s="235"/>
    </row>
    <row r="1082" spans="1:10" x14ac:dyDescent="0.3">
      <c r="A1082" s="55"/>
      <c r="I1082" s="235"/>
      <c r="J1082" s="235"/>
    </row>
    <row r="1083" spans="1:10" x14ac:dyDescent="0.3">
      <c r="A1083" s="55"/>
      <c r="I1083" s="235"/>
      <c r="J1083" s="235"/>
    </row>
    <row r="1084" spans="1:10" x14ac:dyDescent="0.3">
      <c r="A1084" s="55"/>
      <c r="I1084" s="235"/>
      <c r="J1084" s="235"/>
    </row>
    <row r="1085" spans="1:10" x14ac:dyDescent="0.3">
      <c r="A1085" s="55"/>
      <c r="I1085" s="235"/>
      <c r="J1085" s="235"/>
    </row>
    <row r="1086" spans="1:10" x14ac:dyDescent="0.3">
      <c r="A1086" s="55"/>
      <c r="I1086" s="235"/>
      <c r="J1086" s="235"/>
    </row>
    <row r="1087" spans="1:10" x14ac:dyDescent="0.3">
      <c r="A1087" s="55"/>
      <c r="I1087" s="235"/>
      <c r="J1087" s="235"/>
    </row>
    <row r="1088" spans="1:10" x14ac:dyDescent="0.3">
      <c r="A1088" s="55"/>
      <c r="I1088" s="235"/>
      <c r="J1088" s="235"/>
    </row>
    <row r="1089" spans="1:10" x14ac:dyDescent="0.3">
      <c r="A1089" s="55"/>
      <c r="I1089" s="235"/>
      <c r="J1089" s="235"/>
    </row>
    <row r="1090" spans="1:10" x14ac:dyDescent="0.3">
      <c r="A1090" s="55"/>
      <c r="I1090" s="235"/>
      <c r="J1090" s="235"/>
    </row>
    <row r="1091" spans="1:10" x14ac:dyDescent="0.3">
      <c r="A1091" s="55"/>
      <c r="I1091" s="235"/>
      <c r="J1091" s="235"/>
    </row>
    <row r="1092" spans="1:10" x14ac:dyDescent="0.3">
      <c r="A1092" s="55"/>
      <c r="I1092" s="235"/>
      <c r="J1092" s="235"/>
    </row>
    <row r="1093" spans="1:10" x14ac:dyDescent="0.3">
      <c r="A1093" s="55"/>
      <c r="I1093" s="235"/>
      <c r="J1093" s="235"/>
    </row>
    <row r="1094" spans="1:10" x14ac:dyDescent="0.3">
      <c r="A1094" s="55"/>
      <c r="I1094" s="235"/>
      <c r="J1094" s="235"/>
    </row>
    <row r="1095" spans="1:10" x14ac:dyDescent="0.3">
      <c r="A1095" s="55"/>
      <c r="I1095" s="235"/>
      <c r="J1095" s="235"/>
    </row>
    <row r="1096" spans="1:10" x14ac:dyDescent="0.3">
      <c r="A1096" s="55"/>
      <c r="I1096" s="235"/>
      <c r="J1096" s="235"/>
    </row>
    <row r="1097" spans="1:10" x14ac:dyDescent="0.3">
      <c r="A1097" s="55"/>
      <c r="I1097" s="235"/>
      <c r="J1097" s="235"/>
    </row>
    <row r="1098" spans="1:10" x14ac:dyDescent="0.3">
      <c r="A1098" s="55"/>
      <c r="I1098" s="235"/>
      <c r="J1098" s="235"/>
    </row>
    <row r="1099" spans="1:10" x14ac:dyDescent="0.3">
      <c r="A1099" s="55"/>
      <c r="I1099" s="235"/>
      <c r="J1099" s="235"/>
    </row>
    <row r="1100" spans="1:10" x14ac:dyDescent="0.3">
      <c r="A1100" s="55"/>
      <c r="I1100" s="235"/>
      <c r="J1100" s="235"/>
    </row>
    <row r="1101" spans="1:10" x14ac:dyDescent="0.3">
      <c r="A1101" s="55"/>
      <c r="I1101" s="235"/>
      <c r="J1101" s="235"/>
    </row>
    <row r="1102" spans="1:10" x14ac:dyDescent="0.3">
      <c r="A1102" s="55"/>
      <c r="I1102" s="235"/>
      <c r="J1102" s="235"/>
    </row>
    <row r="1103" spans="1:10" x14ac:dyDescent="0.3">
      <c r="A1103" s="55"/>
      <c r="I1103" s="235"/>
      <c r="J1103" s="235"/>
    </row>
    <row r="1104" spans="1:10" x14ac:dyDescent="0.3">
      <c r="A1104" s="55"/>
      <c r="I1104" s="235"/>
      <c r="J1104" s="235"/>
    </row>
    <row r="1105" spans="1:10" x14ac:dyDescent="0.3">
      <c r="A1105" s="55"/>
      <c r="I1105" s="235"/>
      <c r="J1105" s="235"/>
    </row>
    <row r="1106" spans="1:10" x14ac:dyDescent="0.3">
      <c r="A1106" s="55"/>
      <c r="I1106" s="235"/>
      <c r="J1106" s="235"/>
    </row>
    <row r="1107" spans="1:10" x14ac:dyDescent="0.3">
      <c r="A1107" s="55"/>
      <c r="I1107" s="235"/>
      <c r="J1107" s="235"/>
    </row>
    <row r="1108" spans="1:10" x14ac:dyDescent="0.3">
      <c r="A1108" s="55"/>
      <c r="I1108" s="235"/>
      <c r="J1108" s="235"/>
    </row>
    <row r="1109" spans="1:10" x14ac:dyDescent="0.3">
      <c r="A1109" s="55"/>
      <c r="I1109" s="235"/>
      <c r="J1109" s="235"/>
    </row>
    <row r="1110" spans="1:10" x14ac:dyDescent="0.3">
      <c r="A1110" s="55"/>
      <c r="I1110" s="235"/>
      <c r="J1110" s="235"/>
    </row>
    <row r="1111" spans="1:10" x14ac:dyDescent="0.3">
      <c r="A1111" s="55"/>
      <c r="I1111" s="235"/>
      <c r="J1111" s="235"/>
    </row>
    <row r="1112" spans="1:10" x14ac:dyDescent="0.3">
      <c r="A1112" s="55"/>
      <c r="I1112" s="235"/>
      <c r="J1112" s="235"/>
    </row>
    <row r="1113" spans="1:10" x14ac:dyDescent="0.3">
      <c r="A1113" s="55"/>
      <c r="I1113" s="235"/>
      <c r="J1113" s="235"/>
    </row>
    <row r="1114" spans="1:10" x14ac:dyDescent="0.3">
      <c r="A1114" s="55"/>
      <c r="I1114" s="235"/>
      <c r="J1114" s="235"/>
    </row>
    <row r="1115" spans="1:10" x14ac:dyDescent="0.3">
      <c r="A1115" s="55"/>
      <c r="I1115" s="235"/>
      <c r="J1115" s="235"/>
    </row>
    <row r="1116" spans="1:10" x14ac:dyDescent="0.3">
      <c r="A1116" s="55"/>
      <c r="I1116" s="235"/>
      <c r="J1116" s="235"/>
    </row>
    <row r="1117" spans="1:10" x14ac:dyDescent="0.3">
      <c r="A1117" s="55"/>
      <c r="I1117" s="235"/>
      <c r="J1117" s="235"/>
    </row>
    <row r="1118" spans="1:10" x14ac:dyDescent="0.3">
      <c r="A1118" s="55"/>
      <c r="I1118" s="235"/>
      <c r="J1118" s="235"/>
    </row>
    <row r="1119" spans="1:10" x14ac:dyDescent="0.3">
      <c r="A1119" s="55"/>
      <c r="I1119" s="235"/>
      <c r="J1119" s="235"/>
    </row>
    <row r="1120" spans="1:10" x14ac:dyDescent="0.3">
      <c r="A1120" s="55"/>
      <c r="I1120" s="235"/>
      <c r="J1120" s="235"/>
    </row>
    <row r="1121" spans="1:10" x14ac:dyDescent="0.3">
      <c r="A1121" s="55"/>
      <c r="I1121" s="235"/>
      <c r="J1121" s="235"/>
    </row>
    <row r="1122" spans="1:10" x14ac:dyDescent="0.3">
      <c r="A1122" s="55"/>
      <c r="I1122" s="235"/>
      <c r="J1122" s="235"/>
    </row>
    <row r="1123" spans="1:10" x14ac:dyDescent="0.3">
      <c r="A1123" s="55"/>
      <c r="I1123" s="235"/>
      <c r="J1123" s="235"/>
    </row>
    <row r="1124" spans="1:10" x14ac:dyDescent="0.3">
      <c r="A1124" s="55"/>
      <c r="I1124" s="235"/>
      <c r="J1124" s="235"/>
    </row>
    <row r="1125" spans="1:10" x14ac:dyDescent="0.3">
      <c r="A1125" s="55"/>
      <c r="I1125" s="235"/>
      <c r="J1125" s="235"/>
    </row>
    <row r="1126" spans="1:10" x14ac:dyDescent="0.3">
      <c r="A1126" s="55"/>
      <c r="I1126" s="235"/>
      <c r="J1126" s="235"/>
    </row>
    <row r="1127" spans="1:10" x14ac:dyDescent="0.3">
      <c r="A1127" s="55"/>
      <c r="I1127" s="235"/>
      <c r="J1127" s="235"/>
    </row>
    <row r="1128" spans="1:10" x14ac:dyDescent="0.3">
      <c r="A1128" s="55"/>
      <c r="I1128" s="235"/>
      <c r="J1128" s="235"/>
    </row>
    <row r="1129" spans="1:10" x14ac:dyDescent="0.3">
      <c r="A1129" s="55"/>
      <c r="I1129" s="235"/>
      <c r="J1129" s="235"/>
    </row>
    <row r="1130" spans="1:10" x14ac:dyDescent="0.3">
      <c r="A1130" s="55"/>
      <c r="I1130" s="235"/>
      <c r="J1130" s="235"/>
    </row>
    <row r="1131" spans="1:10" x14ac:dyDescent="0.3">
      <c r="A1131" s="55"/>
      <c r="I1131" s="235"/>
      <c r="J1131" s="235"/>
    </row>
    <row r="1132" spans="1:10" x14ac:dyDescent="0.3">
      <c r="A1132" s="55"/>
      <c r="I1132" s="235"/>
      <c r="J1132" s="235"/>
    </row>
    <row r="1133" spans="1:10" x14ac:dyDescent="0.3">
      <c r="A1133" s="55"/>
      <c r="I1133" s="235"/>
      <c r="J1133" s="235"/>
    </row>
    <row r="1134" spans="1:10" x14ac:dyDescent="0.3">
      <c r="A1134" s="55"/>
      <c r="I1134" s="235"/>
      <c r="J1134" s="235"/>
    </row>
    <row r="1135" spans="1:10" x14ac:dyDescent="0.3">
      <c r="A1135" s="55"/>
      <c r="I1135" s="235"/>
      <c r="J1135" s="235"/>
    </row>
    <row r="1136" spans="1:10" x14ac:dyDescent="0.3">
      <c r="A1136" s="55"/>
      <c r="I1136" s="235"/>
      <c r="J1136" s="235"/>
    </row>
    <row r="1137" spans="1:10" x14ac:dyDescent="0.3">
      <c r="A1137" s="55"/>
      <c r="I1137" s="235"/>
      <c r="J1137" s="235"/>
    </row>
    <row r="1138" spans="1:10" x14ac:dyDescent="0.3">
      <c r="A1138" s="55"/>
      <c r="I1138" s="235"/>
      <c r="J1138" s="235"/>
    </row>
    <row r="1139" spans="1:10" x14ac:dyDescent="0.3">
      <c r="A1139" s="55"/>
      <c r="I1139" s="235"/>
      <c r="J1139" s="235"/>
    </row>
    <row r="1140" spans="1:10" x14ac:dyDescent="0.3">
      <c r="A1140" s="55"/>
      <c r="I1140" s="235"/>
      <c r="J1140" s="235"/>
    </row>
    <row r="1141" spans="1:10" x14ac:dyDescent="0.3">
      <c r="A1141" s="55"/>
      <c r="I1141" s="235"/>
      <c r="J1141" s="235"/>
    </row>
    <row r="1142" spans="1:10" x14ac:dyDescent="0.3">
      <c r="A1142" s="55"/>
      <c r="I1142" s="235"/>
      <c r="J1142" s="235"/>
    </row>
    <row r="1143" spans="1:10" x14ac:dyDescent="0.3">
      <c r="A1143" s="55"/>
      <c r="I1143" s="235"/>
      <c r="J1143" s="235"/>
    </row>
    <row r="1144" spans="1:10" x14ac:dyDescent="0.3">
      <c r="A1144" s="55"/>
      <c r="I1144" s="235"/>
      <c r="J1144" s="235"/>
    </row>
    <row r="1145" spans="1:10" x14ac:dyDescent="0.3">
      <c r="A1145" s="55"/>
      <c r="I1145" s="235"/>
      <c r="J1145" s="235"/>
    </row>
    <row r="1146" spans="1:10" x14ac:dyDescent="0.3">
      <c r="A1146" s="55"/>
      <c r="I1146" s="235"/>
      <c r="J1146" s="235"/>
    </row>
    <row r="1147" spans="1:10" x14ac:dyDescent="0.3">
      <c r="A1147" s="55"/>
      <c r="I1147" s="235"/>
      <c r="J1147" s="235"/>
    </row>
    <row r="1148" spans="1:10" x14ac:dyDescent="0.3">
      <c r="A1148" s="55"/>
      <c r="I1148" s="235"/>
      <c r="J1148" s="235"/>
    </row>
    <row r="1149" spans="1:10" x14ac:dyDescent="0.3">
      <c r="A1149" s="55"/>
      <c r="I1149" s="235"/>
      <c r="J1149" s="235"/>
    </row>
    <row r="1150" spans="1:10" x14ac:dyDescent="0.3">
      <c r="A1150" s="55"/>
      <c r="I1150" s="235"/>
      <c r="J1150" s="235"/>
    </row>
    <row r="1151" spans="1:10" x14ac:dyDescent="0.3">
      <c r="A1151" s="55"/>
      <c r="I1151" s="235"/>
      <c r="J1151" s="235"/>
    </row>
    <row r="1152" spans="1:10" x14ac:dyDescent="0.3">
      <c r="A1152" s="55"/>
      <c r="I1152" s="235"/>
      <c r="J1152" s="235"/>
    </row>
    <row r="1153" spans="1:10" x14ac:dyDescent="0.3">
      <c r="A1153" s="55"/>
      <c r="I1153" s="235"/>
      <c r="J1153" s="235"/>
    </row>
    <row r="1154" spans="1:10" x14ac:dyDescent="0.3">
      <c r="A1154" s="55"/>
      <c r="I1154" s="235"/>
      <c r="J1154" s="235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I1218"/>
  <sheetViews>
    <sheetView workbookViewId="0">
      <selection activeCell="A131" sqref="A131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5" ht="15.6" x14ac:dyDescent="0.3">
      <c r="A1" s="359" t="s">
        <v>150</v>
      </c>
      <c r="B1" s="359"/>
      <c r="C1" s="359"/>
      <c r="D1" s="359"/>
      <c r="E1" s="231"/>
    </row>
    <row r="2" spans="1:35" ht="16.2" thickBot="1" x14ac:dyDescent="0.35">
      <c r="A2" s="359"/>
      <c r="B2" s="359"/>
      <c r="C2" s="359"/>
      <c r="D2" s="359"/>
      <c r="E2" s="231"/>
      <c r="H2" s="254"/>
    </row>
    <row r="3" spans="1:35" ht="15" thickBot="1" x14ac:dyDescent="0.35">
      <c r="A3" s="30" t="s">
        <v>47</v>
      </c>
      <c r="B3" s="345">
        <v>550</v>
      </c>
      <c r="C3" s="346" t="s">
        <v>205</v>
      </c>
    </row>
    <row r="4" spans="1:35" x14ac:dyDescent="0.3">
      <c r="A4" s="27" t="s">
        <v>140</v>
      </c>
      <c r="B4" s="8">
        <v>12</v>
      </c>
      <c r="C4" s="27" t="s">
        <v>158</v>
      </c>
      <c r="D4" s="270">
        <f>D7/B4</f>
        <v>10</v>
      </c>
    </row>
    <row r="5" spans="1:35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35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7"/>
    </row>
    <row r="7" spans="1:35" x14ac:dyDescent="0.3">
      <c r="A7" s="27" t="s">
        <v>142</v>
      </c>
      <c r="B7" s="255">
        <v>0.09</v>
      </c>
      <c r="C7" s="27" t="s">
        <v>144</v>
      </c>
      <c r="D7" s="26">
        <f>(B8+B5)*B4</f>
        <v>120</v>
      </c>
      <c r="E7" s="10"/>
    </row>
    <row r="8" spans="1:35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35" x14ac:dyDescent="0.3">
      <c r="H9" s="275" t="s">
        <v>162</v>
      </c>
      <c r="I9" s="277">
        <v>263.61</v>
      </c>
      <c r="J9" s="276">
        <v>549.72</v>
      </c>
      <c r="K9" s="333">
        <f>SUM(K11:K831)</f>
        <v>0</v>
      </c>
      <c r="L9" s="333">
        <f>SUM(L11:L424)</f>
        <v>0</v>
      </c>
      <c r="M9" s="334"/>
    </row>
    <row r="10" spans="1:35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336" t="s">
        <v>205</v>
      </c>
      <c r="H10" s="230" t="s">
        <v>158</v>
      </c>
      <c r="I10" s="230" t="s">
        <v>157</v>
      </c>
      <c r="J10" s="314" t="s">
        <v>152</v>
      </c>
      <c r="K10" s="330" t="s">
        <v>157</v>
      </c>
      <c r="L10" s="330" t="s">
        <v>152</v>
      </c>
      <c r="M10" s="327"/>
      <c r="O10" s="332" t="s">
        <v>157</v>
      </c>
      <c r="P10" s="320">
        <v>40.57</v>
      </c>
      <c r="Q10" s="320">
        <v>45.15</v>
      </c>
      <c r="R10" s="320">
        <v>39.86</v>
      </c>
      <c r="S10" s="320">
        <v>34.58</v>
      </c>
      <c r="T10" s="320">
        <v>29.29</v>
      </c>
      <c r="U10" s="320">
        <v>24</v>
      </c>
      <c r="V10" s="320">
        <v>18.72</v>
      </c>
      <c r="W10" s="320">
        <v>13.43</v>
      </c>
      <c r="X10" s="320">
        <v>8.15</v>
      </c>
      <c r="Y10" s="320">
        <v>2.86</v>
      </c>
      <c r="Z10" s="319">
        <v>0</v>
      </c>
      <c r="AA10" s="319">
        <v>0</v>
      </c>
      <c r="AB10" s="319">
        <v>0</v>
      </c>
      <c r="AC10" s="319">
        <v>0</v>
      </c>
      <c r="AD10" s="319">
        <v>0</v>
      </c>
      <c r="AE10" s="319">
        <v>0</v>
      </c>
      <c r="AF10" s="319">
        <v>0</v>
      </c>
      <c r="AG10" s="319">
        <v>0</v>
      </c>
      <c r="AH10" s="319">
        <v>0</v>
      </c>
      <c r="AI10" s="319">
        <v>0</v>
      </c>
    </row>
    <row r="11" spans="1:35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550</v>
      </c>
      <c r="G11" s="340" t="s">
        <v>206</v>
      </c>
      <c r="H11" s="5">
        <v>1</v>
      </c>
      <c r="I11" s="268">
        <v>47.567999999999998</v>
      </c>
      <c r="J11" s="329">
        <v>0</v>
      </c>
      <c r="K11" s="282"/>
      <c r="L11" s="233"/>
      <c r="M11" s="317"/>
      <c r="O11" s="332" t="s">
        <v>203</v>
      </c>
      <c r="P11" s="319">
        <v>0</v>
      </c>
      <c r="Q11" s="319">
        <v>61.08</v>
      </c>
      <c r="R11" s="319">
        <v>61.08</v>
      </c>
      <c r="S11" s="319">
        <v>61.08</v>
      </c>
      <c r="T11" s="319">
        <v>61.08</v>
      </c>
      <c r="U11" s="319">
        <v>61.08</v>
      </c>
      <c r="V11" s="319">
        <v>61.08</v>
      </c>
      <c r="W11" s="319">
        <v>61.08</v>
      </c>
      <c r="X11" s="319">
        <v>61.08</v>
      </c>
      <c r="Y11" s="319">
        <v>61.08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49">
        <v>1</v>
      </c>
      <c r="B12" s="260">
        <v>3.9640278238751936</v>
      </c>
      <c r="C12" s="247">
        <v>3.9640278238751936</v>
      </c>
      <c r="D12" s="260">
        <v>0</v>
      </c>
      <c r="E12" s="258"/>
      <c r="F12" s="261">
        <v>550</v>
      </c>
      <c r="G12" s="340" t="s">
        <v>207</v>
      </c>
      <c r="H12" s="8">
        <v>2</v>
      </c>
      <c r="I12" s="205">
        <v>45.145800000000001</v>
      </c>
      <c r="J12" s="215">
        <v>61.08</v>
      </c>
      <c r="K12" s="282"/>
      <c r="L12" s="233"/>
      <c r="M12" s="317"/>
      <c r="O12" s="315"/>
    </row>
    <row r="13" spans="1:35" x14ac:dyDescent="0.3">
      <c r="A13" s="249">
        <v>2</v>
      </c>
      <c r="B13" s="260">
        <v>3.9640278238751936</v>
      </c>
      <c r="C13" s="247">
        <v>3.9640278238751936</v>
      </c>
      <c r="D13" s="260">
        <v>0</v>
      </c>
      <c r="E13" s="258"/>
      <c r="F13" s="261">
        <v>550</v>
      </c>
      <c r="G13" s="340" t="s">
        <v>208</v>
      </c>
      <c r="H13" s="8">
        <v>3</v>
      </c>
      <c r="I13" s="205">
        <v>39.860599999999998</v>
      </c>
      <c r="J13" s="215">
        <v>61.08</v>
      </c>
      <c r="K13" s="282"/>
      <c r="L13" s="233"/>
      <c r="M13" s="317"/>
      <c r="O13" s="331" t="s">
        <v>157</v>
      </c>
      <c r="P13" s="319"/>
      <c r="Q13" s="320"/>
      <c r="R13" s="319"/>
      <c r="S13" s="319"/>
      <c r="T13" s="319"/>
      <c r="U13" s="319"/>
      <c r="V13" s="319"/>
      <c r="W13" s="319"/>
      <c r="X13" s="319"/>
      <c r="Y13" s="319"/>
      <c r="Z13" s="319">
        <v>0</v>
      </c>
      <c r="AA13" s="319">
        <v>0</v>
      </c>
      <c r="AB13" s="319">
        <v>0</v>
      </c>
      <c r="AC13" s="319">
        <v>0</v>
      </c>
      <c r="AD13" s="319">
        <v>0</v>
      </c>
      <c r="AE13" s="319">
        <v>0</v>
      </c>
      <c r="AF13" s="319">
        <v>0</v>
      </c>
      <c r="AG13" s="319">
        <v>0</v>
      </c>
      <c r="AH13" s="319">
        <v>0</v>
      </c>
      <c r="AI13" s="319">
        <v>1</v>
      </c>
    </row>
    <row r="14" spans="1:35" x14ac:dyDescent="0.3">
      <c r="A14" s="249">
        <v>3</v>
      </c>
      <c r="B14" s="260">
        <v>3.9640278238751936</v>
      </c>
      <c r="C14" s="247">
        <v>3.9640278238751936</v>
      </c>
      <c r="D14" s="260">
        <v>0</v>
      </c>
      <c r="E14" s="258"/>
      <c r="F14" s="261">
        <v>550</v>
      </c>
      <c r="G14" s="340" t="s">
        <v>209</v>
      </c>
      <c r="H14" s="8">
        <v>4</v>
      </c>
      <c r="I14" s="205">
        <v>34.575000000000003</v>
      </c>
      <c r="J14" s="215">
        <v>61.08</v>
      </c>
      <c r="K14" s="282"/>
      <c r="L14" s="233"/>
      <c r="M14" s="317"/>
      <c r="O14" s="331" t="s">
        <v>203</v>
      </c>
      <c r="P14" s="319">
        <v>0</v>
      </c>
      <c r="Q14" s="319">
        <v>0</v>
      </c>
      <c r="R14" s="319">
        <v>0</v>
      </c>
      <c r="S14" s="319">
        <v>0</v>
      </c>
      <c r="T14" s="319">
        <v>0</v>
      </c>
      <c r="U14" s="319">
        <v>0</v>
      </c>
      <c r="V14" s="319">
        <v>0</v>
      </c>
      <c r="W14" s="319">
        <v>0</v>
      </c>
      <c r="X14" s="319">
        <v>0</v>
      </c>
      <c r="Y14" s="319">
        <v>0</v>
      </c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49">
        <v>4</v>
      </c>
      <c r="B15" s="260">
        <v>3.9640278238751936</v>
      </c>
      <c r="C15" s="247">
        <v>3.9640278238751936</v>
      </c>
      <c r="D15" s="260">
        <v>0</v>
      </c>
      <c r="E15" s="258"/>
      <c r="F15" s="261">
        <v>550</v>
      </c>
      <c r="G15" s="340" t="s">
        <v>210</v>
      </c>
      <c r="H15" s="8">
        <v>5</v>
      </c>
      <c r="I15" s="205">
        <v>29.289899999999999</v>
      </c>
      <c r="J15" s="215">
        <v>61.08</v>
      </c>
      <c r="K15" s="282"/>
      <c r="L15" s="233"/>
      <c r="M15" s="317"/>
    </row>
    <row r="16" spans="1:35" x14ac:dyDescent="0.3">
      <c r="A16" s="249">
        <v>5</v>
      </c>
      <c r="B16" s="260">
        <v>3.9640278238751936</v>
      </c>
      <c r="C16" s="247">
        <v>3.9640278238751936</v>
      </c>
      <c r="D16" s="260">
        <v>0</v>
      </c>
      <c r="E16" s="258"/>
      <c r="F16" s="261">
        <v>550</v>
      </c>
      <c r="G16" s="340" t="s">
        <v>211</v>
      </c>
      <c r="H16" s="8">
        <v>6</v>
      </c>
      <c r="I16" s="205">
        <v>24.004200000000001</v>
      </c>
      <c r="J16" s="215">
        <v>61.08</v>
      </c>
      <c r="K16" s="282"/>
      <c r="L16" s="233"/>
      <c r="M16" s="317"/>
    </row>
    <row r="17" spans="1:13" x14ac:dyDescent="0.3">
      <c r="A17" s="249">
        <v>6</v>
      </c>
      <c r="B17" s="260">
        <v>3.9640278238751936</v>
      </c>
      <c r="C17" s="247">
        <v>3.9640278238751936</v>
      </c>
      <c r="D17" s="260">
        <v>0</v>
      </c>
      <c r="E17" s="258"/>
      <c r="F17" s="261">
        <v>550</v>
      </c>
      <c r="G17" s="340" t="s">
        <v>212</v>
      </c>
      <c r="H17" s="8">
        <v>7</v>
      </c>
      <c r="I17" s="205">
        <v>18.719200000000001</v>
      </c>
      <c r="J17" s="215">
        <v>61.08</v>
      </c>
      <c r="K17" s="282"/>
      <c r="L17" s="233"/>
      <c r="M17" s="317"/>
    </row>
    <row r="18" spans="1:13" x14ac:dyDescent="0.3">
      <c r="A18" s="249">
        <v>7</v>
      </c>
      <c r="B18" s="260">
        <v>3.9640278238751936</v>
      </c>
      <c r="C18" s="247">
        <v>3.9640278238751936</v>
      </c>
      <c r="D18" s="260">
        <v>0</v>
      </c>
      <c r="E18" s="258"/>
      <c r="F18" s="261">
        <v>550</v>
      </c>
      <c r="G18" s="340" t="s">
        <v>213</v>
      </c>
      <c r="H18" s="8">
        <v>8</v>
      </c>
      <c r="I18" s="205">
        <v>13.433400000000001</v>
      </c>
      <c r="J18" s="215">
        <v>61.08</v>
      </c>
      <c r="K18" s="282"/>
      <c r="L18" s="233"/>
      <c r="M18" s="317"/>
    </row>
    <row r="19" spans="1:13" x14ac:dyDescent="0.3">
      <c r="A19" s="249">
        <v>8</v>
      </c>
      <c r="B19" s="260">
        <v>3.9640278238751936</v>
      </c>
      <c r="C19" s="247">
        <v>3.9640278238751936</v>
      </c>
      <c r="D19" s="260">
        <v>0</v>
      </c>
      <c r="E19" s="258"/>
      <c r="F19" s="261">
        <v>550</v>
      </c>
      <c r="G19" s="340" t="s">
        <v>214</v>
      </c>
      <c r="H19" s="8">
        <v>9</v>
      </c>
      <c r="I19" s="205">
        <v>8.1485000000000003</v>
      </c>
      <c r="J19" s="215">
        <v>61.08</v>
      </c>
      <c r="K19" s="282"/>
      <c r="L19" s="233"/>
      <c r="M19" s="317"/>
    </row>
    <row r="20" spans="1:13" x14ac:dyDescent="0.3">
      <c r="A20" s="249">
        <v>9</v>
      </c>
      <c r="B20" s="260">
        <v>3.9640278238751936</v>
      </c>
      <c r="C20" s="247">
        <v>3.9640278238751936</v>
      </c>
      <c r="D20" s="260">
        <v>0</v>
      </c>
      <c r="E20" s="258"/>
      <c r="F20" s="261">
        <v>550</v>
      </c>
      <c r="G20" s="340" t="s">
        <v>215</v>
      </c>
      <c r="H20" s="8">
        <v>10</v>
      </c>
      <c r="I20" s="205">
        <v>2.8626</v>
      </c>
      <c r="J20" s="215">
        <v>61.08</v>
      </c>
      <c r="K20" s="282"/>
      <c r="L20" s="233"/>
      <c r="M20" s="317"/>
    </row>
    <row r="21" spans="1:13" x14ac:dyDescent="0.3">
      <c r="A21" s="249">
        <v>10</v>
      </c>
      <c r="B21" s="260">
        <v>3.9640278238751936</v>
      </c>
      <c r="C21" s="247">
        <v>3.9640278238751936</v>
      </c>
      <c r="D21" s="260">
        <v>0</v>
      </c>
      <c r="E21" s="258"/>
      <c r="F21" s="261">
        <v>550</v>
      </c>
      <c r="G21" s="340" t="s">
        <v>216</v>
      </c>
      <c r="H21" s="8"/>
      <c r="I21" s="205"/>
      <c r="J21" s="215"/>
      <c r="K21" s="282"/>
      <c r="L21" s="233"/>
      <c r="M21" s="317"/>
    </row>
    <row r="22" spans="1:13" x14ac:dyDescent="0.3">
      <c r="A22" s="249">
        <v>11</v>
      </c>
      <c r="B22" s="260">
        <v>3.9640278238751936</v>
      </c>
      <c r="C22" s="247">
        <v>3.9640278238751936</v>
      </c>
      <c r="D22" s="260">
        <v>0</v>
      </c>
      <c r="E22" s="258"/>
      <c r="F22" s="261">
        <v>550</v>
      </c>
      <c r="H22" s="8"/>
      <c r="I22" s="205"/>
      <c r="J22" s="215"/>
      <c r="K22" s="282"/>
      <c r="L22" s="233"/>
      <c r="M22" s="317"/>
    </row>
    <row r="23" spans="1:13" x14ac:dyDescent="0.3">
      <c r="A23" s="249">
        <v>12</v>
      </c>
      <c r="B23" s="260">
        <v>3.9640278238751936</v>
      </c>
      <c r="C23" s="247">
        <v>3.9640278238751936</v>
      </c>
      <c r="D23" s="260">
        <v>0</v>
      </c>
      <c r="E23" s="258"/>
      <c r="F23" s="261">
        <v>550</v>
      </c>
      <c r="H23" s="8"/>
      <c r="I23" s="205"/>
      <c r="J23" s="215"/>
      <c r="K23" s="282"/>
      <c r="L23" s="233"/>
      <c r="M23" s="317"/>
    </row>
    <row r="24" spans="1:13" x14ac:dyDescent="0.3">
      <c r="A24" s="249">
        <v>13</v>
      </c>
      <c r="B24" s="260">
        <v>9.06</v>
      </c>
      <c r="C24" s="247">
        <v>3.9640278238751936</v>
      </c>
      <c r="D24" s="260">
        <v>5.09</v>
      </c>
      <c r="E24" s="258"/>
      <c r="F24" s="261">
        <v>544.91</v>
      </c>
      <c r="H24" s="8"/>
      <c r="I24" s="205"/>
      <c r="J24" s="215"/>
      <c r="K24" s="282"/>
      <c r="L24" s="233"/>
      <c r="M24" s="317"/>
    </row>
    <row r="25" spans="1:13" x14ac:dyDescent="0.3">
      <c r="A25" s="249">
        <v>14</v>
      </c>
      <c r="B25" s="260">
        <v>9.02</v>
      </c>
      <c r="C25" s="247">
        <v>3.9273238091554359</v>
      </c>
      <c r="D25" s="260">
        <v>5.09</v>
      </c>
      <c r="E25" s="258"/>
      <c r="F25" s="261">
        <v>539.80999999999995</v>
      </c>
      <c r="H25" s="8"/>
      <c r="I25" s="205"/>
      <c r="J25" s="215"/>
      <c r="K25" s="282"/>
      <c r="L25" s="233"/>
      <c r="M25" s="317"/>
    </row>
    <row r="26" spans="1:13" x14ac:dyDescent="0.3">
      <c r="A26" s="249">
        <v>15</v>
      </c>
      <c r="B26" s="260">
        <v>8.98</v>
      </c>
      <c r="C26" s="247">
        <v>3.8906197944356777</v>
      </c>
      <c r="D26" s="260">
        <v>5.09</v>
      </c>
      <c r="E26" s="258"/>
      <c r="F26" s="261">
        <v>534.72</v>
      </c>
      <c r="H26" s="8"/>
      <c r="I26" s="205"/>
      <c r="J26" s="215"/>
      <c r="K26" s="282"/>
      <c r="L26" s="233"/>
      <c r="M26" s="317"/>
    </row>
    <row r="27" spans="1:13" x14ac:dyDescent="0.3">
      <c r="A27" s="249">
        <v>16</v>
      </c>
      <c r="B27" s="260">
        <v>8.9499999999999993</v>
      </c>
      <c r="C27" s="247">
        <v>3.85391577971592</v>
      </c>
      <c r="D27" s="260">
        <v>5.09</v>
      </c>
      <c r="E27" s="258"/>
      <c r="F27" s="261">
        <v>529.63</v>
      </c>
      <c r="H27" s="8"/>
      <c r="I27" s="205"/>
      <c r="J27" s="215"/>
      <c r="K27" s="282"/>
      <c r="L27" s="233"/>
      <c r="M27" s="317"/>
    </row>
    <row r="28" spans="1:13" x14ac:dyDescent="0.3">
      <c r="A28" s="249">
        <v>17</v>
      </c>
      <c r="B28" s="260">
        <v>8.91</v>
      </c>
      <c r="C28" s="247">
        <v>3.8172117649961623</v>
      </c>
      <c r="D28" s="260">
        <v>5.09</v>
      </c>
      <c r="E28" s="258"/>
      <c r="F28" s="261">
        <v>524.54</v>
      </c>
      <c r="H28" s="8"/>
      <c r="I28" s="205"/>
      <c r="J28" s="215"/>
      <c r="K28" s="282"/>
      <c r="L28" s="233"/>
      <c r="M28" s="317"/>
    </row>
    <row r="29" spans="1:13" x14ac:dyDescent="0.3">
      <c r="A29" s="249">
        <v>18</v>
      </c>
      <c r="B29" s="260">
        <v>8.8699999999999992</v>
      </c>
      <c r="C29" s="247">
        <v>3.7805077502764046</v>
      </c>
      <c r="D29" s="260">
        <v>5.09</v>
      </c>
      <c r="E29" s="258"/>
      <c r="F29" s="261">
        <v>519.44000000000005</v>
      </c>
      <c r="H29" s="8"/>
      <c r="I29" s="205"/>
      <c r="J29" s="205"/>
      <c r="K29" s="282"/>
      <c r="L29" s="233"/>
      <c r="M29" s="317"/>
    </row>
    <row r="30" spans="1:13" x14ac:dyDescent="0.3">
      <c r="A30" s="249">
        <v>19</v>
      </c>
      <c r="B30" s="260">
        <v>8.84</v>
      </c>
      <c r="C30" s="247">
        <v>3.7438037355566465</v>
      </c>
      <c r="D30" s="260">
        <v>5.09</v>
      </c>
      <c r="E30" s="258"/>
      <c r="F30" s="261">
        <v>514.35</v>
      </c>
      <c r="H30" s="8"/>
      <c r="I30" s="205"/>
      <c r="J30" s="205"/>
      <c r="K30" s="282"/>
      <c r="L30" s="233"/>
      <c r="M30" s="317"/>
    </row>
    <row r="31" spans="1:13" x14ac:dyDescent="0.3">
      <c r="A31" s="249">
        <v>20</v>
      </c>
      <c r="B31" s="260">
        <v>8.8000000000000007</v>
      </c>
      <c r="C31" s="247">
        <v>3.7070997208368888</v>
      </c>
      <c r="D31" s="260">
        <v>5.09</v>
      </c>
      <c r="E31" s="258"/>
      <c r="F31" s="261">
        <v>509.26</v>
      </c>
      <c r="H31" s="8"/>
      <c r="I31" s="205"/>
      <c r="J31" s="205"/>
      <c r="K31" s="282"/>
      <c r="L31" s="233"/>
      <c r="M31" s="317"/>
    </row>
    <row r="32" spans="1:13" x14ac:dyDescent="0.3">
      <c r="A32" s="249">
        <v>21</v>
      </c>
      <c r="B32" s="260">
        <v>8.76</v>
      </c>
      <c r="C32" s="247">
        <v>3.6703957061171311</v>
      </c>
      <c r="D32" s="260">
        <v>5.09</v>
      </c>
      <c r="E32" s="258"/>
      <c r="F32" s="261">
        <v>504.17</v>
      </c>
      <c r="H32" s="8"/>
      <c r="I32" s="205"/>
      <c r="J32" s="205"/>
      <c r="K32" s="282"/>
      <c r="L32" s="233"/>
      <c r="M32" s="317"/>
    </row>
    <row r="33" spans="1:13" x14ac:dyDescent="0.3">
      <c r="A33" s="249">
        <v>22</v>
      </c>
      <c r="B33" s="260">
        <v>8.73</v>
      </c>
      <c r="C33" s="247">
        <v>3.6336916913973729</v>
      </c>
      <c r="D33" s="260">
        <v>5.09</v>
      </c>
      <c r="E33" s="258"/>
      <c r="F33" s="261">
        <v>499.07</v>
      </c>
      <c r="H33" s="8"/>
      <c r="I33" s="205"/>
      <c r="J33" s="205"/>
      <c r="K33" s="282"/>
      <c r="L33" s="233"/>
      <c r="M33" s="317"/>
    </row>
    <row r="34" spans="1:13" x14ac:dyDescent="0.3">
      <c r="A34" s="249">
        <v>23</v>
      </c>
      <c r="B34" s="260">
        <v>8.69</v>
      </c>
      <c r="C34" s="247">
        <v>3.5969876766776152</v>
      </c>
      <c r="D34" s="260">
        <v>5.09</v>
      </c>
      <c r="E34" s="258"/>
      <c r="F34" s="261">
        <v>493.98</v>
      </c>
      <c r="H34" s="8"/>
      <c r="I34" s="205"/>
      <c r="J34" s="205"/>
      <c r="K34" s="282"/>
      <c r="L34" s="233"/>
      <c r="M34" s="317"/>
    </row>
    <row r="35" spans="1:13" x14ac:dyDescent="0.3">
      <c r="A35" s="249">
        <v>24</v>
      </c>
      <c r="B35" s="260">
        <v>8.65</v>
      </c>
      <c r="C35" s="247">
        <v>3.5602836619578575</v>
      </c>
      <c r="D35" s="260">
        <v>5.09</v>
      </c>
      <c r="E35" s="258"/>
      <c r="F35" s="261">
        <v>488.89</v>
      </c>
      <c r="H35" s="8"/>
      <c r="I35" s="205"/>
      <c r="J35" s="205"/>
      <c r="K35" s="282"/>
      <c r="L35" s="233"/>
      <c r="M35" s="317"/>
    </row>
    <row r="36" spans="1:13" x14ac:dyDescent="0.3">
      <c r="A36" s="249">
        <v>25</v>
      </c>
      <c r="B36" s="260">
        <v>8.6199999999999992</v>
      </c>
      <c r="C36" s="247">
        <v>3.5235796472380994</v>
      </c>
      <c r="D36" s="260">
        <v>5.09</v>
      </c>
      <c r="E36" s="258"/>
      <c r="F36" s="261">
        <v>483.8</v>
      </c>
      <c r="H36" s="8"/>
      <c r="I36" s="205"/>
      <c r="J36" s="205"/>
      <c r="K36" s="282"/>
      <c r="L36" s="233"/>
      <c r="M36" s="317"/>
    </row>
    <row r="37" spans="1:13" x14ac:dyDescent="0.3">
      <c r="A37" s="249">
        <v>26</v>
      </c>
      <c r="B37" s="260">
        <v>8.58</v>
      </c>
      <c r="C37" s="247">
        <v>3.4868756325183417</v>
      </c>
      <c r="D37" s="260">
        <v>5.09</v>
      </c>
      <c r="E37" s="258"/>
      <c r="F37" s="261">
        <v>478.7</v>
      </c>
      <c r="H37" s="8"/>
      <c r="I37" s="205"/>
      <c r="J37" s="205"/>
      <c r="K37" s="282"/>
      <c r="L37" s="233"/>
      <c r="M37" s="317"/>
    </row>
    <row r="38" spans="1:13" x14ac:dyDescent="0.3">
      <c r="A38" s="249">
        <v>27</v>
      </c>
      <c r="B38" s="260">
        <v>8.5399999999999991</v>
      </c>
      <c r="C38" s="247">
        <v>3.4501716177985839</v>
      </c>
      <c r="D38" s="260">
        <v>5.09</v>
      </c>
      <c r="E38" s="258"/>
      <c r="F38" s="261">
        <v>473.61</v>
      </c>
      <c r="H38" s="8"/>
      <c r="I38" s="205"/>
      <c r="J38" s="205"/>
      <c r="K38" s="282"/>
      <c r="L38" s="233"/>
      <c r="M38" s="317"/>
    </row>
    <row r="39" spans="1:13" x14ac:dyDescent="0.3">
      <c r="A39" s="249">
        <v>28</v>
      </c>
      <c r="B39" s="260">
        <v>8.51</v>
      </c>
      <c r="C39" s="247">
        <v>3.4134676030788262</v>
      </c>
      <c r="D39" s="260">
        <v>5.09</v>
      </c>
      <c r="E39" s="258"/>
      <c r="F39" s="261">
        <v>468.52</v>
      </c>
      <c r="H39" s="8"/>
      <c r="I39" s="205"/>
      <c r="J39" s="205"/>
      <c r="K39" s="282"/>
      <c r="L39" s="233"/>
      <c r="M39" s="317"/>
    </row>
    <row r="40" spans="1:13" x14ac:dyDescent="0.3">
      <c r="A40" s="249">
        <v>29</v>
      </c>
      <c r="B40" s="260">
        <v>8.4700000000000006</v>
      </c>
      <c r="C40" s="247">
        <v>3.3767635883590681</v>
      </c>
      <c r="D40" s="260">
        <v>5.09</v>
      </c>
      <c r="E40" s="258"/>
      <c r="F40" s="261">
        <v>463.43</v>
      </c>
      <c r="H40" s="8"/>
      <c r="I40" s="205"/>
      <c r="J40" s="205"/>
      <c r="K40" s="282"/>
      <c r="L40" s="233"/>
      <c r="M40" s="317"/>
    </row>
    <row r="41" spans="1:13" x14ac:dyDescent="0.3">
      <c r="A41" s="249">
        <v>30</v>
      </c>
      <c r="B41" s="260">
        <v>8.43</v>
      </c>
      <c r="C41" s="247">
        <v>3.3400595736393104</v>
      </c>
      <c r="D41" s="260">
        <v>5.09</v>
      </c>
      <c r="E41" s="258"/>
      <c r="F41" s="261">
        <v>458.33</v>
      </c>
      <c r="H41" s="8"/>
      <c r="I41" s="205"/>
      <c r="J41" s="205"/>
      <c r="K41" s="282"/>
      <c r="L41" s="233"/>
      <c r="M41" s="317"/>
    </row>
    <row r="42" spans="1:13" x14ac:dyDescent="0.3">
      <c r="A42" s="249">
        <v>31</v>
      </c>
      <c r="B42" s="260">
        <v>8.4</v>
      </c>
      <c r="C42" s="247">
        <v>3.3033555589195527</v>
      </c>
      <c r="D42" s="260">
        <v>5.09</v>
      </c>
      <c r="E42" s="258"/>
      <c r="F42" s="261">
        <v>453.24</v>
      </c>
      <c r="H42" s="8"/>
      <c r="I42" s="205"/>
      <c r="J42" s="205"/>
      <c r="K42" s="282"/>
      <c r="L42" s="233"/>
      <c r="M42" s="317"/>
    </row>
    <row r="43" spans="1:13" x14ac:dyDescent="0.3">
      <c r="A43" s="249">
        <v>32</v>
      </c>
      <c r="B43" s="260">
        <v>8.36</v>
      </c>
      <c r="C43" s="247">
        <v>3.2666515441997945</v>
      </c>
      <c r="D43" s="260">
        <v>5.09</v>
      </c>
      <c r="E43" s="258"/>
      <c r="F43" s="261">
        <v>448.15</v>
      </c>
      <c r="H43" s="8"/>
      <c r="I43" s="205"/>
      <c r="J43" s="205"/>
      <c r="K43" s="282"/>
      <c r="L43" s="233"/>
      <c r="M43" s="317"/>
    </row>
    <row r="44" spans="1:13" x14ac:dyDescent="0.3">
      <c r="A44" s="249">
        <v>33</v>
      </c>
      <c r="B44" s="260">
        <v>8.32</v>
      </c>
      <c r="C44" s="247">
        <v>3.2299475294800368</v>
      </c>
      <c r="D44" s="260">
        <v>5.09</v>
      </c>
      <c r="E44" s="258"/>
      <c r="F44" s="261">
        <v>443.06</v>
      </c>
      <c r="H44" s="8"/>
      <c r="I44" s="205"/>
      <c r="J44" s="205"/>
      <c r="K44" s="282"/>
      <c r="L44" s="233"/>
      <c r="M44" s="317"/>
    </row>
    <row r="45" spans="1:13" x14ac:dyDescent="0.3">
      <c r="A45" s="249">
        <v>34</v>
      </c>
      <c r="B45" s="260">
        <v>8.2899999999999991</v>
      </c>
      <c r="C45" s="247">
        <v>3.1932435147602791</v>
      </c>
      <c r="D45" s="260">
        <v>5.09</v>
      </c>
      <c r="E45" s="258"/>
      <c r="F45" s="261">
        <v>437.96</v>
      </c>
      <c r="H45" s="8"/>
      <c r="I45" s="205"/>
      <c r="J45" s="205"/>
      <c r="K45" s="282"/>
      <c r="L45" s="233"/>
      <c r="M45" s="317"/>
    </row>
    <row r="46" spans="1:13" x14ac:dyDescent="0.3">
      <c r="A46" s="249">
        <v>35</v>
      </c>
      <c r="B46" s="260">
        <v>8.25</v>
      </c>
      <c r="C46" s="247">
        <v>3.156539500040521</v>
      </c>
      <c r="D46" s="260">
        <v>5.09</v>
      </c>
      <c r="E46" s="258"/>
      <c r="F46" s="261">
        <v>432.87</v>
      </c>
      <c r="H46" s="8"/>
      <c r="I46" s="205"/>
      <c r="J46" s="205"/>
      <c r="K46" s="282"/>
      <c r="L46" s="233"/>
      <c r="M46" s="317"/>
    </row>
    <row r="47" spans="1:13" x14ac:dyDescent="0.3">
      <c r="A47" s="249">
        <v>36</v>
      </c>
      <c r="B47" s="260">
        <v>8.2100000000000009</v>
      </c>
      <c r="C47" s="247">
        <v>3.1198354853207633</v>
      </c>
      <c r="D47" s="260">
        <v>5.09</v>
      </c>
      <c r="E47" s="258"/>
      <c r="F47" s="261">
        <v>427.78</v>
      </c>
      <c r="H47" s="8"/>
      <c r="I47" s="205"/>
      <c r="J47" s="205"/>
      <c r="K47" s="282"/>
      <c r="L47" s="233"/>
      <c r="M47" s="317"/>
    </row>
    <row r="48" spans="1:13" x14ac:dyDescent="0.3">
      <c r="A48" s="249">
        <v>37</v>
      </c>
      <c r="B48" s="260">
        <v>8.18</v>
      </c>
      <c r="C48" s="247">
        <v>3.0831314706010056</v>
      </c>
      <c r="D48" s="260">
        <v>5.09</v>
      </c>
      <c r="E48" s="258"/>
      <c r="F48" s="261">
        <v>422.69</v>
      </c>
      <c r="H48" s="8"/>
      <c r="I48" s="205"/>
      <c r="J48" s="205"/>
      <c r="K48" s="282"/>
      <c r="L48" s="233"/>
      <c r="M48" s="317"/>
    </row>
    <row r="49" spans="1:13" x14ac:dyDescent="0.3">
      <c r="A49" s="249">
        <v>38</v>
      </c>
      <c r="B49" s="260">
        <v>8.14</v>
      </c>
      <c r="C49" s="247">
        <v>3.0464274558812479</v>
      </c>
      <c r="D49" s="260">
        <v>5.09</v>
      </c>
      <c r="E49" s="258"/>
      <c r="F49" s="261">
        <v>417.59</v>
      </c>
      <c r="H49" s="8"/>
      <c r="I49" s="205"/>
      <c r="J49" s="205"/>
      <c r="K49" s="282"/>
      <c r="L49" s="233"/>
      <c r="M49" s="317"/>
    </row>
    <row r="50" spans="1:13" x14ac:dyDescent="0.3">
      <c r="A50" s="249">
        <v>39</v>
      </c>
      <c r="B50" s="260">
        <v>8.1</v>
      </c>
      <c r="C50" s="247">
        <v>3.0097234411614897</v>
      </c>
      <c r="D50" s="260">
        <v>5.09</v>
      </c>
      <c r="E50" s="258"/>
      <c r="F50" s="261">
        <v>412.5</v>
      </c>
      <c r="H50" s="8"/>
      <c r="I50" s="205"/>
      <c r="J50" s="205"/>
      <c r="K50" s="282"/>
      <c r="L50" s="233"/>
      <c r="M50" s="317"/>
    </row>
    <row r="51" spans="1:13" x14ac:dyDescent="0.3">
      <c r="A51" s="249">
        <v>40</v>
      </c>
      <c r="B51" s="260">
        <v>8.07</v>
      </c>
      <c r="C51" s="247">
        <v>2.973019426441732</v>
      </c>
      <c r="D51" s="260">
        <v>5.09</v>
      </c>
      <c r="E51" s="258"/>
      <c r="F51" s="261">
        <v>407.41</v>
      </c>
      <c r="H51" s="8"/>
      <c r="I51" s="205"/>
      <c r="J51" s="205"/>
      <c r="K51" s="282"/>
      <c r="L51" s="233"/>
      <c r="M51" s="317"/>
    </row>
    <row r="52" spans="1:13" x14ac:dyDescent="0.3">
      <c r="A52" s="249">
        <v>41</v>
      </c>
      <c r="B52" s="260">
        <v>8.0299999999999994</v>
      </c>
      <c r="C52" s="247">
        <v>2.9363154117219743</v>
      </c>
      <c r="D52" s="260">
        <v>5.09</v>
      </c>
      <c r="E52" s="258"/>
      <c r="F52" s="261">
        <v>402.31</v>
      </c>
      <c r="H52" s="8"/>
      <c r="I52" s="205"/>
      <c r="J52" s="205"/>
      <c r="K52" s="282"/>
      <c r="L52" s="233"/>
      <c r="M52" s="317"/>
    </row>
    <row r="53" spans="1:13" x14ac:dyDescent="0.3">
      <c r="A53" s="249">
        <v>42</v>
      </c>
      <c r="B53" s="260">
        <v>7.99</v>
      </c>
      <c r="C53" s="247">
        <v>2.8996113970022162</v>
      </c>
      <c r="D53" s="260">
        <v>5.09</v>
      </c>
      <c r="E53" s="258"/>
      <c r="F53" s="261">
        <v>397.22</v>
      </c>
      <c r="G53" s="229"/>
      <c r="H53" s="8"/>
      <c r="I53" s="205"/>
      <c r="J53" s="205"/>
      <c r="K53" s="282"/>
      <c r="L53" s="233"/>
      <c r="M53" s="317"/>
    </row>
    <row r="54" spans="1:13" x14ac:dyDescent="0.3">
      <c r="A54" s="249">
        <v>43</v>
      </c>
      <c r="B54" s="260">
        <v>7.96</v>
      </c>
      <c r="C54" s="247">
        <v>2.8629073822824584</v>
      </c>
      <c r="D54" s="260">
        <v>5.09</v>
      </c>
      <c r="E54" s="258"/>
      <c r="F54" s="261">
        <v>392.13</v>
      </c>
      <c r="G54" s="229"/>
      <c r="H54" s="8"/>
      <c r="I54" s="205"/>
      <c r="J54" s="205"/>
      <c r="K54" s="282"/>
      <c r="L54" s="233"/>
      <c r="M54" s="317"/>
    </row>
    <row r="55" spans="1:13" x14ac:dyDescent="0.3">
      <c r="A55" s="249">
        <v>44</v>
      </c>
      <c r="B55" s="260">
        <v>7.92</v>
      </c>
      <c r="C55" s="247">
        <v>2.8262033675627007</v>
      </c>
      <c r="D55" s="260">
        <v>5.09</v>
      </c>
      <c r="E55" s="258"/>
      <c r="F55" s="261">
        <v>387.04</v>
      </c>
      <c r="H55" s="8"/>
      <c r="I55" s="205"/>
      <c r="J55" s="205"/>
      <c r="K55" s="282"/>
      <c r="L55" s="233"/>
      <c r="M55" s="317"/>
    </row>
    <row r="56" spans="1:13" x14ac:dyDescent="0.3">
      <c r="A56" s="249">
        <v>45</v>
      </c>
      <c r="B56" s="260">
        <v>7.88</v>
      </c>
      <c r="C56" s="247">
        <v>2.7894993528429426</v>
      </c>
      <c r="D56" s="260">
        <v>5.09</v>
      </c>
      <c r="E56" s="258"/>
      <c r="F56" s="261">
        <v>381.94</v>
      </c>
      <c r="H56" s="8"/>
      <c r="I56" s="205"/>
      <c r="J56" s="205"/>
      <c r="K56" s="282"/>
      <c r="L56" s="233"/>
      <c r="M56" s="317"/>
    </row>
    <row r="57" spans="1:13" x14ac:dyDescent="0.3">
      <c r="A57" s="249">
        <v>46</v>
      </c>
      <c r="B57" s="260">
        <v>7.85</v>
      </c>
      <c r="C57" s="247">
        <v>2.7527953381231849</v>
      </c>
      <c r="D57" s="260">
        <v>5.09</v>
      </c>
      <c r="E57" s="258"/>
      <c r="F57" s="261">
        <v>376.85</v>
      </c>
      <c r="H57" s="8"/>
      <c r="I57" s="205"/>
      <c r="J57" s="205"/>
      <c r="K57" s="282"/>
      <c r="L57" s="233"/>
      <c r="M57" s="317"/>
    </row>
    <row r="58" spans="1:13" x14ac:dyDescent="0.3">
      <c r="A58" s="249">
        <v>47</v>
      </c>
      <c r="B58" s="260">
        <v>7.81</v>
      </c>
      <c r="C58" s="247">
        <v>2.7160913234034272</v>
      </c>
      <c r="D58" s="260">
        <v>5.09</v>
      </c>
      <c r="E58" s="258"/>
      <c r="F58" s="261">
        <v>371.76</v>
      </c>
      <c r="H58" s="8"/>
      <c r="I58" s="205"/>
      <c r="J58" s="205"/>
      <c r="K58" s="282"/>
      <c r="L58" s="233"/>
      <c r="M58" s="317"/>
    </row>
    <row r="59" spans="1:13" x14ac:dyDescent="0.3">
      <c r="A59" s="249">
        <v>48</v>
      </c>
      <c r="B59" s="260">
        <v>7.77</v>
      </c>
      <c r="C59" s="247">
        <v>2.6793873086836695</v>
      </c>
      <c r="D59" s="260">
        <v>5.09</v>
      </c>
      <c r="E59" s="258"/>
      <c r="F59" s="261">
        <v>366.67</v>
      </c>
      <c r="H59" s="8"/>
      <c r="I59" s="205"/>
      <c r="J59" s="205"/>
      <c r="K59" s="282"/>
      <c r="L59" s="233"/>
      <c r="M59" s="317"/>
    </row>
    <row r="60" spans="1:13" x14ac:dyDescent="0.3">
      <c r="A60" s="249">
        <v>49</v>
      </c>
      <c r="B60" s="260">
        <v>7.74</v>
      </c>
      <c r="C60" s="247">
        <v>2.6426832939639113</v>
      </c>
      <c r="D60" s="260">
        <v>5.09</v>
      </c>
      <c r="E60" s="258"/>
      <c r="F60" s="261">
        <v>361.57</v>
      </c>
      <c r="H60" s="8"/>
      <c r="I60" s="205"/>
      <c r="J60" s="205"/>
      <c r="K60" s="282"/>
      <c r="L60" s="233"/>
      <c r="M60" s="317"/>
    </row>
    <row r="61" spans="1:13" x14ac:dyDescent="0.3">
      <c r="A61" s="249">
        <v>50</v>
      </c>
      <c r="B61" s="260">
        <v>7.7</v>
      </c>
      <c r="C61" s="247">
        <v>2.6059792792441536</v>
      </c>
      <c r="D61" s="260">
        <v>5.09</v>
      </c>
      <c r="E61" s="258"/>
      <c r="F61" s="261">
        <v>356.48</v>
      </c>
      <c r="H61" s="8"/>
      <c r="I61" s="205"/>
      <c r="J61" s="205"/>
      <c r="K61" s="282"/>
      <c r="L61" s="233"/>
      <c r="M61" s="317"/>
    </row>
    <row r="62" spans="1:13" x14ac:dyDescent="0.3">
      <c r="A62" s="249">
        <v>51</v>
      </c>
      <c r="B62" s="260">
        <v>7.66</v>
      </c>
      <c r="C62" s="247">
        <v>2.5692752645243959</v>
      </c>
      <c r="D62" s="260">
        <v>5.09</v>
      </c>
      <c r="E62" s="258"/>
      <c r="F62" s="261">
        <v>351.39</v>
      </c>
      <c r="H62" s="8"/>
      <c r="I62" s="205"/>
      <c r="J62" s="205"/>
      <c r="K62" s="282"/>
      <c r="L62" s="233"/>
      <c r="M62" s="317"/>
    </row>
    <row r="63" spans="1:13" x14ac:dyDescent="0.3">
      <c r="A63" s="249">
        <v>52</v>
      </c>
      <c r="B63" s="260">
        <v>7.63</v>
      </c>
      <c r="C63" s="247">
        <v>2.5325712498046378</v>
      </c>
      <c r="D63" s="260">
        <v>5.09</v>
      </c>
      <c r="E63" s="258"/>
      <c r="F63" s="261">
        <v>346.3</v>
      </c>
      <c r="H63" s="8"/>
      <c r="I63" s="205"/>
      <c r="J63" s="205"/>
      <c r="K63" s="282"/>
      <c r="L63" s="233"/>
      <c r="M63" s="317"/>
    </row>
    <row r="64" spans="1:13" x14ac:dyDescent="0.3">
      <c r="A64" s="249">
        <v>53</v>
      </c>
      <c r="B64" s="260">
        <v>7.59</v>
      </c>
      <c r="C64" s="247">
        <v>2.4958672350848801</v>
      </c>
      <c r="D64" s="260">
        <v>5.09</v>
      </c>
      <c r="E64" s="258"/>
      <c r="F64" s="261">
        <v>341.2</v>
      </c>
      <c r="H64" s="8"/>
      <c r="I64" s="205"/>
      <c r="J64" s="205"/>
      <c r="K64" s="282"/>
      <c r="L64" s="233"/>
      <c r="M64" s="317"/>
    </row>
    <row r="65" spans="1:13" x14ac:dyDescent="0.3">
      <c r="A65" s="249">
        <v>54</v>
      </c>
      <c r="B65" s="260">
        <v>7.55</v>
      </c>
      <c r="C65" s="247">
        <v>2.4591632203651224</v>
      </c>
      <c r="D65" s="260">
        <v>5.09</v>
      </c>
      <c r="E65" s="258"/>
      <c r="F65" s="261">
        <v>336.11</v>
      </c>
      <c r="H65" s="8"/>
      <c r="I65" s="205"/>
      <c r="J65" s="205"/>
      <c r="K65" s="282"/>
      <c r="L65" s="233"/>
      <c r="M65" s="317"/>
    </row>
    <row r="66" spans="1:13" x14ac:dyDescent="0.3">
      <c r="A66" s="249">
        <v>55</v>
      </c>
      <c r="B66" s="260">
        <v>7.52</v>
      </c>
      <c r="C66" s="247">
        <v>2.4224592056453642</v>
      </c>
      <c r="D66" s="260">
        <v>5.09</v>
      </c>
      <c r="E66" s="258"/>
      <c r="F66" s="261">
        <v>331.02</v>
      </c>
      <c r="H66" s="8"/>
      <c r="I66" s="205"/>
      <c r="J66" s="205"/>
      <c r="K66" s="282"/>
      <c r="L66" s="233"/>
      <c r="M66" s="317"/>
    </row>
    <row r="67" spans="1:13" x14ac:dyDescent="0.3">
      <c r="A67" s="249">
        <v>56</v>
      </c>
      <c r="B67" s="260">
        <v>7.48</v>
      </c>
      <c r="C67" s="247">
        <v>2.3857551909256065</v>
      </c>
      <c r="D67" s="260">
        <v>5.09</v>
      </c>
      <c r="E67" s="258"/>
      <c r="F67" s="261">
        <v>325.93</v>
      </c>
      <c r="H67" s="8"/>
      <c r="I67" s="205"/>
      <c r="J67" s="205"/>
      <c r="K67" s="282"/>
      <c r="L67" s="233"/>
      <c r="M67" s="317"/>
    </row>
    <row r="68" spans="1:13" x14ac:dyDescent="0.3">
      <c r="A68" s="249">
        <v>57</v>
      </c>
      <c r="B68" s="260">
        <v>7.44</v>
      </c>
      <c r="C68" s="247">
        <v>2.3490511762058488</v>
      </c>
      <c r="D68" s="260">
        <v>5.09</v>
      </c>
      <c r="E68" s="258"/>
      <c r="F68" s="261">
        <v>320.83</v>
      </c>
      <c r="H68" s="8"/>
      <c r="I68" s="205"/>
      <c r="J68" s="205"/>
      <c r="K68" s="282"/>
      <c r="L68" s="233"/>
      <c r="M68" s="317"/>
    </row>
    <row r="69" spans="1:13" x14ac:dyDescent="0.3">
      <c r="A69" s="249">
        <v>58</v>
      </c>
      <c r="B69" s="260">
        <v>7.4</v>
      </c>
      <c r="C69" s="247">
        <v>2.3123471614860911</v>
      </c>
      <c r="D69" s="260">
        <v>5.09</v>
      </c>
      <c r="E69" s="258"/>
      <c r="F69" s="261">
        <v>315.74</v>
      </c>
      <c r="H69" s="8"/>
      <c r="I69" s="205"/>
      <c r="J69" s="205"/>
      <c r="K69" s="282"/>
      <c r="L69" s="233"/>
      <c r="M69" s="317"/>
    </row>
    <row r="70" spans="1:13" x14ac:dyDescent="0.3">
      <c r="A70" s="249">
        <v>59</v>
      </c>
      <c r="B70" s="260">
        <v>7.37</v>
      </c>
      <c r="C70" s="247">
        <v>2.2756431467663329</v>
      </c>
      <c r="D70" s="260">
        <v>5.09</v>
      </c>
      <c r="E70" s="258"/>
      <c r="F70" s="261">
        <v>310.64999999999998</v>
      </c>
      <c r="H70" s="8"/>
      <c r="I70" s="205"/>
      <c r="J70" s="205"/>
      <c r="K70" s="282"/>
      <c r="L70" s="233"/>
      <c r="M70" s="317"/>
    </row>
    <row r="71" spans="1:13" x14ac:dyDescent="0.3">
      <c r="A71" s="249">
        <v>60</v>
      </c>
      <c r="B71" s="260">
        <v>7.33</v>
      </c>
      <c r="C71" s="247">
        <v>2.2389391320465752</v>
      </c>
      <c r="D71" s="260">
        <v>5.09</v>
      </c>
      <c r="E71" s="258"/>
      <c r="F71" s="261">
        <v>305.56</v>
      </c>
      <c r="H71" s="8"/>
      <c r="I71" s="205"/>
      <c r="J71" s="205"/>
      <c r="K71" s="282"/>
      <c r="L71" s="233"/>
      <c r="M71" s="317"/>
    </row>
    <row r="72" spans="1:13" x14ac:dyDescent="0.3">
      <c r="A72" s="249">
        <v>61</v>
      </c>
      <c r="B72" s="260">
        <v>7.29</v>
      </c>
      <c r="C72" s="247">
        <v>2.2022351173268175</v>
      </c>
      <c r="D72" s="260">
        <v>5.09</v>
      </c>
      <c r="E72" s="258"/>
      <c r="F72" s="261">
        <v>300.45999999999998</v>
      </c>
      <c r="H72" s="8"/>
      <c r="I72" s="205"/>
      <c r="J72" s="205"/>
      <c r="K72" s="282"/>
      <c r="L72" s="233"/>
      <c r="M72" s="317"/>
    </row>
    <row r="73" spans="1:13" x14ac:dyDescent="0.3">
      <c r="A73" s="249">
        <v>62</v>
      </c>
      <c r="B73" s="260">
        <v>7.26</v>
      </c>
      <c r="C73" s="247">
        <v>2.1655311026070594</v>
      </c>
      <c r="D73" s="260">
        <v>5.09</v>
      </c>
      <c r="E73" s="258"/>
      <c r="F73" s="261">
        <v>295.37</v>
      </c>
      <c r="H73" s="8"/>
      <c r="I73" s="205"/>
      <c r="J73" s="205"/>
      <c r="K73" s="282"/>
      <c r="L73" s="233"/>
      <c r="M73" s="317"/>
    </row>
    <row r="74" spans="1:13" x14ac:dyDescent="0.3">
      <c r="A74" s="249">
        <v>63</v>
      </c>
      <c r="B74" s="260">
        <v>7.22</v>
      </c>
      <c r="C74" s="247">
        <v>2.1288270878873017</v>
      </c>
      <c r="D74" s="260">
        <v>5.09</v>
      </c>
      <c r="E74" s="258"/>
      <c r="F74" s="261">
        <v>290.27999999999997</v>
      </c>
      <c r="H74" s="8"/>
      <c r="I74" s="205"/>
      <c r="J74" s="205"/>
      <c r="K74" s="282"/>
      <c r="L74" s="233"/>
      <c r="M74" s="317"/>
    </row>
    <row r="75" spans="1:13" x14ac:dyDescent="0.3">
      <c r="A75" s="249">
        <v>64</v>
      </c>
      <c r="B75" s="260">
        <v>7.18</v>
      </c>
      <c r="C75" s="247">
        <v>2.092123073167544</v>
      </c>
      <c r="D75" s="260">
        <v>5.09</v>
      </c>
      <c r="E75" s="258"/>
      <c r="F75" s="261">
        <v>285.18</v>
      </c>
      <c r="H75" s="8"/>
      <c r="I75" s="205"/>
      <c r="J75" s="205"/>
      <c r="K75" s="282"/>
      <c r="L75" s="233"/>
      <c r="M75" s="317"/>
    </row>
    <row r="76" spans="1:13" x14ac:dyDescent="0.3">
      <c r="A76" s="249">
        <v>65</v>
      </c>
      <c r="B76" s="260">
        <v>7.15</v>
      </c>
      <c r="C76" s="247">
        <v>2.0554190584477858</v>
      </c>
      <c r="D76" s="260">
        <v>5.09</v>
      </c>
      <c r="E76" s="258"/>
      <c r="F76" s="261">
        <v>280.08999999999997</v>
      </c>
      <c r="H76" s="8"/>
      <c r="I76" s="205"/>
      <c r="J76" s="205"/>
      <c r="K76" s="282"/>
      <c r="L76" s="233"/>
      <c r="M76" s="317"/>
    </row>
    <row r="77" spans="1:13" x14ac:dyDescent="0.3">
      <c r="A77" s="249">
        <v>66</v>
      </c>
      <c r="B77" s="260">
        <v>7.11</v>
      </c>
      <c r="C77" s="247">
        <v>2.0187150437280281</v>
      </c>
      <c r="D77" s="260">
        <v>5.09</v>
      </c>
      <c r="E77" s="258"/>
      <c r="F77" s="261">
        <v>275</v>
      </c>
      <c r="H77" s="8"/>
      <c r="I77" s="205"/>
      <c r="J77" s="205"/>
      <c r="K77" s="282"/>
      <c r="L77" s="233"/>
      <c r="M77" s="317"/>
    </row>
    <row r="78" spans="1:13" x14ac:dyDescent="0.3">
      <c r="A78" s="249">
        <v>67</v>
      </c>
      <c r="B78" s="260">
        <v>7.07</v>
      </c>
      <c r="C78" s="247">
        <v>1.9820110290082704</v>
      </c>
      <c r="D78" s="260">
        <v>5.09</v>
      </c>
      <c r="E78" s="258"/>
      <c r="F78" s="261">
        <v>269.91000000000003</v>
      </c>
      <c r="H78" s="8"/>
      <c r="I78" s="205"/>
      <c r="J78" s="205"/>
      <c r="K78" s="282"/>
      <c r="L78" s="233"/>
      <c r="M78" s="317"/>
    </row>
    <row r="79" spans="1:13" x14ac:dyDescent="0.3">
      <c r="A79" s="249">
        <v>68</v>
      </c>
      <c r="B79" s="260">
        <v>7.04</v>
      </c>
      <c r="C79" s="247">
        <v>1.9453070142885125</v>
      </c>
      <c r="D79" s="260">
        <v>5.09</v>
      </c>
      <c r="E79" s="258"/>
      <c r="F79" s="261">
        <v>264.81</v>
      </c>
      <c r="H79" s="8"/>
      <c r="I79" s="205"/>
      <c r="J79" s="205"/>
      <c r="K79" s="282"/>
      <c r="L79" s="233"/>
      <c r="M79" s="317"/>
    </row>
    <row r="80" spans="1:13" x14ac:dyDescent="0.3">
      <c r="A80" s="249">
        <v>69</v>
      </c>
      <c r="B80" s="260">
        <v>7</v>
      </c>
      <c r="C80" s="247">
        <v>1.9086029995687546</v>
      </c>
      <c r="D80" s="260">
        <v>5.09</v>
      </c>
      <c r="E80" s="258"/>
      <c r="F80" s="261">
        <v>259.72000000000003</v>
      </c>
      <c r="H80" s="8"/>
      <c r="I80" s="205"/>
      <c r="J80" s="205"/>
      <c r="K80" s="282"/>
      <c r="L80" s="233"/>
      <c r="M80" s="317"/>
    </row>
    <row r="81" spans="1:13" x14ac:dyDescent="0.3">
      <c r="A81" s="249">
        <v>70</v>
      </c>
      <c r="B81" s="260">
        <v>6.96</v>
      </c>
      <c r="C81" s="247">
        <v>1.8718989848489969</v>
      </c>
      <c r="D81" s="260">
        <v>5.09</v>
      </c>
      <c r="E81" s="258"/>
      <c r="F81" s="261">
        <v>254.63</v>
      </c>
      <c r="H81" s="8"/>
      <c r="I81" s="205"/>
      <c r="J81" s="205"/>
      <c r="K81" s="282"/>
      <c r="L81" s="233"/>
      <c r="M81" s="317"/>
    </row>
    <row r="82" spans="1:13" x14ac:dyDescent="0.3">
      <c r="A82" s="249">
        <v>71</v>
      </c>
      <c r="B82" s="260">
        <v>6.93</v>
      </c>
      <c r="C82" s="247">
        <v>1.8351949701292389</v>
      </c>
      <c r="D82" s="260">
        <v>5.09</v>
      </c>
      <c r="E82" s="258"/>
      <c r="F82" s="261">
        <v>249.54</v>
      </c>
      <c r="H82" s="8"/>
      <c r="I82" s="205"/>
      <c r="J82" s="205"/>
      <c r="K82" s="282"/>
      <c r="L82" s="233"/>
      <c r="M82" s="317"/>
    </row>
    <row r="83" spans="1:13" x14ac:dyDescent="0.3">
      <c r="A83" s="249">
        <v>72</v>
      </c>
      <c r="B83" s="260">
        <v>6.89</v>
      </c>
      <c r="C83" s="247">
        <v>1.7984909554094812</v>
      </c>
      <c r="D83" s="260">
        <v>5.09</v>
      </c>
      <c r="E83" s="258"/>
      <c r="F83" s="261">
        <v>244.44</v>
      </c>
      <c r="H83" s="8"/>
      <c r="I83" s="205"/>
      <c r="J83" s="205"/>
      <c r="K83" s="282"/>
      <c r="L83" s="233"/>
      <c r="M83" s="317"/>
    </row>
    <row r="84" spans="1:13" x14ac:dyDescent="0.3">
      <c r="A84" s="249">
        <v>73</v>
      </c>
      <c r="B84" s="260">
        <v>6.85</v>
      </c>
      <c r="C84" s="247">
        <v>1.7617869406897233</v>
      </c>
      <c r="D84" s="260">
        <v>5.09</v>
      </c>
      <c r="E84" s="258"/>
      <c r="F84" s="261">
        <v>239.35</v>
      </c>
      <c r="H84" s="8"/>
      <c r="I84" s="205"/>
      <c r="J84" s="205"/>
      <c r="K84" s="282"/>
      <c r="L84" s="233"/>
      <c r="M84" s="317"/>
    </row>
    <row r="85" spans="1:13" x14ac:dyDescent="0.3">
      <c r="A85" s="249">
        <v>74</v>
      </c>
      <c r="B85" s="260">
        <v>6.82</v>
      </c>
      <c r="C85" s="247">
        <v>1.7250829259699654</v>
      </c>
      <c r="D85" s="260">
        <v>5.09</v>
      </c>
      <c r="E85" s="258"/>
      <c r="F85" s="261">
        <v>234.26</v>
      </c>
      <c r="H85" s="8"/>
      <c r="I85" s="205"/>
      <c r="J85" s="205"/>
      <c r="K85" s="282"/>
      <c r="L85" s="233"/>
      <c r="M85" s="317"/>
    </row>
    <row r="86" spans="1:13" x14ac:dyDescent="0.3">
      <c r="A86" s="249">
        <v>75</v>
      </c>
      <c r="B86" s="260">
        <v>6.78</v>
      </c>
      <c r="C86" s="247">
        <v>1.6883789112502077</v>
      </c>
      <c r="D86" s="260">
        <v>5.09</v>
      </c>
      <c r="E86" s="258"/>
      <c r="F86" s="261">
        <v>229.17</v>
      </c>
      <c r="H86" s="8"/>
      <c r="I86" s="205"/>
      <c r="J86" s="205"/>
      <c r="K86" s="282"/>
      <c r="L86" s="233"/>
      <c r="M86" s="317"/>
    </row>
    <row r="87" spans="1:13" x14ac:dyDescent="0.3">
      <c r="A87" s="249">
        <v>76</v>
      </c>
      <c r="B87" s="260">
        <v>6.74</v>
      </c>
      <c r="C87" s="247">
        <v>1.6516748965304497</v>
      </c>
      <c r="D87" s="260">
        <v>5.09</v>
      </c>
      <c r="E87" s="258"/>
      <c r="F87" s="261">
        <v>224.07</v>
      </c>
      <c r="H87" s="8"/>
      <c r="I87" s="205"/>
      <c r="J87" s="205"/>
      <c r="K87" s="282"/>
      <c r="L87" s="233"/>
      <c r="M87" s="317"/>
    </row>
    <row r="88" spans="1:13" x14ac:dyDescent="0.3">
      <c r="A88" s="249">
        <v>77</v>
      </c>
      <c r="B88" s="260">
        <v>6.71</v>
      </c>
      <c r="C88" s="247">
        <v>1.614970881810692</v>
      </c>
      <c r="D88" s="260">
        <v>5.09</v>
      </c>
      <c r="E88" s="258"/>
      <c r="F88" s="261">
        <v>218.98</v>
      </c>
      <c r="H88" s="8"/>
      <c r="I88" s="205"/>
      <c r="J88" s="205"/>
      <c r="K88" s="282"/>
      <c r="L88" s="233"/>
      <c r="M88" s="317"/>
    </row>
    <row r="89" spans="1:13" x14ac:dyDescent="0.3">
      <c r="A89" s="249">
        <v>78</v>
      </c>
      <c r="B89" s="260">
        <v>6.67</v>
      </c>
      <c r="C89" s="247">
        <v>1.5782668670909341</v>
      </c>
      <c r="D89" s="260">
        <v>5.09</v>
      </c>
      <c r="E89" s="258"/>
      <c r="F89" s="261">
        <v>213.89</v>
      </c>
      <c r="H89" s="8"/>
      <c r="I89" s="205"/>
      <c r="J89" s="205"/>
      <c r="K89" s="282"/>
      <c r="L89" s="233"/>
      <c r="M89" s="317"/>
    </row>
    <row r="90" spans="1:13" x14ac:dyDescent="0.3">
      <c r="A90" s="249">
        <v>79</v>
      </c>
      <c r="B90" s="260">
        <v>6.63</v>
      </c>
      <c r="C90" s="247">
        <v>1.5415628523711762</v>
      </c>
      <c r="D90" s="260">
        <v>5.09</v>
      </c>
      <c r="E90" s="258"/>
      <c r="F90" s="261">
        <v>208.8</v>
      </c>
      <c r="H90" s="8"/>
      <c r="I90" s="205"/>
      <c r="J90" s="205"/>
      <c r="K90" s="282"/>
      <c r="L90" s="233"/>
      <c r="M90" s="317"/>
    </row>
    <row r="91" spans="1:13" x14ac:dyDescent="0.3">
      <c r="A91" s="249">
        <v>80</v>
      </c>
      <c r="B91" s="260">
        <v>6.6</v>
      </c>
      <c r="C91" s="247">
        <v>1.5048588376514185</v>
      </c>
      <c r="D91" s="260">
        <v>5.09</v>
      </c>
      <c r="E91" s="258"/>
      <c r="F91" s="261">
        <v>203.7</v>
      </c>
      <c r="H91" s="8"/>
      <c r="I91" s="205"/>
      <c r="J91" s="205"/>
      <c r="K91" s="282"/>
      <c r="L91" s="233"/>
      <c r="M91" s="317"/>
    </row>
    <row r="92" spans="1:13" x14ac:dyDescent="0.3">
      <c r="A92" s="249">
        <v>81</v>
      </c>
      <c r="B92" s="260">
        <v>6.56</v>
      </c>
      <c r="C92" s="247">
        <v>1.4681548229316606</v>
      </c>
      <c r="D92" s="260">
        <v>5.09</v>
      </c>
      <c r="E92" s="258"/>
      <c r="F92" s="261">
        <v>198.61</v>
      </c>
      <c r="H92" s="8"/>
      <c r="I92" s="205"/>
      <c r="J92" s="205"/>
      <c r="K92" s="282"/>
      <c r="L92" s="233"/>
      <c r="M92" s="317"/>
    </row>
    <row r="93" spans="1:13" x14ac:dyDescent="0.3">
      <c r="A93" s="249">
        <v>82</v>
      </c>
      <c r="B93" s="260">
        <v>6.52</v>
      </c>
      <c r="C93" s="247">
        <v>1.4314508082119028</v>
      </c>
      <c r="D93" s="260">
        <v>5.09</v>
      </c>
      <c r="E93" s="258"/>
      <c r="F93" s="261">
        <v>193.52</v>
      </c>
      <c r="H93" s="8"/>
      <c r="I93" s="205"/>
      <c r="J93" s="205"/>
      <c r="K93" s="282"/>
      <c r="L93" s="233"/>
      <c r="M93" s="317"/>
    </row>
    <row r="94" spans="1:13" x14ac:dyDescent="0.3">
      <c r="A94" s="249">
        <v>83</v>
      </c>
      <c r="B94" s="260">
        <v>6.49</v>
      </c>
      <c r="C94" s="247">
        <v>1.3947467934921449</v>
      </c>
      <c r="D94" s="260">
        <v>5.09</v>
      </c>
      <c r="E94" s="258"/>
      <c r="F94" s="261">
        <v>188.43</v>
      </c>
      <c r="H94" s="8"/>
      <c r="I94" s="205"/>
      <c r="J94" s="205"/>
      <c r="K94" s="282"/>
      <c r="L94" s="233"/>
      <c r="M94" s="317"/>
    </row>
    <row r="95" spans="1:13" x14ac:dyDescent="0.3">
      <c r="A95" s="249">
        <v>84</v>
      </c>
      <c r="B95" s="260">
        <v>6.45</v>
      </c>
      <c r="C95" s="247">
        <v>1.358042778772387</v>
      </c>
      <c r="D95" s="260">
        <v>5.09</v>
      </c>
      <c r="E95" s="258"/>
      <c r="F95" s="261">
        <v>183.33</v>
      </c>
      <c r="H95" s="8"/>
      <c r="I95" s="205"/>
      <c r="J95" s="205"/>
      <c r="K95" s="282"/>
      <c r="L95" s="233"/>
      <c r="M95" s="317"/>
    </row>
    <row r="96" spans="1:13" x14ac:dyDescent="0.3">
      <c r="A96" s="249">
        <v>85</v>
      </c>
      <c r="B96" s="260">
        <v>6.41</v>
      </c>
      <c r="C96" s="247">
        <v>1.3213387640526293</v>
      </c>
      <c r="D96" s="260">
        <v>5.09</v>
      </c>
      <c r="E96" s="258"/>
      <c r="F96" s="261">
        <v>178.24</v>
      </c>
      <c r="H96" s="8"/>
      <c r="I96" s="205"/>
      <c r="J96" s="205"/>
      <c r="K96" s="282"/>
      <c r="L96" s="233"/>
      <c r="M96" s="317"/>
    </row>
    <row r="97" spans="1:13" x14ac:dyDescent="0.3">
      <c r="A97" s="249">
        <v>86</v>
      </c>
      <c r="B97" s="260">
        <v>6.38</v>
      </c>
      <c r="C97" s="247">
        <v>1.2846347493328714</v>
      </c>
      <c r="D97" s="260">
        <v>5.09</v>
      </c>
      <c r="E97" s="258"/>
      <c r="F97" s="261">
        <v>173.15</v>
      </c>
      <c r="H97" s="8"/>
      <c r="I97" s="205"/>
      <c r="J97" s="205"/>
      <c r="K97" s="282"/>
      <c r="L97" s="233"/>
      <c r="M97" s="317"/>
    </row>
    <row r="98" spans="1:13" x14ac:dyDescent="0.3">
      <c r="A98" s="249">
        <v>87</v>
      </c>
      <c r="B98" s="260">
        <v>6.34</v>
      </c>
      <c r="C98" s="247">
        <v>1.2479307346131137</v>
      </c>
      <c r="D98" s="260">
        <v>5.09</v>
      </c>
      <c r="E98" s="258"/>
      <c r="F98" s="261">
        <v>168.06</v>
      </c>
      <c r="H98" s="8"/>
      <c r="I98" s="205"/>
      <c r="J98" s="205"/>
      <c r="K98" s="282"/>
      <c r="L98" s="233"/>
      <c r="M98" s="317"/>
    </row>
    <row r="99" spans="1:13" x14ac:dyDescent="0.3">
      <c r="A99" s="249">
        <v>88</v>
      </c>
      <c r="B99" s="260">
        <v>6.3</v>
      </c>
      <c r="C99" s="247">
        <v>1.2112267198933557</v>
      </c>
      <c r="D99" s="260">
        <v>5.09</v>
      </c>
      <c r="E99" s="258"/>
      <c r="F99" s="261">
        <v>162.96</v>
      </c>
      <c r="H99" s="8"/>
      <c r="I99" s="205"/>
      <c r="J99" s="205"/>
      <c r="K99" s="282"/>
      <c r="L99" s="233"/>
      <c r="M99" s="317"/>
    </row>
    <row r="100" spans="1:13" x14ac:dyDescent="0.3">
      <c r="A100" s="249">
        <v>89</v>
      </c>
      <c r="B100" s="260">
        <v>6.27</v>
      </c>
      <c r="C100" s="247">
        <v>1.1745227051735978</v>
      </c>
      <c r="D100" s="260">
        <v>5.09</v>
      </c>
      <c r="E100" s="258"/>
      <c r="F100" s="261">
        <v>157.87</v>
      </c>
      <c r="H100" s="8"/>
      <c r="I100" s="205"/>
      <c r="J100" s="205"/>
      <c r="K100" s="282"/>
      <c r="L100" s="233"/>
      <c r="M100" s="317"/>
    </row>
    <row r="101" spans="1:13" x14ac:dyDescent="0.3">
      <c r="A101" s="249">
        <v>90</v>
      </c>
      <c r="B101" s="260">
        <v>6.23</v>
      </c>
      <c r="C101" s="247">
        <v>1.1378186904538401</v>
      </c>
      <c r="D101" s="260">
        <v>5.09</v>
      </c>
      <c r="E101" s="258"/>
      <c r="F101" s="261">
        <v>152.78</v>
      </c>
      <c r="H101" s="8"/>
      <c r="I101" s="205"/>
      <c r="J101" s="205"/>
      <c r="K101" s="282"/>
      <c r="L101" s="233"/>
      <c r="M101" s="317"/>
    </row>
    <row r="102" spans="1:13" x14ac:dyDescent="0.3">
      <c r="A102" s="249">
        <v>91</v>
      </c>
      <c r="B102" s="260">
        <v>6.19</v>
      </c>
      <c r="C102" s="247">
        <v>1.1011146757340822</v>
      </c>
      <c r="D102" s="260">
        <v>5.09</v>
      </c>
      <c r="E102" s="258"/>
      <c r="F102" s="261">
        <v>147.68</v>
      </c>
      <c r="H102" s="8"/>
      <c r="I102" s="205"/>
      <c r="J102" s="205"/>
      <c r="K102" s="282"/>
      <c r="L102" s="233"/>
      <c r="M102" s="317"/>
    </row>
    <row r="103" spans="1:13" x14ac:dyDescent="0.3">
      <c r="A103" s="249">
        <v>92</v>
      </c>
      <c r="B103" s="260">
        <v>6.16</v>
      </c>
      <c r="C103" s="247">
        <v>1.0644106610143245</v>
      </c>
      <c r="D103" s="260">
        <v>5.09</v>
      </c>
      <c r="E103" s="258"/>
      <c r="F103" s="261">
        <v>142.59</v>
      </c>
      <c r="H103" s="8"/>
      <c r="I103" s="205"/>
      <c r="J103" s="205"/>
      <c r="K103" s="282"/>
      <c r="L103" s="233"/>
      <c r="M103" s="317"/>
    </row>
    <row r="104" spans="1:13" x14ac:dyDescent="0.3">
      <c r="A104" s="249">
        <v>93</v>
      </c>
      <c r="B104" s="260">
        <v>6.12</v>
      </c>
      <c r="C104" s="247">
        <v>1.0277066462945665</v>
      </c>
      <c r="D104" s="260">
        <v>5.09</v>
      </c>
      <c r="E104" s="258"/>
      <c r="F104" s="261">
        <v>137.5</v>
      </c>
      <c r="H104" s="8"/>
      <c r="I104" s="205"/>
      <c r="J104" s="205"/>
      <c r="K104" s="282"/>
      <c r="L104" s="233"/>
      <c r="M104" s="317"/>
    </row>
    <row r="105" spans="1:13" x14ac:dyDescent="0.3">
      <c r="A105" s="249">
        <v>94</v>
      </c>
      <c r="B105" s="260">
        <v>6.08</v>
      </c>
      <c r="C105" s="247">
        <v>0.99100263157480872</v>
      </c>
      <c r="D105" s="260">
        <v>5.09</v>
      </c>
      <c r="E105" s="258"/>
      <c r="F105" s="261">
        <v>132.41</v>
      </c>
      <c r="H105" s="8"/>
      <c r="I105" s="205"/>
      <c r="J105" s="205"/>
      <c r="K105" s="282"/>
      <c r="L105" s="233"/>
      <c r="M105" s="317"/>
    </row>
    <row r="106" spans="1:13" x14ac:dyDescent="0.3">
      <c r="A106" s="249">
        <v>95</v>
      </c>
      <c r="B106" s="260">
        <v>6.05</v>
      </c>
      <c r="C106" s="247">
        <v>0.95429861685505091</v>
      </c>
      <c r="D106" s="260">
        <v>5.09</v>
      </c>
      <c r="E106" s="258"/>
      <c r="F106" s="261">
        <v>127.31</v>
      </c>
      <c r="H106" s="8"/>
      <c r="I106" s="205"/>
      <c r="J106" s="205"/>
      <c r="K106" s="282"/>
      <c r="L106" s="233"/>
      <c r="M106" s="317"/>
    </row>
    <row r="107" spans="1:13" x14ac:dyDescent="0.3">
      <c r="A107" s="249">
        <v>96</v>
      </c>
      <c r="B107" s="260">
        <v>6.01</v>
      </c>
      <c r="C107" s="247">
        <v>0.91759460213529309</v>
      </c>
      <c r="D107" s="260">
        <v>5.09</v>
      </c>
      <c r="E107" s="258"/>
      <c r="F107" s="261">
        <v>122.22</v>
      </c>
      <c r="H107" s="8"/>
      <c r="I107" s="205"/>
      <c r="J107" s="205"/>
      <c r="K107" s="282"/>
      <c r="L107" s="233"/>
      <c r="M107" s="317"/>
    </row>
    <row r="108" spans="1:13" x14ac:dyDescent="0.3">
      <c r="A108" s="249">
        <v>97</v>
      </c>
      <c r="B108" s="260">
        <v>5.97</v>
      </c>
      <c r="C108" s="247">
        <v>0.88089058741553516</v>
      </c>
      <c r="D108" s="260">
        <v>5.09</v>
      </c>
      <c r="E108" s="258"/>
      <c r="F108" s="261">
        <v>117.13</v>
      </c>
      <c r="H108" s="8"/>
      <c r="I108" s="205"/>
      <c r="J108" s="205"/>
      <c r="K108" s="282"/>
      <c r="L108" s="233"/>
      <c r="M108" s="317"/>
    </row>
    <row r="109" spans="1:13" x14ac:dyDescent="0.3">
      <c r="A109" s="249">
        <v>98</v>
      </c>
      <c r="B109" s="260">
        <v>5.94</v>
      </c>
      <c r="C109" s="247">
        <v>0.84418657269577735</v>
      </c>
      <c r="D109" s="260">
        <v>5.09</v>
      </c>
      <c r="E109" s="258"/>
      <c r="F109" s="261">
        <v>112.04</v>
      </c>
      <c r="H109" s="8"/>
      <c r="I109" s="205"/>
      <c r="J109" s="205"/>
      <c r="K109" s="282"/>
      <c r="L109" s="233"/>
      <c r="M109" s="317"/>
    </row>
    <row r="110" spans="1:13" x14ac:dyDescent="0.3">
      <c r="A110" s="249">
        <v>99</v>
      </c>
      <c r="B110" s="260">
        <v>5.9</v>
      </c>
      <c r="C110" s="247">
        <v>0.80748255797601953</v>
      </c>
      <c r="D110" s="260">
        <v>5.09</v>
      </c>
      <c r="E110" s="258"/>
      <c r="F110" s="261">
        <v>106.94</v>
      </c>
      <c r="H110" s="8"/>
      <c r="I110" s="205"/>
      <c r="J110" s="205"/>
      <c r="K110" s="282"/>
      <c r="L110" s="233"/>
      <c r="M110" s="317"/>
    </row>
    <row r="111" spans="1:13" x14ac:dyDescent="0.3">
      <c r="A111" s="249">
        <v>100</v>
      </c>
      <c r="B111" s="260">
        <v>5.86</v>
      </c>
      <c r="C111" s="247">
        <v>0.77077854325626172</v>
      </c>
      <c r="D111" s="260">
        <v>5.09</v>
      </c>
      <c r="E111" s="258"/>
      <c r="F111" s="261">
        <v>101.85</v>
      </c>
      <c r="H111" s="8"/>
      <c r="I111" s="205"/>
      <c r="J111" s="205"/>
      <c r="K111" s="282"/>
      <c r="L111" s="233"/>
      <c r="M111" s="317"/>
    </row>
    <row r="112" spans="1:13" x14ac:dyDescent="0.3">
      <c r="A112" s="249">
        <v>101</v>
      </c>
      <c r="B112" s="260">
        <v>5.83</v>
      </c>
      <c r="C112" s="247">
        <v>0.7340745285365039</v>
      </c>
      <c r="D112" s="260">
        <v>5.09</v>
      </c>
      <c r="E112" s="258"/>
      <c r="F112" s="261">
        <v>96.76</v>
      </c>
      <c r="H112" s="8"/>
      <c r="I112" s="205"/>
      <c r="J112" s="205"/>
      <c r="K112" s="282"/>
      <c r="L112" s="233"/>
      <c r="M112" s="317"/>
    </row>
    <row r="113" spans="1:13" x14ac:dyDescent="0.3">
      <c r="A113" s="249">
        <v>102</v>
      </c>
      <c r="B113" s="260">
        <v>5.79</v>
      </c>
      <c r="C113" s="247">
        <v>0.69737051381674597</v>
      </c>
      <c r="D113" s="260">
        <v>5.09</v>
      </c>
      <c r="E113" s="258"/>
      <c r="F113" s="261">
        <v>91.67</v>
      </c>
      <c r="H113" s="8"/>
      <c r="I113" s="205"/>
      <c r="J113" s="205"/>
      <c r="K113" s="282"/>
      <c r="L113" s="233"/>
      <c r="M113" s="317"/>
    </row>
    <row r="114" spans="1:13" x14ac:dyDescent="0.3">
      <c r="A114" s="249">
        <v>103</v>
      </c>
      <c r="B114" s="260">
        <v>5.75</v>
      </c>
      <c r="C114" s="247">
        <v>0.66066649909698816</v>
      </c>
      <c r="D114" s="260">
        <v>5.09</v>
      </c>
      <c r="E114" s="258"/>
      <c r="F114" s="261">
        <v>86.57</v>
      </c>
      <c r="H114" s="8"/>
      <c r="I114" s="205"/>
      <c r="J114" s="205"/>
      <c r="K114" s="282"/>
      <c r="L114" s="233"/>
      <c r="M114" s="317"/>
    </row>
    <row r="115" spans="1:13" x14ac:dyDescent="0.3">
      <c r="A115" s="249">
        <v>104</v>
      </c>
      <c r="B115" s="260">
        <v>5.72</v>
      </c>
      <c r="C115" s="247">
        <v>0.62396248437723034</v>
      </c>
      <c r="D115" s="260">
        <v>5.09</v>
      </c>
      <c r="E115" s="258"/>
      <c r="F115" s="261">
        <v>81.48</v>
      </c>
      <c r="H115" s="8"/>
      <c r="I115" s="205"/>
      <c r="J115" s="205"/>
      <c r="K115" s="282"/>
      <c r="L115" s="233"/>
      <c r="M115" s="317"/>
    </row>
    <row r="116" spans="1:13" x14ac:dyDescent="0.3">
      <c r="A116" s="249">
        <v>105</v>
      </c>
      <c r="B116" s="260">
        <v>5.68</v>
      </c>
      <c r="C116" s="247">
        <v>0.58725846965747253</v>
      </c>
      <c r="D116" s="260">
        <v>5.09</v>
      </c>
      <c r="E116" s="258"/>
      <c r="F116" s="261">
        <v>76.39</v>
      </c>
      <c r="H116" s="8"/>
      <c r="I116" s="205"/>
      <c r="J116" s="205"/>
      <c r="K116" s="282"/>
      <c r="L116" s="233"/>
      <c r="M116" s="317"/>
    </row>
    <row r="117" spans="1:13" x14ac:dyDescent="0.3">
      <c r="A117" s="249">
        <v>106</v>
      </c>
      <c r="B117" s="260">
        <v>5.64</v>
      </c>
      <c r="C117" s="247">
        <v>0.55055445493771471</v>
      </c>
      <c r="D117" s="260">
        <v>5.09</v>
      </c>
      <c r="E117" s="258"/>
      <c r="F117" s="261">
        <v>71.3</v>
      </c>
      <c r="H117" s="8"/>
      <c r="I117" s="205"/>
      <c r="J117" s="205"/>
      <c r="K117" s="282"/>
      <c r="L117" s="233"/>
      <c r="M117" s="317"/>
    </row>
    <row r="118" spans="1:13" x14ac:dyDescent="0.3">
      <c r="A118" s="249">
        <v>107</v>
      </c>
      <c r="B118" s="260">
        <v>5.61</v>
      </c>
      <c r="C118" s="247">
        <v>0.51385044021795678</v>
      </c>
      <c r="D118" s="260">
        <v>5.09</v>
      </c>
      <c r="E118" s="258"/>
      <c r="F118" s="261">
        <v>66.2</v>
      </c>
      <c r="H118" s="8"/>
      <c r="I118" s="205"/>
      <c r="J118" s="205"/>
      <c r="K118" s="282"/>
      <c r="L118" s="233"/>
      <c r="M118" s="317"/>
    </row>
    <row r="119" spans="1:13" x14ac:dyDescent="0.3">
      <c r="A119" s="249">
        <v>108</v>
      </c>
      <c r="B119" s="260">
        <v>5.57</v>
      </c>
      <c r="C119" s="247">
        <v>0.47714642549819897</v>
      </c>
      <c r="D119" s="260">
        <v>5.09</v>
      </c>
      <c r="E119" s="258"/>
      <c r="F119" s="261">
        <v>61.11</v>
      </c>
      <c r="H119" s="8"/>
      <c r="I119" s="205"/>
      <c r="J119" s="205"/>
      <c r="K119" s="282"/>
      <c r="L119" s="233"/>
      <c r="M119" s="317"/>
    </row>
    <row r="120" spans="1:13" x14ac:dyDescent="0.3">
      <c r="A120" s="249">
        <v>109</v>
      </c>
      <c r="B120" s="260">
        <v>5.53</v>
      </c>
      <c r="C120" s="247">
        <v>0.44044241077844115</v>
      </c>
      <c r="D120" s="260">
        <v>5.09</v>
      </c>
      <c r="E120" s="258"/>
      <c r="F120" s="261">
        <v>56.02</v>
      </c>
      <c r="H120" s="8"/>
      <c r="I120" s="205"/>
      <c r="J120" s="205"/>
      <c r="K120" s="282"/>
      <c r="L120" s="233"/>
      <c r="M120" s="317"/>
    </row>
    <row r="121" spans="1:13" x14ac:dyDescent="0.3">
      <c r="A121" s="249">
        <v>110</v>
      </c>
      <c r="B121" s="260">
        <v>5.5</v>
      </c>
      <c r="C121" s="247">
        <v>0.40373839605868334</v>
      </c>
      <c r="D121" s="260">
        <v>5.09</v>
      </c>
      <c r="E121" s="258"/>
      <c r="F121" s="261">
        <v>50.93</v>
      </c>
      <c r="H121" s="8"/>
      <c r="I121" s="205"/>
      <c r="J121" s="205"/>
      <c r="K121" s="282"/>
      <c r="L121" s="233"/>
      <c r="M121" s="317"/>
    </row>
    <row r="122" spans="1:13" x14ac:dyDescent="0.3">
      <c r="A122" s="249">
        <v>111</v>
      </c>
      <c r="B122" s="260">
        <v>5.46</v>
      </c>
      <c r="C122" s="247">
        <v>0.36703438133892546</v>
      </c>
      <c r="D122" s="260">
        <v>5.09</v>
      </c>
      <c r="E122" s="258"/>
      <c r="F122" s="261">
        <v>45.83</v>
      </c>
      <c r="H122" s="8"/>
      <c r="I122" s="205"/>
      <c r="J122" s="205"/>
      <c r="K122" s="282"/>
      <c r="L122" s="233"/>
      <c r="M122" s="317"/>
    </row>
    <row r="123" spans="1:13" x14ac:dyDescent="0.3">
      <c r="A123" s="249">
        <v>112</v>
      </c>
      <c r="B123" s="260">
        <v>5.42</v>
      </c>
      <c r="C123" s="247">
        <v>0.33033036661916765</v>
      </c>
      <c r="D123" s="260">
        <v>5.09</v>
      </c>
      <c r="E123" s="258"/>
      <c r="F123" s="261">
        <v>40.74</v>
      </c>
      <c r="H123" s="8"/>
      <c r="I123" s="205"/>
      <c r="J123" s="205"/>
      <c r="K123" s="282"/>
      <c r="L123" s="233"/>
      <c r="M123" s="317"/>
    </row>
    <row r="124" spans="1:13" x14ac:dyDescent="0.3">
      <c r="A124" s="249">
        <v>113</v>
      </c>
      <c r="B124" s="260">
        <v>5.39</v>
      </c>
      <c r="C124" s="247">
        <v>0.29362635189940978</v>
      </c>
      <c r="D124" s="260">
        <v>5.09</v>
      </c>
      <c r="E124" s="258"/>
      <c r="F124" s="261">
        <v>35.65</v>
      </c>
      <c r="H124" s="8"/>
      <c r="I124" s="205"/>
      <c r="J124" s="205"/>
      <c r="K124" s="282"/>
      <c r="L124" s="233"/>
      <c r="M124" s="317"/>
    </row>
    <row r="125" spans="1:13" x14ac:dyDescent="0.3">
      <c r="A125" s="249">
        <v>114</v>
      </c>
      <c r="B125" s="260">
        <v>5.35</v>
      </c>
      <c r="C125" s="247">
        <v>0.25692233717965196</v>
      </c>
      <c r="D125" s="260">
        <v>5.09</v>
      </c>
      <c r="E125" s="258"/>
      <c r="F125" s="261">
        <v>30.55</v>
      </c>
      <c r="H125" s="8"/>
      <c r="I125" s="205"/>
      <c r="J125" s="205"/>
      <c r="K125" s="282"/>
      <c r="L125" s="233"/>
      <c r="M125" s="317"/>
    </row>
    <row r="126" spans="1:13" x14ac:dyDescent="0.3">
      <c r="A126" s="249">
        <v>115</v>
      </c>
      <c r="B126" s="260">
        <v>5.31</v>
      </c>
      <c r="C126" s="247">
        <v>0.22021832245989412</v>
      </c>
      <c r="D126" s="260">
        <v>5.09</v>
      </c>
      <c r="E126" s="258"/>
      <c r="F126" s="261">
        <v>25.46</v>
      </c>
      <c r="H126" s="8"/>
      <c r="I126" s="205"/>
      <c r="J126" s="205"/>
      <c r="K126" s="282"/>
      <c r="L126" s="233"/>
      <c r="M126" s="317"/>
    </row>
    <row r="127" spans="1:13" x14ac:dyDescent="0.3">
      <c r="A127" s="249">
        <v>116</v>
      </c>
      <c r="B127" s="260">
        <v>5.28</v>
      </c>
      <c r="C127" s="247">
        <v>0.18351430774013627</v>
      </c>
      <c r="D127" s="260">
        <v>5.09</v>
      </c>
      <c r="E127" s="258"/>
      <c r="F127" s="261">
        <v>20.37</v>
      </c>
      <c r="H127" s="8"/>
      <c r="I127" s="205"/>
      <c r="J127" s="205"/>
      <c r="K127" s="282"/>
      <c r="L127" s="233"/>
      <c r="M127" s="317"/>
    </row>
    <row r="128" spans="1:13" x14ac:dyDescent="0.3">
      <c r="A128" s="249">
        <v>117</v>
      </c>
      <c r="B128" s="260">
        <v>5.24</v>
      </c>
      <c r="C128" s="247">
        <v>0.14681029302037843</v>
      </c>
      <c r="D128" s="260">
        <v>5.09</v>
      </c>
      <c r="E128" s="258"/>
      <c r="F128" s="261">
        <v>15.28</v>
      </c>
      <c r="H128" s="8"/>
      <c r="I128" s="205"/>
      <c r="J128" s="205"/>
      <c r="K128" s="282"/>
      <c r="L128" s="233"/>
      <c r="M128" s="317"/>
    </row>
    <row r="129" spans="1:13" x14ac:dyDescent="0.3">
      <c r="A129" s="249">
        <v>118</v>
      </c>
      <c r="B129" s="260">
        <v>5.2</v>
      </c>
      <c r="C129" s="247">
        <v>0.1101062783006206</v>
      </c>
      <c r="D129" s="260">
        <v>5.09</v>
      </c>
      <c r="E129" s="258"/>
      <c r="F129" s="261">
        <v>10.18</v>
      </c>
      <c r="H129" s="8"/>
      <c r="I129" s="205"/>
      <c r="J129" s="205"/>
      <c r="K129" s="282"/>
      <c r="L129" s="233"/>
      <c r="M129" s="317"/>
    </row>
    <row r="130" spans="1:13" x14ac:dyDescent="0.3">
      <c r="A130" s="249">
        <v>119</v>
      </c>
      <c r="B130" s="260">
        <v>5.17</v>
      </c>
      <c r="C130" s="247">
        <v>7.340226358086277E-2</v>
      </c>
      <c r="D130" s="260">
        <v>5.09</v>
      </c>
      <c r="E130" s="258"/>
      <c r="F130" s="261">
        <v>5.09</v>
      </c>
      <c r="H130" s="8"/>
      <c r="I130" s="205"/>
      <c r="J130" s="205"/>
      <c r="K130" s="282"/>
      <c r="L130" s="233"/>
      <c r="M130" s="317"/>
    </row>
    <row r="131" spans="1:13" x14ac:dyDescent="0.3">
      <c r="A131" s="249">
        <v>120</v>
      </c>
      <c r="B131" s="260">
        <v>5.13</v>
      </c>
      <c r="C131" s="247">
        <v>3.6698248861104926E-2</v>
      </c>
      <c r="D131" s="260">
        <v>5.09</v>
      </c>
      <c r="E131" s="258"/>
      <c r="F131" s="261">
        <v>0</v>
      </c>
      <c r="H131" s="8"/>
      <c r="I131" s="205"/>
      <c r="J131" s="205"/>
      <c r="K131" s="282"/>
      <c r="L131" s="233"/>
      <c r="M131" s="317"/>
    </row>
    <row r="132" spans="1:13" x14ac:dyDescent="0.3">
      <c r="A132" s="8"/>
      <c r="B132" s="262"/>
      <c r="C132" s="10"/>
      <c r="D132" s="262"/>
      <c r="E132" s="205"/>
      <c r="F132" s="263"/>
      <c r="H132" s="8"/>
      <c r="I132" s="205"/>
      <c r="J132" s="205"/>
      <c r="K132" s="282"/>
      <c r="L132" s="233"/>
      <c r="M132" s="317"/>
    </row>
    <row r="133" spans="1:13" x14ac:dyDescent="0.3">
      <c r="A133" s="8"/>
      <c r="B133" s="262"/>
      <c r="C133" s="10"/>
      <c r="D133" s="262"/>
      <c r="E133" s="205"/>
      <c r="F133" s="263"/>
      <c r="H133" s="8"/>
      <c r="I133" s="205"/>
      <c r="J133" s="205"/>
      <c r="K133" s="282"/>
      <c r="L133" s="233"/>
      <c r="M133" s="317"/>
    </row>
    <row r="134" spans="1:13" x14ac:dyDescent="0.3">
      <c r="A134" s="8"/>
      <c r="B134" s="262"/>
      <c r="C134" s="10"/>
      <c r="D134" s="262"/>
      <c r="E134" s="205"/>
      <c r="F134" s="263"/>
      <c r="H134" s="8"/>
      <c r="I134" s="205"/>
      <c r="J134" s="205"/>
      <c r="K134" s="282"/>
      <c r="L134" s="233"/>
      <c r="M134" s="317"/>
    </row>
    <row r="135" spans="1:13" x14ac:dyDescent="0.3">
      <c r="A135" s="8"/>
      <c r="B135" s="262"/>
      <c r="C135" s="10"/>
      <c r="D135" s="262"/>
      <c r="E135" s="205"/>
      <c r="F135" s="263"/>
      <c r="H135" s="8"/>
      <c r="I135" s="205"/>
      <c r="J135" s="205"/>
      <c r="K135" s="282"/>
      <c r="L135" s="233"/>
      <c r="M135" s="317"/>
    </row>
    <row r="136" spans="1:13" x14ac:dyDescent="0.3">
      <c r="A136" s="8"/>
      <c r="B136" s="262"/>
      <c r="C136" s="10"/>
      <c r="D136" s="262"/>
      <c r="E136" s="205"/>
      <c r="F136" s="263"/>
      <c r="H136" s="8"/>
      <c r="I136" s="205"/>
      <c r="J136" s="205"/>
      <c r="K136" s="282"/>
      <c r="L136" s="233"/>
      <c r="M136" s="317"/>
    </row>
    <row r="137" spans="1:13" x14ac:dyDescent="0.3">
      <c r="A137" s="8"/>
      <c r="B137" s="262"/>
      <c r="C137" s="10"/>
      <c r="D137" s="262"/>
      <c r="E137" s="205"/>
      <c r="F137" s="263"/>
      <c r="H137" s="8"/>
      <c r="I137" s="205"/>
      <c r="J137" s="205"/>
      <c r="K137" s="282"/>
      <c r="L137" s="233"/>
      <c r="M137" s="317"/>
    </row>
    <row r="138" spans="1:13" x14ac:dyDescent="0.3">
      <c r="A138" s="8"/>
      <c r="B138" s="262"/>
      <c r="C138" s="10"/>
      <c r="D138" s="262"/>
      <c r="E138" s="205"/>
      <c r="F138" s="263"/>
      <c r="H138" s="8"/>
      <c r="I138" s="205"/>
      <c r="J138" s="205"/>
      <c r="K138" s="282"/>
      <c r="L138" s="233"/>
      <c r="M138" s="317"/>
    </row>
    <row r="139" spans="1:13" x14ac:dyDescent="0.3">
      <c r="A139" s="8"/>
      <c r="B139" s="262"/>
      <c r="C139" s="10"/>
      <c r="D139" s="262"/>
      <c r="E139" s="205"/>
      <c r="F139" s="263"/>
      <c r="H139" s="8"/>
      <c r="I139" s="205"/>
      <c r="J139" s="205"/>
      <c r="K139" s="282"/>
      <c r="L139" s="233"/>
      <c r="M139" s="317"/>
    </row>
    <row r="140" spans="1:13" x14ac:dyDescent="0.3">
      <c r="A140" s="8"/>
      <c r="B140" s="262"/>
      <c r="C140" s="10"/>
      <c r="D140" s="262"/>
      <c r="E140" s="205"/>
      <c r="F140" s="263"/>
      <c r="H140" s="8"/>
      <c r="I140" s="205"/>
      <c r="J140" s="205"/>
      <c r="K140" s="282"/>
      <c r="L140" s="233"/>
      <c r="M140" s="317"/>
    </row>
    <row r="141" spans="1:13" x14ac:dyDescent="0.3">
      <c r="A141" s="8"/>
      <c r="B141" s="262"/>
      <c r="C141" s="10"/>
      <c r="D141" s="262"/>
      <c r="E141" s="205"/>
      <c r="F141" s="263"/>
      <c r="H141" s="8"/>
      <c r="I141" s="205"/>
      <c r="J141" s="205"/>
      <c r="K141" s="282"/>
      <c r="L141" s="233"/>
      <c r="M141" s="317"/>
    </row>
    <row r="142" spans="1:13" x14ac:dyDescent="0.3">
      <c r="A142" s="8"/>
      <c r="B142" s="262"/>
      <c r="C142" s="10"/>
      <c r="D142" s="262"/>
      <c r="E142" s="205"/>
      <c r="F142" s="263"/>
      <c r="H142" s="8"/>
      <c r="I142" s="205"/>
      <c r="J142" s="205"/>
      <c r="K142" s="282"/>
      <c r="L142" s="233"/>
      <c r="M142" s="317"/>
    </row>
    <row r="143" spans="1:13" x14ac:dyDescent="0.3">
      <c r="A143" s="8"/>
      <c r="B143" s="262"/>
      <c r="C143" s="10"/>
      <c r="D143" s="262"/>
      <c r="E143" s="205"/>
      <c r="F143" s="263"/>
      <c r="H143" s="8"/>
      <c r="I143" s="205"/>
      <c r="J143" s="205"/>
      <c r="K143" s="282"/>
      <c r="L143" s="233"/>
      <c r="M143" s="317"/>
    </row>
    <row r="144" spans="1:13" x14ac:dyDescent="0.3">
      <c r="A144" s="8"/>
      <c r="B144" s="262"/>
      <c r="C144" s="10"/>
      <c r="D144" s="262"/>
      <c r="E144" s="205"/>
      <c r="F144" s="263"/>
      <c r="H144" s="8"/>
      <c r="I144" s="205"/>
      <c r="J144" s="205"/>
      <c r="K144" s="282"/>
      <c r="L144" s="233"/>
      <c r="M144" s="317"/>
    </row>
    <row r="145" spans="1:13" x14ac:dyDescent="0.3">
      <c r="A145" s="8"/>
      <c r="B145" s="262"/>
      <c r="C145" s="10"/>
      <c r="D145" s="262"/>
      <c r="E145" s="205"/>
      <c r="F145" s="263"/>
      <c r="H145" s="8"/>
      <c r="I145" s="205"/>
      <c r="J145" s="205"/>
      <c r="K145" s="282"/>
      <c r="L145" s="233"/>
      <c r="M145" s="317"/>
    </row>
    <row r="146" spans="1:13" x14ac:dyDescent="0.3">
      <c r="A146" s="8"/>
      <c r="B146" s="262"/>
      <c r="C146" s="10"/>
      <c r="D146" s="262"/>
      <c r="E146" s="205"/>
      <c r="F146" s="263"/>
      <c r="H146" s="8"/>
      <c r="I146" s="205"/>
      <c r="J146" s="205"/>
      <c r="K146" s="282"/>
      <c r="L146" s="233"/>
      <c r="M146" s="317"/>
    </row>
    <row r="147" spans="1:13" x14ac:dyDescent="0.3">
      <c r="A147" s="8"/>
      <c r="B147" s="262"/>
      <c r="C147" s="10"/>
      <c r="D147" s="262"/>
      <c r="E147" s="205"/>
      <c r="F147" s="263"/>
      <c r="H147" s="8"/>
      <c r="I147" s="205"/>
      <c r="J147" s="205"/>
      <c r="K147" s="282"/>
      <c r="L147" s="233"/>
      <c r="M147" s="317"/>
    </row>
    <row r="148" spans="1:13" x14ac:dyDescent="0.3">
      <c r="A148" s="8"/>
      <c r="B148" s="262"/>
      <c r="C148" s="10"/>
      <c r="D148" s="262"/>
      <c r="E148" s="205"/>
      <c r="F148" s="263"/>
      <c r="H148" s="8"/>
      <c r="I148" s="205"/>
      <c r="J148" s="205"/>
      <c r="K148" s="282"/>
      <c r="L148" s="233"/>
      <c r="M148" s="317"/>
    </row>
    <row r="149" spans="1:13" x14ac:dyDescent="0.3">
      <c r="A149" s="8"/>
      <c r="B149" s="262"/>
      <c r="C149" s="10"/>
      <c r="D149" s="262"/>
      <c r="E149" s="205"/>
      <c r="F149" s="263"/>
      <c r="H149" s="8"/>
      <c r="I149" s="205"/>
      <c r="J149" s="205"/>
      <c r="K149" s="282"/>
      <c r="L149" s="233"/>
      <c r="M149" s="317"/>
    </row>
    <row r="150" spans="1:13" x14ac:dyDescent="0.3">
      <c r="A150" s="8"/>
      <c r="B150" s="262"/>
      <c r="C150" s="10"/>
      <c r="D150" s="262"/>
      <c r="E150" s="205"/>
      <c r="F150" s="263"/>
      <c r="H150" s="8"/>
      <c r="I150" s="205"/>
      <c r="J150" s="205"/>
      <c r="K150" s="282"/>
      <c r="L150" s="233"/>
      <c r="M150" s="317"/>
    </row>
    <row r="151" spans="1:13" x14ac:dyDescent="0.3">
      <c r="A151" s="8"/>
      <c r="B151" s="262"/>
      <c r="C151" s="10"/>
      <c r="D151" s="262"/>
      <c r="E151" s="205"/>
      <c r="F151" s="263"/>
      <c r="H151" s="8"/>
      <c r="I151" s="205"/>
      <c r="J151" s="205"/>
      <c r="K151" s="282"/>
      <c r="L151" s="233"/>
      <c r="M151" s="317"/>
    </row>
    <row r="152" spans="1:13" x14ac:dyDescent="0.3">
      <c r="A152" s="8"/>
      <c r="B152" s="262"/>
      <c r="C152" s="10"/>
      <c r="D152" s="262"/>
      <c r="E152" s="205"/>
      <c r="F152" s="263"/>
      <c r="H152" s="8"/>
      <c r="I152" s="205"/>
      <c r="J152" s="205"/>
      <c r="K152" s="282"/>
      <c r="L152" s="233"/>
      <c r="M152" s="317"/>
    </row>
    <row r="153" spans="1:13" x14ac:dyDescent="0.3">
      <c r="A153" s="8"/>
      <c r="B153" s="262"/>
      <c r="C153" s="10"/>
      <c r="D153" s="262"/>
      <c r="E153" s="205"/>
      <c r="F153" s="263"/>
      <c r="H153" s="8"/>
      <c r="I153" s="205"/>
      <c r="J153" s="205"/>
      <c r="K153" s="282"/>
      <c r="L153" s="233"/>
      <c r="M153" s="317"/>
    </row>
    <row r="154" spans="1:13" x14ac:dyDescent="0.3">
      <c r="A154" s="8"/>
      <c r="B154" s="262"/>
      <c r="C154" s="10"/>
      <c r="D154" s="262"/>
      <c r="E154" s="205"/>
      <c r="F154" s="263"/>
      <c r="H154" s="8"/>
      <c r="I154" s="205"/>
      <c r="J154" s="205"/>
      <c r="K154" s="282"/>
      <c r="L154" s="233"/>
      <c r="M154" s="317"/>
    </row>
    <row r="155" spans="1:13" x14ac:dyDescent="0.3">
      <c r="A155" s="8"/>
      <c r="B155" s="262"/>
      <c r="C155" s="10"/>
      <c r="D155" s="262"/>
      <c r="E155" s="205"/>
      <c r="F155" s="263"/>
      <c r="H155" s="8"/>
      <c r="I155" s="205"/>
      <c r="J155" s="205"/>
      <c r="K155" s="282"/>
      <c r="L155" s="233"/>
      <c r="M155" s="317"/>
    </row>
    <row r="156" spans="1:13" x14ac:dyDescent="0.3">
      <c r="A156" s="8"/>
      <c r="B156" s="262"/>
      <c r="C156" s="10"/>
      <c r="D156" s="262"/>
      <c r="E156" s="205"/>
      <c r="F156" s="263"/>
      <c r="H156" s="8"/>
      <c r="I156" s="205"/>
      <c r="J156" s="205"/>
      <c r="K156" s="282"/>
      <c r="L156" s="233"/>
      <c r="M156" s="317"/>
    </row>
    <row r="157" spans="1:13" x14ac:dyDescent="0.3">
      <c r="A157" s="8"/>
      <c r="B157" s="262"/>
      <c r="C157" s="10"/>
      <c r="D157" s="262"/>
      <c r="E157" s="205"/>
      <c r="F157" s="263"/>
      <c r="H157" s="8"/>
      <c r="I157" s="205"/>
      <c r="J157" s="205"/>
      <c r="K157" s="282"/>
      <c r="L157" s="233"/>
      <c r="M157" s="317"/>
    </row>
    <row r="158" spans="1:13" x14ac:dyDescent="0.3">
      <c r="A158" s="8"/>
      <c r="B158" s="262"/>
      <c r="C158" s="10"/>
      <c r="D158" s="262"/>
      <c r="E158" s="205"/>
      <c r="F158" s="263"/>
      <c r="H158" s="8"/>
      <c r="I158" s="205"/>
      <c r="J158" s="205"/>
      <c r="K158" s="282"/>
      <c r="L158" s="233"/>
      <c r="M158" s="317"/>
    </row>
    <row r="159" spans="1:13" x14ac:dyDescent="0.3">
      <c r="A159" s="8"/>
      <c r="B159" s="262"/>
      <c r="C159" s="10"/>
      <c r="D159" s="262"/>
      <c r="E159" s="205"/>
      <c r="F159" s="263"/>
      <c r="H159" s="8"/>
      <c r="I159" s="205"/>
      <c r="J159" s="205"/>
      <c r="K159" s="282"/>
      <c r="L159" s="233"/>
      <c r="M159" s="317"/>
    </row>
    <row r="160" spans="1:13" x14ac:dyDescent="0.3">
      <c r="A160" s="8"/>
      <c r="B160" s="262"/>
      <c r="C160" s="10"/>
      <c r="D160" s="262"/>
      <c r="E160" s="205"/>
      <c r="F160" s="263"/>
      <c r="H160" s="8"/>
      <c r="I160" s="205"/>
      <c r="J160" s="205"/>
      <c r="K160" s="282"/>
      <c r="L160" s="233"/>
      <c r="M160" s="317"/>
    </row>
    <row r="161" spans="1:13" x14ac:dyDescent="0.3">
      <c r="A161" s="8"/>
      <c r="B161" s="262"/>
      <c r="C161" s="10"/>
      <c r="D161" s="262"/>
      <c r="E161" s="205"/>
      <c r="F161" s="263"/>
      <c r="H161" s="8"/>
      <c r="I161" s="205"/>
      <c r="J161" s="205"/>
      <c r="K161" s="282"/>
      <c r="L161" s="233"/>
      <c r="M161" s="317"/>
    </row>
    <row r="162" spans="1:13" x14ac:dyDescent="0.3">
      <c r="A162" s="8"/>
      <c r="B162" s="262"/>
      <c r="C162" s="10"/>
      <c r="D162" s="262"/>
      <c r="E162" s="205"/>
      <c r="F162" s="263"/>
      <c r="H162" s="8"/>
      <c r="I162" s="205"/>
      <c r="J162" s="205"/>
      <c r="K162" s="282"/>
      <c r="L162" s="233"/>
      <c r="M162" s="317"/>
    </row>
    <row r="163" spans="1:13" x14ac:dyDescent="0.3">
      <c r="A163" s="8"/>
      <c r="B163" s="262"/>
      <c r="C163" s="10"/>
      <c r="D163" s="262"/>
      <c r="E163" s="205"/>
      <c r="F163" s="263"/>
      <c r="H163" s="8"/>
      <c r="I163" s="205"/>
      <c r="J163" s="205"/>
      <c r="K163" s="282"/>
      <c r="L163" s="233"/>
      <c r="M163" s="317"/>
    </row>
    <row r="164" spans="1:13" x14ac:dyDescent="0.3">
      <c r="A164" s="8"/>
      <c r="B164" s="262"/>
      <c r="C164" s="10"/>
      <c r="D164" s="262"/>
      <c r="E164" s="205"/>
      <c r="F164" s="263"/>
      <c r="H164" s="8"/>
      <c r="I164" s="205"/>
      <c r="J164" s="205"/>
      <c r="K164" s="282"/>
      <c r="L164" s="233"/>
      <c r="M164" s="317"/>
    </row>
    <row r="165" spans="1:13" x14ac:dyDescent="0.3">
      <c r="A165" s="8"/>
      <c r="B165" s="262"/>
      <c r="C165" s="10"/>
      <c r="D165" s="262"/>
      <c r="E165" s="205"/>
      <c r="F165" s="263"/>
      <c r="H165" s="8"/>
      <c r="I165" s="205"/>
      <c r="J165" s="205"/>
      <c r="K165" s="282"/>
      <c r="L165" s="233"/>
      <c r="M165" s="317"/>
    </row>
    <row r="166" spans="1:13" x14ac:dyDescent="0.3">
      <c r="A166" s="8"/>
      <c r="B166" s="262"/>
      <c r="C166" s="10"/>
      <c r="D166" s="262"/>
      <c r="E166" s="205"/>
      <c r="F166" s="263"/>
      <c r="H166" s="8"/>
      <c r="I166" s="205"/>
      <c r="J166" s="205"/>
      <c r="K166" s="282"/>
      <c r="L166" s="233"/>
      <c r="M166" s="317"/>
    </row>
    <row r="167" spans="1:13" x14ac:dyDescent="0.3">
      <c r="A167" s="8"/>
      <c r="B167" s="262"/>
      <c r="C167" s="10"/>
      <c r="D167" s="262"/>
      <c r="E167" s="205"/>
      <c r="F167" s="263"/>
      <c r="H167" s="8"/>
      <c r="I167" s="205"/>
      <c r="J167" s="205"/>
      <c r="K167" s="282"/>
      <c r="L167" s="233"/>
      <c r="M167" s="317"/>
    </row>
    <row r="168" spans="1:13" x14ac:dyDescent="0.3">
      <c r="A168" s="8"/>
      <c r="B168" s="262"/>
      <c r="C168" s="10"/>
      <c r="D168" s="262"/>
      <c r="E168" s="205"/>
      <c r="F168" s="263"/>
      <c r="H168" s="8"/>
      <c r="I168" s="205"/>
      <c r="J168" s="205"/>
      <c r="K168" s="282"/>
      <c r="L168" s="233"/>
      <c r="M168" s="317"/>
    </row>
    <row r="169" spans="1:13" x14ac:dyDescent="0.3">
      <c r="A169" s="8"/>
      <c r="B169" s="262"/>
      <c r="C169" s="10"/>
      <c r="D169" s="262"/>
      <c r="E169" s="205"/>
      <c r="F169" s="263"/>
      <c r="H169" s="8"/>
      <c r="I169" s="205"/>
      <c r="J169" s="205"/>
      <c r="K169" s="282"/>
      <c r="L169" s="233"/>
      <c r="M169" s="317"/>
    </row>
    <row r="170" spans="1:13" x14ac:dyDescent="0.3">
      <c r="A170" s="8"/>
      <c r="B170" s="262"/>
      <c r="C170" s="10"/>
      <c r="D170" s="262"/>
      <c r="E170" s="205"/>
      <c r="F170" s="263"/>
      <c r="H170" s="8"/>
      <c r="I170" s="205"/>
      <c r="J170" s="205"/>
      <c r="K170" s="282"/>
      <c r="L170" s="233"/>
      <c r="M170" s="317"/>
    </row>
    <row r="171" spans="1:13" x14ac:dyDescent="0.3">
      <c r="A171" s="8"/>
      <c r="B171" s="262"/>
      <c r="C171" s="10"/>
      <c r="D171" s="262"/>
      <c r="E171" s="205"/>
      <c r="F171" s="263"/>
      <c r="H171" s="8"/>
      <c r="I171" s="205"/>
      <c r="J171" s="205"/>
      <c r="K171" s="282"/>
      <c r="L171" s="233"/>
      <c r="M171" s="317"/>
    </row>
    <row r="172" spans="1:13" x14ac:dyDescent="0.3">
      <c r="A172" s="8"/>
      <c r="B172" s="262"/>
      <c r="C172" s="10"/>
      <c r="D172" s="262"/>
      <c r="E172" s="205"/>
      <c r="F172" s="263"/>
      <c r="H172" s="8"/>
      <c r="I172" s="205"/>
      <c r="J172" s="205"/>
      <c r="K172" s="282"/>
      <c r="L172" s="233"/>
      <c r="M172" s="317"/>
    </row>
    <row r="173" spans="1:13" x14ac:dyDescent="0.3">
      <c r="A173" s="8"/>
      <c r="B173" s="262"/>
      <c r="C173" s="10"/>
      <c r="D173" s="262"/>
      <c r="E173" s="205"/>
      <c r="F173" s="263"/>
      <c r="H173" s="8"/>
      <c r="I173" s="205"/>
      <c r="J173" s="205"/>
      <c r="K173" s="282"/>
      <c r="L173" s="233"/>
      <c r="M173" s="317"/>
    </row>
    <row r="174" spans="1:13" x14ac:dyDescent="0.3">
      <c r="A174" s="8"/>
      <c r="B174" s="262"/>
      <c r="C174" s="10"/>
      <c r="D174" s="262"/>
      <c r="E174" s="205"/>
      <c r="F174" s="263"/>
      <c r="H174" s="8"/>
      <c r="I174" s="205"/>
      <c r="J174" s="205"/>
      <c r="K174" s="282"/>
      <c r="L174" s="233"/>
      <c r="M174" s="317"/>
    </row>
    <row r="175" spans="1:13" x14ac:dyDescent="0.3">
      <c r="A175" s="8"/>
      <c r="B175" s="262"/>
      <c r="C175" s="10"/>
      <c r="D175" s="262"/>
      <c r="E175" s="205"/>
      <c r="F175" s="263"/>
      <c r="H175" s="8"/>
      <c r="I175" s="205"/>
      <c r="J175" s="205"/>
      <c r="K175" s="282"/>
      <c r="L175" s="233"/>
      <c r="M175" s="317"/>
    </row>
    <row r="176" spans="1:13" x14ac:dyDescent="0.3">
      <c r="A176" s="8"/>
      <c r="B176" s="262"/>
      <c r="C176" s="10"/>
      <c r="D176" s="262"/>
      <c r="E176" s="205"/>
      <c r="F176" s="263"/>
      <c r="H176" s="8"/>
      <c r="I176" s="205"/>
      <c r="J176" s="205"/>
      <c r="K176" s="282"/>
      <c r="L176" s="233"/>
      <c r="M176" s="317"/>
    </row>
    <row r="177" spans="1:13" x14ac:dyDescent="0.3">
      <c r="A177" s="8"/>
      <c r="B177" s="262"/>
      <c r="C177" s="10"/>
      <c r="D177" s="262"/>
      <c r="E177" s="205"/>
      <c r="F177" s="263"/>
      <c r="H177" s="8"/>
      <c r="I177" s="205"/>
      <c r="J177" s="205"/>
      <c r="K177" s="282"/>
      <c r="L177" s="233"/>
      <c r="M177" s="317"/>
    </row>
    <row r="178" spans="1:13" x14ac:dyDescent="0.3">
      <c r="A178" s="8"/>
      <c r="B178" s="262"/>
      <c r="C178" s="10"/>
      <c r="D178" s="262"/>
      <c r="E178" s="205"/>
      <c r="F178" s="263"/>
      <c r="H178" s="8"/>
      <c r="I178" s="205"/>
      <c r="J178" s="205"/>
      <c r="K178" s="282"/>
      <c r="L178" s="233"/>
      <c r="M178" s="317"/>
    </row>
    <row r="179" spans="1:13" x14ac:dyDescent="0.3">
      <c r="A179" s="8"/>
      <c r="B179" s="262"/>
      <c r="C179" s="10"/>
      <c r="D179" s="262"/>
      <c r="E179" s="205"/>
      <c r="F179" s="263"/>
      <c r="H179" s="8"/>
      <c r="I179" s="205"/>
      <c r="J179" s="205"/>
      <c r="K179" s="282"/>
      <c r="L179" s="233"/>
      <c r="M179" s="317"/>
    </row>
    <row r="180" spans="1:13" x14ac:dyDescent="0.3">
      <c r="A180" s="8"/>
      <c r="B180" s="262"/>
      <c r="C180" s="10"/>
      <c r="D180" s="262"/>
      <c r="E180" s="205"/>
      <c r="F180" s="263"/>
      <c r="H180" s="8"/>
      <c r="I180" s="205"/>
      <c r="J180" s="205"/>
      <c r="K180" s="282"/>
      <c r="L180" s="233"/>
      <c r="M180" s="317"/>
    </row>
    <row r="181" spans="1:13" x14ac:dyDescent="0.3">
      <c r="A181" s="8"/>
      <c r="B181" s="262"/>
      <c r="C181" s="10"/>
      <c r="D181" s="262"/>
      <c r="E181" s="205"/>
      <c r="F181" s="263"/>
      <c r="H181" s="8"/>
      <c r="I181" s="205"/>
      <c r="J181" s="205"/>
      <c r="K181" s="282"/>
      <c r="L181" s="233"/>
      <c r="M181" s="317"/>
    </row>
    <row r="182" spans="1:13" x14ac:dyDescent="0.3">
      <c r="A182" s="8"/>
      <c r="B182" s="262"/>
      <c r="C182" s="10"/>
      <c r="D182" s="262"/>
      <c r="E182" s="205"/>
      <c r="F182" s="263"/>
      <c r="H182" s="8"/>
      <c r="I182" s="205"/>
      <c r="J182" s="205"/>
      <c r="K182" s="282"/>
      <c r="L182" s="233"/>
      <c r="M182" s="317"/>
    </row>
    <row r="183" spans="1:13" x14ac:dyDescent="0.3">
      <c r="A183" s="8"/>
      <c r="B183" s="262"/>
      <c r="C183" s="10"/>
      <c r="D183" s="262"/>
      <c r="E183" s="205"/>
      <c r="F183" s="263"/>
      <c r="H183" s="8"/>
      <c r="I183" s="205"/>
      <c r="J183" s="205"/>
      <c r="K183" s="282"/>
      <c r="L183" s="233"/>
      <c r="M183" s="317"/>
    </row>
    <row r="184" spans="1:13" x14ac:dyDescent="0.3">
      <c r="A184" s="8"/>
      <c r="B184" s="262"/>
      <c r="C184" s="10"/>
      <c r="D184" s="262"/>
      <c r="E184" s="205"/>
      <c r="F184" s="263"/>
      <c r="H184" s="8"/>
      <c r="I184" s="205"/>
      <c r="J184" s="205"/>
      <c r="K184" s="282"/>
      <c r="L184" s="233"/>
      <c r="M184" s="317"/>
    </row>
    <row r="185" spans="1:13" x14ac:dyDescent="0.3">
      <c r="A185" s="8"/>
      <c r="B185" s="262"/>
      <c r="C185" s="10"/>
      <c r="D185" s="262"/>
      <c r="E185" s="205"/>
      <c r="F185" s="263"/>
      <c r="H185" s="8"/>
      <c r="I185" s="205"/>
      <c r="J185" s="205"/>
      <c r="K185" s="282"/>
      <c r="L185" s="233"/>
      <c r="M185" s="317"/>
    </row>
    <row r="186" spans="1:13" x14ac:dyDescent="0.3">
      <c r="A186" s="8"/>
      <c r="B186" s="262"/>
      <c r="C186" s="10"/>
      <c r="D186" s="262"/>
      <c r="E186" s="205"/>
      <c r="F186" s="263"/>
      <c r="H186" s="8"/>
      <c r="I186" s="205"/>
      <c r="J186" s="205"/>
      <c r="K186" s="282"/>
      <c r="L186" s="233"/>
      <c r="M186" s="317"/>
    </row>
    <row r="187" spans="1:13" x14ac:dyDescent="0.3">
      <c r="A187" s="8"/>
      <c r="B187" s="262"/>
      <c r="C187" s="10"/>
      <c r="D187" s="262"/>
      <c r="E187" s="205"/>
      <c r="F187" s="263"/>
      <c r="H187" s="8"/>
      <c r="I187" s="205"/>
      <c r="J187" s="205"/>
      <c r="K187" s="282"/>
      <c r="L187" s="233"/>
      <c r="M187" s="317"/>
    </row>
    <row r="188" spans="1:13" x14ac:dyDescent="0.3">
      <c r="A188" s="8"/>
      <c r="B188" s="262"/>
      <c r="C188" s="10"/>
      <c r="D188" s="262"/>
      <c r="E188" s="205"/>
      <c r="F188" s="263"/>
      <c r="H188" s="8"/>
      <c r="I188" s="205"/>
      <c r="J188" s="205"/>
      <c r="K188" s="282"/>
      <c r="L188" s="233"/>
      <c r="M188" s="317"/>
    </row>
    <row r="189" spans="1:13" x14ac:dyDescent="0.3">
      <c r="A189" s="8"/>
      <c r="B189" s="262"/>
      <c r="C189" s="10"/>
      <c r="D189" s="262"/>
      <c r="E189" s="205"/>
      <c r="F189" s="263"/>
      <c r="H189" s="8"/>
      <c r="I189" s="205"/>
      <c r="J189" s="205"/>
      <c r="K189" s="282"/>
      <c r="L189" s="233"/>
      <c r="M189" s="317"/>
    </row>
    <row r="190" spans="1:13" x14ac:dyDescent="0.3">
      <c r="A190" s="8"/>
      <c r="B190" s="262"/>
      <c r="C190" s="10"/>
      <c r="D190" s="262"/>
      <c r="E190" s="205"/>
      <c r="F190" s="263"/>
      <c r="H190" s="8"/>
      <c r="I190" s="205"/>
      <c r="J190" s="205"/>
      <c r="K190" s="282"/>
      <c r="L190" s="233"/>
      <c r="M190" s="317"/>
    </row>
    <row r="191" spans="1:13" x14ac:dyDescent="0.3">
      <c r="A191" s="8"/>
      <c r="B191" s="262"/>
      <c r="C191" s="10"/>
      <c r="D191" s="262"/>
      <c r="E191" s="205"/>
      <c r="F191" s="263"/>
      <c r="H191" s="8"/>
      <c r="I191" s="205"/>
      <c r="J191" s="205"/>
      <c r="K191" s="282"/>
      <c r="L191" s="233"/>
      <c r="M191" s="317"/>
    </row>
    <row r="192" spans="1:13" x14ac:dyDescent="0.3">
      <c r="A192" s="8"/>
      <c r="B192" s="262"/>
      <c r="C192" s="10"/>
      <c r="D192" s="262"/>
      <c r="E192" s="205"/>
      <c r="F192" s="263"/>
      <c r="H192" s="8"/>
      <c r="I192" s="205"/>
      <c r="J192" s="205"/>
      <c r="K192" s="282"/>
      <c r="L192" s="233"/>
      <c r="M192" s="317"/>
    </row>
    <row r="193" spans="1:13" x14ac:dyDescent="0.3">
      <c r="A193" s="8"/>
      <c r="B193" s="262"/>
      <c r="C193" s="10"/>
      <c r="D193" s="262"/>
      <c r="E193" s="205"/>
      <c r="F193" s="263"/>
      <c r="H193" s="8"/>
      <c r="I193" s="205"/>
      <c r="J193" s="205"/>
      <c r="K193" s="282"/>
      <c r="L193" s="233"/>
      <c r="M193" s="317"/>
    </row>
    <row r="194" spans="1:13" x14ac:dyDescent="0.3">
      <c r="A194" s="8"/>
      <c r="B194" s="262"/>
      <c r="C194" s="10"/>
      <c r="D194" s="262"/>
      <c r="E194" s="205"/>
      <c r="F194" s="263"/>
      <c r="H194" s="8"/>
      <c r="I194" s="205"/>
      <c r="J194" s="205"/>
      <c r="K194" s="282"/>
      <c r="L194" s="233"/>
      <c r="M194" s="317"/>
    </row>
    <row r="195" spans="1:13" x14ac:dyDescent="0.3">
      <c r="A195" s="8"/>
      <c r="B195" s="262"/>
      <c r="C195" s="10"/>
      <c r="D195" s="262"/>
      <c r="E195" s="205"/>
      <c r="F195" s="263"/>
      <c r="H195" s="8"/>
      <c r="I195" s="205"/>
      <c r="J195" s="205"/>
      <c r="K195" s="282"/>
      <c r="L195" s="233"/>
      <c r="M195" s="317"/>
    </row>
    <row r="196" spans="1:13" x14ac:dyDescent="0.3">
      <c r="A196" s="8"/>
      <c r="B196" s="262"/>
      <c r="C196" s="10"/>
      <c r="D196" s="262"/>
      <c r="E196" s="205"/>
      <c r="F196" s="263"/>
      <c r="H196" s="8"/>
      <c r="I196" s="205"/>
      <c r="J196" s="205"/>
      <c r="K196" s="282"/>
      <c r="L196" s="233"/>
      <c r="M196" s="317"/>
    </row>
    <row r="197" spans="1:13" x14ac:dyDescent="0.3">
      <c r="A197" s="8"/>
      <c r="B197" s="262"/>
      <c r="C197" s="10"/>
      <c r="D197" s="262"/>
      <c r="E197" s="205"/>
      <c r="F197" s="263"/>
      <c r="H197" s="8"/>
      <c r="I197" s="205"/>
      <c r="J197" s="205"/>
      <c r="K197" s="282"/>
      <c r="L197" s="233"/>
      <c r="M197" s="317"/>
    </row>
    <row r="198" spans="1:13" x14ac:dyDescent="0.3">
      <c r="A198" s="8"/>
      <c r="B198" s="262"/>
      <c r="C198" s="10"/>
      <c r="D198" s="262"/>
      <c r="E198" s="205"/>
      <c r="F198" s="263"/>
      <c r="H198" s="8"/>
      <c r="I198" s="205"/>
      <c r="J198" s="205"/>
      <c r="K198" s="282"/>
      <c r="L198" s="233"/>
      <c r="M198" s="317"/>
    </row>
    <row r="199" spans="1:13" x14ac:dyDescent="0.3">
      <c r="A199" s="8"/>
      <c r="B199" s="262"/>
      <c r="C199" s="10"/>
      <c r="D199" s="262"/>
      <c r="E199" s="205"/>
      <c r="F199" s="263"/>
      <c r="H199" s="8"/>
      <c r="I199" s="205"/>
      <c r="J199" s="205"/>
      <c r="K199" s="282"/>
      <c r="L199" s="233"/>
      <c r="M199" s="317"/>
    </row>
    <row r="200" spans="1:13" x14ac:dyDescent="0.3">
      <c r="A200" s="8"/>
      <c r="B200" s="262"/>
      <c r="C200" s="10"/>
      <c r="D200" s="262"/>
      <c r="E200" s="205"/>
      <c r="F200" s="263"/>
      <c r="H200" s="8"/>
      <c r="I200" s="205"/>
      <c r="J200" s="205"/>
      <c r="K200" s="282"/>
      <c r="L200" s="233"/>
      <c r="M200" s="317"/>
    </row>
    <row r="201" spans="1:13" x14ac:dyDescent="0.3">
      <c r="A201" s="8"/>
      <c r="B201" s="262"/>
      <c r="C201" s="10"/>
      <c r="D201" s="262"/>
      <c r="E201" s="205"/>
      <c r="F201" s="263"/>
      <c r="H201" s="8"/>
      <c r="I201" s="205"/>
      <c r="J201" s="205"/>
      <c r="K201" s="282"/>
      <c r="L201" s="233"/>
      <c r="M201" s="317"/>
    </row>
    <row r="202" spans="1:13" x14ac:dyDescent="0.3">
      <c r="A202" s="8"/>
      <c r="B202" s="262"/>
      <c r="C202" s="10"/>
      <c r="D202" s="262"/>
      <c r="E202" s="205"/>
      <c r="F202" s="263"/>
      <c r="H202" s="8"/>
      <c r="I202" s="205"/>
      <c r="J202" s="205"/>
      <c r="K202" s="282"/>
      <c r="L202" s="233"/>
      <c r="M202" s="317"/>
    </row>
    <row r="203" spans="1:13" x14ac:dyDescent="0.3">
      <c r="A203" s="8"/>
      <c r="B203" s="262"/>
      <c r="C203" s="10"/>
      <c r="D203" s="262"/>
      <c r="E203" s="205"/>
      <c r="F203" s="263"/>
      <c r="H203" s="8"/>
      <c r="I203" s="205"/>
      <c r="J203" s="205"/>
      <c r="K203" s="282"/>
      <c r="L203" s="233"/>
      <c r="M203" s="317"/>
    </row>
    <row r="204" spans="1:13" x14ac:dyDescent="0.3">
      <c r="A204" s="8"/>
      <c r="B204" s="262"/>
      <c r="C204" s="10"/>
      <c r="D204" s="262"/>
      <c r="E204" s="205"/>
      <c r="F204" s="263"/>
      <c r="H204" s="8"/>
      <c r="I204" s="205"/>
      <c r="J204" s="205"/>
      <c r="K204" s="282"/>
      <c r="L204" s="233"/>
      <c r="M204" s="317"/>
    </row>
    <row r="205" spans="1:13" x14ac:dyDescent="0.3">
      <c r="A205" s="8"/>
      <c r="B205" s="262"/>
      <c r="C205" s="10"/>
      <c r="D205" s="262"/>
      <c r="E205" s="205"/>
      <c r="F205" s="263"/>
      <c r="H205" s="8"/>
      <c r="I205" s="205"/>
      <c r="J205" s="205"/>
      <c r="K205" s="282"/>
      <c r="L205" s="233"/>
      <c r="M205" s="317"/>
    </row>
    <row r="206" spans="1:13" x14ac:dyDescent="0.3">
      <c r="A206" s="8"/>
      <c r="B206" s="262"/>
      <c r="C206" s="10"/>
      <c r="D206" s="262"/>
      <c r="E206" s="205"/>
      <c r="F206" s="263"/>
      <c r="H206" s="8"/>
      <c r="I206" s="205"/>
      <c r="J206" s="205"/>
      <c r="K206" s="282"/>
      <c r="L206" s="233"/>
      <c r="M206" s="317"/>
    </row>
    <row r="207" spans="1:13" x14ac:dyDescent="0.3">
      <c r="A207" s="8"/>
      <c r="B207" s="262"/>
      <c r="C207" s="10"/>
      <c r="D207" s="262"/>
      <c r="E207" s="205"/>
      <c r="F207" s="263"/>
      <c r="H207" s="8"/>
      <c r="I207" s="205"/>
      <c r="J207" s="205"/>
      <c r="K207" s="282"/>
      <c r="L207" s="233"/>
      <c r="M207" s="317"/>
    </row>
    <row r="208" spans="1:13" x14ac:dyDescent="0.3">
      <c r="A208" s="8"/>
      <c r="B208" s="262"/>
      <c r="C208" s="10"/>
      <c r="D208" s="262"/>
      <c r="E208" s="205"/>
      <c r="F208" s="263"/>
      <c r="H208" s="8"/>
      <c r="I208" s="205"/>
      <c r="J208" s="205"/>
      <c r="K208" s="282"/>
      <c r="L208" s="233"/>
      <c r="M208" s="317"/>
    </row>
    <row r="209" spans="1:13" x14ac:dyDescent="0.3">
      <c r="A209" s="8"/>
      <c r="B209" s="262"/>
      <c r="C209" s="10"/>
      <c r="D209" s="262"/>
      <c r="E209" s="205"/>
      <c r="F209" s="263"/>
      <c r="H209" s="8"/>
      <c r="I209" s="205"/>
      <c r="J209" s="205"/>
      <c r="K209" s="282"/>
      <c r="L209" s="233"/>
      <c r="M209" s="317"/>
    </row>
    <row r="210" spans="1:13" x14ac:dyDescent="0.3">
      <c r="A210" s="8"/>
      <c r="B210" s="262"/>
      <c r="C210" s="10"/>
      <c r="D210" s="262"/>
      <c r="E210" s="205"/>
      <c r="F210" s="263"/>
      <c r="H210" s="8"/>
      <c r="I210" s="205"/>
      <c r="J210" s="205"/>
      <c r="K210" s="282"/>
      <c r="L210" s="233"/>
      <c r="M210" s="317"/>
    </row>
    <row r="211" spans="1:13" x14ac:dyDescent="0.3">
      <c r="A211" s="8"/>
      <c r="B211" s="262"/>
      <c r="C211" s="10"/>
      <c r="D211" s="262"/>
      <c r="E211" s="205"/>
      <c r="F211" s="263"/>
      <c r="H211" s="8"/>
      <c r="I211" s="205"/>
      <c r="J211" s="205"/>
      <c r="K211" s="282"/>
      <c r="L211" s="233"/>
      <c r="M211" s="317"/>
    </row>
    <row r="212" spans="1:13" x14ac:dyDescent="0.3">
      <c r="A212" s="8"/>
      <c r="B212" s="262"/>
      <c r="C212" s="10"/>
      <c r="D212" s="262"/>
      <c r="E212" s="205"/>
      <c r="F212" s="263"/>
      <c r="H212" s="8"/>
      <c r="I212" s="205"/>
      <c r="J212" s="205"/>
      <c r="K212" s="282"/>
      <c r="L212" s="233"/>
      <c r="M212" s="317"/>
    </row>
    <row r="213" spans="1:13" x14ac:dyDescent="0.3">
      <c r="A213" s="8"/>
      <c r="B213" s="262"/>
      <c r="C213" s="10"/>
      <c r="D213" s="262"/>
      <c r="E213" s="205"/>
      <c r="F213" s="263"/>
      <c r="H213" s="8"/>
      <c r="I213" s="205"/>
      <c r="J213" s="205"/>
      <c r="K213" s="282"/>
      <c r="L213" s="233"/>
      <c r="M213" s="317"/>
    </row>
    <row r="214" spans="1:13" x14ac:dyDescent="0.3">
      <c r="A214" s="8"/>
      <c r="B214" s="262"/>
      <c r="C214" s="10"/>
      <c r="D214" s="262"/>
      <c r="E214" s="205"/>
      <c r="F214" s="263"/>
      <c r="H214" s="8"/>
      <c r="I214" s="205"/>
      <c r="J214" s="205"/>
      <c r="K214" s="282"/>
      <c r="L214" s="233"/>
      <c r="M214" s="317"/>
    </row>
    <row r="215" spans="1:13" x14ac:dyDescent="0.3">
      <c r="A215" s="8"/>
      <c r="B215" s="262"/>
      <c r="C215" s="10"/>
      <c r="D215" s="262"/>
      <c r="E215" s="205"/>
      <c r="F215" s="263"/>
      <c r="H215" s="8"/>
      <c r="I215" s="205"/>
      <c r="J215" s="205"/>
      <c r="K215" s="282"/>
      <c r="L215" s="233"/>
      <c r="M215" s="317"/>
    </row>
    <row r="216" spans="1:13" x14ac:dyDescent="0.3">
      <c r="A216" s="8"/>
      <c r="B216" s="262"/>
      <c r="C216" s="10"/>
      <c r="D216" s="262"/>
      <c r="E216" s="205"/>
      <c r="F216" s="263"/>
      <c r="H216" s="8"/>
      <c r="I216" s="205"/>
      <c r="J216" s="205"/>
      <c r="K216" s="282"/>
      <c r="L216" s="233"/>
      <c r="M216" s="317"/>
    </row>
    <row r="217" spans="1:13" x14ac:dyDescent="0.3">
      <c r="A217" s="8"/>
      <c r="B217" s="262"/>
      <c r="C217" s="10"/>
      <c r="D217" s="262"/>
      <c r="E217" s="205"/>
      <c r="F217" s="263"/>
      <c r="H217" s="8"/>
      <c r="I217" s="205"/>
      <c r="J217" s="205"/>
      <c r="K217" s="282"/>
      <c r="L217" s="233"/>
      <c r="M217" s="317"/>
    </row>
    <row r="218" spans="1:13" x14ac:dyDescent="0.3">
      <c r="A218" s="8"/>
      <c r="B218" s="262"/>
      <c r="C218" s="10"/>
      <c r="D218" s="262"/>
      <c r="E218" s="205"/>
      <c r="F218" s="263"/>
      <c r="H218" s="8"/>
      <c r="I218" s="205"/>
      <c r="J218" s="205"/>
      <c r="K218" s="282"/>
      <c r="L218" s="233"/>
      <c r="M218" s="317"/>
    </row>
    <row r="219" spans="1:13" x14ac:dyDescent="0.3">
      <c r="A219" s="8"/>
      <c r="B219" s="262"/>
      <c r="C219" s="10"/>
      <c r="D219" s="262"/>
      <c r="E219" s="205"/>
      <c r="F219" s="263"/>
      <c r="H219" s="8"/>
      <c r="I219" s="205"/>
      <c r="J219" s="205"/>
      <c r="K219" s="282"/>
      <c r="L219" s="233"/>
      <c r="M219" s="317"/>
    </row>
    <row r="220" spans="1:13" x14ac:dyDescent="0.3">
      <c r="A220" s="8"/>
      <c r="B220" s="262"/>
      <c r="C220" s="10"/>
      <c r="D220" s="262"/>
      <c r="E220" s="205"/>
      <c r="F220" s="263"/>
      <c r="H220" s="8"/>
      <c r="I220" s="205"/>
      <c r="J220" s="205"/>
      <c r="K220" s="282"/>
      <c r="L220" s="233"/>
      <c r="M220" s="317"/>
    </row>
    <row r="221" spans="1:13" x14ac:dyDescent="0.3">
      <c r="A221" s="8"/>
      <c r="B221" s="262"/>
      <c r="C221" s="10"/>
      <c r="D221" s="262"/>
      <c r="E221" s="205"/>
      <c r="F221" s="263"/>
      <c r="H221" s="8"/>
      <c r="I221" s="205"/>
      <c r="J221" s="205"/>
      <c r="K221" s="282"/>
      <c r="L221" s="233"/>
      <c r="M221" s="317"/>
    </row>
    <row r="222" spans="1:13" x14ac:dyDescent="0.3">
      <c r="A222" s="8"/>
      <c r="B222" s="262"/>
      <c r="C222" s="10"/>
      <c r="D222" s="262"/>
      <c r="E222" s="205"/>
      <c r="F222" s="263"/>
      <c r="H222" s="8"/>
      <c r="I222" s="205"/>
      <c r="J222" s="205"/>
      <c r="K222" s="282"/>
      <c r="L222" s="233"/>
      <c r="M222" s="317"/>
    </row>
    <row r="223" spans="1:13" x14ac:dyDescent="0.3">
      <c r="A223" s="8"/>
      <c r="B223" s="262"/>
      <c r="C223" s="10"/>
      <c r="D223" s="262"/>
      <c r="E223" s="205"/>
      <c r="F223" s="263"/>
      <c r="H223" s="8"/>
      <c r="I223" s="205"/>
      <c r="J223" s="205"/>
      <c r="K223" s="282"/>
      <c r="L223" s="233"/>
      <c r="M223" s="317"/>
    </row>
    <row r="224" spans="1:13" x14ac:dyDescent="0.3">
      <c r="A224" s="8"/>
      <c r="B224" s="262"/>
      <c r="C224" s="10"/>
      <c r="D224" s="262"/>
      <c r="E224" s="205"/>
      <c r="F224" s="263"/>
      <c r="H224" s="8"/>
      <c r="I224" s="205"/>
      <c r="J224" s="205"/>
      <c r="K224" s="282"/>
      <c r="L224" s="233"/>
      <c r="M224" s="317"/>
    </row>
    <row r="225" spans="1:13" x14ac:dyDescent="0.3">
      <c r="A225" s="8"/>
      <c r="B225" s="262"/>
      <c r="C225" s="10"/>
      <c r="D225" s="262"/>
      <c r="E225" s="205"/>
      <c r="F225" s="263"/>
      <c r="H225" s="8"/>
      <c r="I225" s="205"/>
      <c r="J225" s="205"/>
      <c r="K225" s="282"/>
      <c r="L225" s="233"/>
      <c r="M225" s="317"/>
    </row>
    <row r="226" spans="1:13" x14ac:dyDescent="0.3">
      <c r="A226" s="8"/>
      <c r="B226" s="262"/>
      <c r="C226" s="10"/>
      <c r="D226" s="262"/>
      <c r="E226" s="205"/>
      <c r="F226" s="263"/>
      <c r="H226" s="8"/>
      <c r="I226" s="205"/>
      <c r="J226" s="205"/>
      <c r="K226" s="282"/>
      <c r="L226" s="233"/>
      <c r="M226" s="317"/>
    </row>
    <row r="227" spans="1:13" x14ac:dyDescent="0.3">
      <c r="A227" s="8"/>
      <c r="B227" s="262"/>
      <c r="C227" s="10"/>
      <c r="D227" s="262"/>
      <c r="E227" s="205"/>
      <c r="F227" s="263"/>
      <c r="H227" s="8"/>
      <c r="I227" s="205"/>
      <c r="J227" s="205"/>
      <c r="K227" s="282"/>
      <c r="L227" s="233"/>
      <c r="M227" s="317"/>
    </row>
    <row r="228" spans="1:13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2"/>
      <c r="L228" s="233"/>
      <c r="M228" s="317"/>
    </row>
    <row r="229" spans="1:13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2"/>
      <c r="L229" s="233"/>
      <c r="M229" s="317"/>
    </row>
    <row r="230" spans="1:13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2"/>
      <c r="L230" s="233"/>
      <c r="M230" s="317"/>
    </row>
    <row r="231" spans="1:13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2"/>
      <c r="L231" s="233"/>
      <c r="M231" s="317"/>
    </row>
    <row r="232" spans="1:13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2"/>
      <c r="L232" s="233"/>
      <c r="M232" s="317"/>
    </row>
    <row r="233" spans="1:13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2"/>
      <c r="L233" s="233"/>
      <c r="M233" s="317"/>
    </row>
    <row r="234" spans="1:13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2"/>
      <c r="L234" s="233"/>
      <c r="M234" s="317"/>
    </row>
    <row r="235" spans="1:13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2"/>
      <c r="L235" s="233"/>
      <c r="M235" s="317"/>
    </row>
    <row r="236" spans="1:13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2"/>
      <c r="L236" s="233"/>
      <c r="M236" s="317"/>
    </row>
    <row r="237" spans="1:13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2"/>
      <c r="L237" s="233"/>
      <c r="M237" s="317"/>
    </row>
    <row r="238" spans="1:13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2"/>
      <c r="L238" s="233"/>
      <c r="M238" s="317"/>
    </row>
    <row r="239" spans="1:13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2"/>
      <c r="L239" s="233"/>
      <c r="M239" s="317"/>
    </row>
    <row r="240" spans="1:13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2"/>
      <c r="L240" s="233"/>
      <c r="M240" s="317"/>
    </row>
    <row r="241" spans="1:13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2"/>
      <c r="L241" s="233"/>
      <c r="M241" s="317"/>
    </row>
    <row r="242" spans="1:13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2"/>
      <c r="L242" s="233"/>
      <c r="M242" s="317"/>
    </row>
    <row r="243" spans="1:13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2"/>
      <c r="L243" s="233"/>
      <c r="M243" s="317"/>
    </row>
    <row r="244" spans="1:13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2"/>
      <c r="L244" s="233"/>
      <c r="M244" s="317"/>
    </row>
    <row r="245" spans="1:13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2"/>
      <c r="L245" s="233"/>
      <c r="M245" s="317"/>
    </row>
    <row r="246" spans="1:13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2"/>
      <c r="L246" s="233"/>
      <c r="M246" s="317"/>
    </row>
    <row r="247" spans="1:13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2"/>
      <c r="L247" s="233"/>
      <c r="M247" s="317"/>
    </row>
    <row r="248" spans="1:13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2"/>
      <c r="L248" s="233"/>
      <c r="M248" s="317"/>
    </row>
    <row r="249" spans="1:13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2"/>
      <c r="L249" s="233"/>
      <c r="M249" s="317"/>
    </row>
    <row r="250" spans="1:13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2"/>
      <c r="L250" s="233"/>
      <c r="M250" s="317"/>
    </row>
    <row r="251" spans="1:13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2"/>
      <c r="L251" s="233"/>
      <c r="M251" s="317"/>
    </row>
    <row r="252" spans="1:13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2"/>
      <c r="L252" s="233"/>
      <c r="M252" s="317"/>
    </row>
    <row r="253" spans="1:13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2"/>
      <c r="L253" s="233"/>
      <c r="M253" s="317"/>
    </row>
    <row r="254" spans="1:13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2"/>
      <c r="L254" s="233"/>
      <c r="M254" s="317"/>
    </row>
    <row r="255" spans="1:13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2"/>
      <c r="L255" s="233"/>
      <c r="M255" s="317"/>
    </row>
    <row r="256" spans="1:13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2"/>
      <c r="L256" s="233"/>
      <c r="M256" s="317"/>
    </row>
    <row r="257" spans="1:13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2"/>
      <c r="L257" s="233"/>
      <c r="M257" s="317"/>
    </row>
    <row r="258" spans="1:13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2"/>
      <c r="L258" s="233"/>
      <c r="M258" s="317"/>
    </row>
    <row r="259" spans="1:13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2"/>
      <c r="L259" s="233"/>
      <c r="M259" s="317"/>
    </row>
    <row r="260" spans="1:13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2"/>
      <c r="L260" s="233"/>
      <c r="M260" s="317"/>
    </row>
    <row r="261" spans="1:13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2"/>
      <c r="L261" s="233"/>
      <c r="M261" s="317"/>
    </row>
    <row r="262" spans="1:13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2"/>
      <c r="L262" s="233"/>
      <c r="M262" s="317"/>
    </row>
    <row r="263" spans="1:13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2"/>
      <c r="L263" s="233"/>
      <c r="M263" s="317"/>
    </row>
    <row r="264" spans="1:13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2"/>
      <c r="L264" s="233"/>
      <c r="M264" s="317"/>
    </row>
    <row r="265" spans="1:13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2"/>
      <c r="L265" s="233"/>
      <c r="M265" s="317"/>
    </row>
    <row r="266" spans="1:13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2"/>
      <c r="L266" s="233"/>
      <c r="M266" s="317"/>
    </row>
    <row r="267" spans="1:13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2"/>
      <c r="L267" s="233"/>
      <c r="M267" s="317"/>
    </row>
    <row r="268" spans="1:13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2"/>
      <c r="L268" s="233"/>
      <c r="M268" s="317"/>
    </row>
    <row r="269" spans="1:13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2"/>
      <c r="L269" s="233"/>
      <c r="M269" s="317"/>
    </row>
    <row r="270" spans="1:13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2"/>
      <c r="L270" s="233"/>
      <c r="M270" s="317"/>
    </row>
    <row r="271" spans="1:13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2"/>
      <c r="L271" s="233"/>
      <c r="M271" s="317"/>
    </row>
    <row r="272" spans="1:13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2"/>
      <c r="L272" s="233"/>
      <c r="M272" s="317"/>
    </row>
    <row r="273" spans="1:13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2"/>
      <c r="L273" s="233"/>
      <c r="M273" s="317"/>
    </row>
    <row r="274" spans="1:13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2"/>
      <c r="L274" s="233"/>
      <c r="M274" s="317"/>
    </row>
    <row r="275" spans="1:13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2"/>
      <c r="L275" s="233"/>
      <c r="M275" s="317"/>
    </row>
    <row r="276" spans="1:13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2"/>
      <c r="L276" s="233"/>
      <c r="M276" s="317"/>
    </row>
    <row r="277" spans="1:13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2"/>
      <c r="L277" s="233"/>
      <c r="M277" s="317"/>
    </row>
    <row r="278" spans="1:13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2"/>
      <c r="L278" s="233"/>
      <c r="M278" s="317"/>
    </row>
    <row r="279" spans="1:13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2"/>
      <c r="L279" s="233"/>
      <c r="M279" s="317"/>
    </row>
    <row r="280" spans="1:13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2"/>
      <c r="L280" s="233"/>
      <c r="M280" s="317"/>
    </row>
    <row r="281" spans="1:13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2"/>
      <c r="L281" s="233"/>
      <c r="M281" s="317"/>
    </row>
    <row r="282" spans="1:13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2"/>
      <c r="L282" s="233"/>
      <c r="M282" s="317"/>
    </row>
    <row r="283" spans="1:13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2"/>
      <c r="L283" s="233"/>
      <c r="M283" s="317"/>
    </row>
    <row r="284" spans="1:13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2"/>
      <c r="L284" s="233"/>
      <c r="M284" s="317"/>
    </row>
    <row r="285" spans="1:13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2"/>
      <c r="L285" s="233"/>
      <c r="M285" s="317"/>
    </row>
    <row r="286" spans="1:13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2"/>
      <c r="L286" s="233"/>
      <c r="M286" s="317"/>
    </row>
    <row r="287" spans="1:13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2"/>
      <c r="L287" s="233"/>
      <c r="M287" s="317"/>
    </row>
    <row r="288" spans="1:13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2"/>
      <c r="L288" s="233"/>
      <c r="M288" s="317"/>
    </row>
    <row r="289" spans="1:13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2"/>
      <c r="L289" s="233"/>
      <c r="M289" s="317"/>
    </row>
    <row r="290" spans="1:13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2"/>
      <c r="L290" s="233"/>
      <c r="M290" s="317"/>
    </row>
    <row r="291" spans="1:13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2"/>
      <c r="L291" s="233"/>
      <c r="M291" s="317"/>
    </row>
    <row r="292" spans="1:13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2"/>
      <c r="L292" s="233"/>
      <c r="M292" s="317"/>
    </row>
    <row r="293" spans="1:13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2"/>
      <c r="L293" s="233"/>
      <c r="M293" s="317"/>
    </row>
    <row r="294" spans="1:13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2"/>
      <c r="L294" s="233"/>
      <c r="M294" s="317"/>
    </row>
    <row r="295" spans="1:13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2"/>
      <c r="L295" s="233"/>
      <c r="M295" s="317"/>
    </row>
    <row r="296" spans="1:13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2"/>
      <c r="L296" s="233"/>
      <c r="M296" s="317"/>
    </row>
    <row r="297" spans="1:13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2"/>
      <c r="L297" s="233"/>
      <c r="M297" s="317"/>
    </row>
    <row r="298" spans="1:13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2"/>
      <c r="L298" s="233"/>
      <c r="M298" s="317"/>
    </row>
    <row r="299" spans="1:13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2"/>
      <c r="L299" s="233"/>
      <c r="M299" s="317"/>
    </row>
    <row r="300" spans="1:13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2"/>
      <c r="L300" s="233"/>
      <c r="M300" s="317"/>
    </row>
    <row r="301" spans="1:13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2"/>
      <c r="L301" s="233"/>
      <c r="M301" s="317"/>
    </row>
    <row r="302" spans="1:13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2"/>
      <c r="L302" s="233"/>
      <c r="M302" s="317"/>
    </row>
    <row r="303" spans="1:13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2"/>
      <c r="L303" s="233"/>
      <c r="M303" s="317"/>
    </row>
    <row r="304" spans="1:13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2"/>
      <c r="L304" s="233"/>
      <c r="M304" s="317"/>
    </row>
    <row r="305" spans="1:13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2"/>
      <c r="L305" s="233"/>
      <c r="M305" s="317"/>
    </row>
    <row r="306" spans="1:13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2"/>
      <c r="L306" s="233"/>
      <c r="M306" s="317"/>
    </row>
    <row r="307" spans="1:13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2"/>
      <c r="L307" s="233"/>
      <c r="M307" s="317"/>
    </row>
    <row r="308" spans="1:13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2"/>
      <c r="L308" s="233"/>
      <c r="M308" s="317"/>
    </row>
    <row r="309" spans="1:13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2"/>
      <c r="L309" s="233"/>
      <c r="M309" s="317"/>
    </row>
    <row r="310" spans="1:13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2"/>
      <c r="L310" s="233"/>
      <c r="M310" s="317"/>
    </row>
    <row r="311" spans="1:13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2"/>
      <c r="L311" s="233"/>
      <c r="M311" s="317"/>
    </row>
    <row r="312" spans="1:13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2"/>
      <c r="L312" s="233"/>
      <c r="M312" s="317"/>
    </row>
    <row r="313" spans="1:13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2"/>
      <c r="L313" s="233"/>
      <c r="M313" s="317"/>
    </row>
    <row r="314" spans="1:13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2"/>
      <c r="L314" s="233"/>
      <c r="M314" s="317"/>
    </row>
    <row r="315" spans="1:13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2"/>
      <c r="L315" s="233"/>
      <c r="M315" s="317"/>
    </row>
    <row r="316" spans="1:13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2"/>
      <c r="L316" s="233"/>
      <c r="M316" s="317"/>
    </row>
    <row r="317" spans="1:13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2"/>
      <c r="L317" s="233"/>
      <c r="M317" s="317"/>
    </row>
    <row r="318" spans="1:13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2"/>
      <c r="L318" s="233"/>
      <c r="M318" s="317"/>
    </row>
    <row r="319" spans="1:13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2"/>
      <c r="L319" s="233"/>
      <c r="M319" s="317"/>
    </row>
    <row r="320" spans="1:13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2"/>
      <c r="L320" s="233"/>
      <c r="M320" s="317"/>
    </row>
    <row r="321" spans="1:13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2"/>
      <c r="L321" s="233"/>
      <c r="M321" s="317"/>
    </row>
    <row r="322" spans="1:13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2"/>
      <c r="L322" s="233"/>
      <c r="M322" s="317"/>
    </row>
    <row r="323" spans="1:13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2"/>
      <c r="L323" s="233"/>
      <c r="M323" s="317"/>
    </row>
    <row r="324" spans="1:13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2"/>
      <c r="L324" s="233"/>
      <c r="M324" s="317"/>
    </row>
    <row r="325" spans="1:13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2"/>
      <c r="L325" s="233"/>
      <c r="M325" s="317"/>
    </row>
    <row r="326" spans="1:13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2"/>
      <c r="L326" s="233"/>
      <c r="M326" s="317"/>
    </row>
    <row r="327" spans="1:13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2"/>
      <c r="L327" s="233"/>
      <c r="M327" s="317"/>
    </row>
    <row r="328" spans="1:13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2"/>
      <c r="L328" s="233"/>
      <c r="M328" s="317"/>
    </row>
    <row r="329" spans="1:13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2"/>
      <c r="L329" s="233"/>
      <c r="M329" s="317"/>
    </row>
    <row r="330" spans="1:13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2"/>
      <c r="L330" s="233"/>
      <c r="M330" s="317"/>
    </row>
    <row r="331" spans="1:13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2"/>
      <c r="L331" s="233"/>
      <c r="M331" s="317"/>
    </row>
    <row r="332" spans="1:13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2"/>
      <c r="L332" s="233"/>
      <c r="M332" s="317"/>
    </row>
    <row r="333" spans="1:13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2"/>
      <c r="L333" s="233"/>
      <c r="M333" s="317"/>
    </row>
    <row r="334" spans="1:13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2"/>
      <c r="L334" s="233"/>
      <c r="M334" s="317"/>
    </row>
    <row r="335" spans="1:13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2"/>
      <c r="L335" s="233"/>
      <c r="M335" s="317"/>
    </row>
    <row r="336" spans="1:13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2"/>
      <c r="L336" s="233"/>
      <c r="M336" s="317"/>
    </row>
    <row r="337" spans="1:13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2"/>
      <c r="L337" s="233"/>
      <c r="M337" s="317"/>
    </row>
    <row r="338" spans="1:13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2"/>
      <c r="L338" s="233"/>
      <c r="M338" s="317"/>
    </row>
    <row r="339" spans="1:13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2"/>
      <c r="L339" s="233"/>
      <c r="M339" s="317"/>
    </row>
    <row r="340" spans="1:13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2"/>
      <c r="L340" s="233"/>
      <c r="M340" s="317"/>
    </row>
    <row r="341" spans="1:13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2"/>
      <c r="L341" s="233"/>
      <c r="M341" s="317"/>
    </row>
    <row r="342" spans="1:13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2"/>
      <c r="L342" s="233"/>
      <c r="M342" s="317"/>
    </row>
    <row r="343" spans="1:13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2"/>
      <c r="L343" s="233"/>
      <c r="M343" s="317"/>
    </row>
    <row r="344" spans="1:13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2"/>
      <c r="L344" s="233"/>
      <c r="M344" s="317"/>
    </row>
    <row r="345" spans="1:13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2"/>
      <c r="L345" s="233"/>
      <c r="M345" s="317"/>
    </row>
    <row r="346" spans="1:13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2"/>
      <c r="L346" s="233"/>
      <c r="M346" s="317"/>
    </row>
    <row r="347" spans="1:13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2"/>
      <c r="L347" s="233"/>
      <c r="M347" s="317"/>
    </row>
    <row r="348" spans="1:13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2"/>
      <c r="L348" s="233"/>
      <c r="M348" s="317"/>
    </row>
    <row r="349" spans="1:13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2"/>
      <c r="L349" s="233"/>
      <c r="M349" s="317"/>
    </row>
    <row r="350" spans="1:13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2"/>
      <c r="L350" s="233"/>
      <c r="M350" s="317"/>
    </row>
    <row r="351" spans="1:13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2"/>
      <c r="L351" s="233"/>
      <c r="M351" s="317"/>
    </row>
    <row r="352" spans="1:13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2"/>
      <c r="L352" s="233"/>
      <c r="M352" s="317"/>
    </row>
    <row r="353" spans="1:13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2"/>
      <c r="L353" s="233"/>
      <c r="M353" s="317"/>
    </row>
    <row r="354" spans="1:13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2"/>
      <c r="L354" s="233"/>
      <c r="M354" s="317"/>
    </row>
    <row r="355" spans="1:13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2"/>
      <c r="L355" s="233"/>
      <c r="M355" s="317"/>
    </row>
    <row r="356" spans="1:13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2"/>
      <c r="L356" s="233"/>
      <c r="M356" s="317"/>
    </row>
    <row r="357" spans="1:13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2"/>
      <c r="L357" s="233"/>
      <c r="M357" s="317"/>
    </row>
    <row r="358" spans="1:13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2"/>
      <c r="L358" s="233"/>
      <c r="M358" s="317"/>
    </row>
    <row r="359" spans="1:13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2"/>
      <c r="L359" s="233"/>
      <c r="M359" s="317"/>
    </row>
    <row r="360" spans="1:13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2"/>
      <c r="L360" s="233"/>
      <c r="M360" s="317"/>
    </row>
    <row r="361" spans="1:13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2"/>
      <c r="L361" s="233"/>
      <c r="M361" s="317"/>
    </row>
    <row r="362" spans="1:13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2"/>
      <c r="L362" s="233"/>
      <c r="M362" s="317"/>
    </row>
    <row r="363" spans="1:13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2"/>
      <c r="L363" s="233"/>
      <c r="M363" s="317"/>
    </row>
    <row r="364" spans="1:13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2"/>
      <c r="L364" s="233"/>
      <c r="M364" s="317"/>
    </row>
    <row r="365" spans="1:13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2"/>
      <c r="L365" s="233"/>
      <c r="M365" s="317"/>
    </row>
    <row r="366" spans="1:13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2"/>
      <c r="L366" s="233"/>
      <c r="M366" s="317"/>
    </row>
    <row r="367" spans="1:13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2"/>
      <c r="L367" s="233"/>
      <c r="M367" s="317"/>
    </row>
    <row r="368" spans="1:13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2"/>
      <c r="L368" s="233"/>
      <c r="M368" s="317"/>
    </row>
    <row r="369" spans="1:13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2"/>
      <c r="L369" s="233"/>
      <c r="M369" s="317"/>
    </row>
    <row r="370" spans="1:13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2"/>
      <c r="L370" s="233"/>
      <c r="M370" s="317"/>
    </row>
    <row r="371" spans="1:13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2"/>
      <c r="L371" s="233"/>
      <c r="M371" s="317"/>
    </row>
    <row r="372" spans="1:13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2"/>
      <c r="L372" s="233"/>
      <c r="M372" s="317"/>
    </row>
    <row r="373" spans="1:13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2"/>
      <c r="L373" s="233"/>
      <c r="M373" s="317"/>
    </row>
    <row r="374" spans="1:13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2"/>
      <c r="L374" s="233"/>
      <c r="M374" s="317"/>
    </row>
    <row r="375" spans="1:13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2"/>
      <c r="L375" s="233"/>
      <c r="M375" s="317"/>
    </row>
    <row r="376" spans="1:13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2"/>
      <c r="L376" s="233"/>
      <c r="M376" s="317"/>
    </row>
    <row r="377" spans="1:13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2"/>
      <c r="L377" s="233"/>
      <c r="M377" s="317"/>
    </row>
    <row r="378" spans="1:13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2"/>
      <c r="L378" s="233"/>
      <c r="M378" s="317"/>
    </row>
    <row r="379" spans="1:13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2"/>
      <c r="L379" s="233"/>
      <c r="M379" s="317"/>
    </row>
    <row r="380" spans="1:13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2"/>
      <c r="L380" s="233"/>
      <c r="M380" s="317"/>
    </row>
    <row r="381" spans="1:13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2"/>
      <c r="L381" s="233"/>
      <c r="M381" s="317"/>
    </row>
    <row r="382" spans="1:13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2"/>
      <c r="L382" s="233"/>
      <c r="M382" s="317"/>
    </row>
    <row r="383" spans="1:13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2"/>
      <c r="L383" s="233"/>
      <c r="M383" s="317"/>
    </row>
    <row r="384" spans="1:13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2"/>
      <c r="L384" s="233"/>
      <c r="M384" s="317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2"/>
      <c r="L385" s="233"/>
      <c r="M385" s="317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2"/>
      <c r="L386" s="233"/>
      <c r="M386" s="317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2"/>
      <c r="L387" s="233"/>
      <c r="M387" s="317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2"/>
      <c r="L388" s="233"/>
      <c r="M388" s="317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2"/>
      <c r="L389" s="233"/>
      <c r="M389" s="317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2"/>
      <c r="L390" s="233"/>
      <c r="M390" s="317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2"/>
      <c r="L391" s="233"/>
      <c r="M391" s="317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2"/>
      <c r="L392" s="233"/>
      <c r="M392" s="317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2"/>
      <c r="L393" s="233"/>
      <c r="M393" s="317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2"/>
      <c r="L394" s="233"/>
      <c r="M394" s="317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2"/>
      <c r="L395" s="233"/>
      <c r="M395" s="317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2"/>
      <c r="L396" s="233"/>
      <c r="M396" s="317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2"/>
      <c r="L397" s="233"/>
      <c r="M397" s="317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2"/>
      <c r="L398" s="233"/>
      <c r="M398" s="317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2"/>
      <c r="L399" s="233"/>
      <c r="M399" s="317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2"/>
      <c r="L400" s="233"/>
      <c r="M400" s="317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2"/>
      <c r="L401" s="233"/>
      <c r="M401" s="317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2"/>
      <c r="L402" s="233"/>
      <c r="M402" s="317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2"/>
      <c r="L403" s="233"/>
      <c r="M403" s="317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2"/>
      <c r="L404" s="233"/>
      <c r="M404" s="317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2"/>
      <c r="L405" s="233"/>
      <c r="M405" s="317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2"/>
      <c r="L406" s="233"/>
      <c r="M406" s="317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2"/>
      <c r="L407" s="233"/>
      <c r="M407" s="317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2"/>
      <c r="L408" s="233"/>
      <c r="M408" s="317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2"/>
      <c r="L409" s="233"/>
      <c r="M409" s="317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2"/>
      <c r="L410" s="233"/>
      <c r="M410" s="317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2"/>
      <c r="L411" s="233"/>
      <c r="M411" s="317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2"/>
      <c r="L412" s="233"/>
      <c r="M412" s="317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2"/>
      <c r="L413" s="233"/>
      <c r="M413" s="317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2"/>
      <c r="L414" s="233"/>
      <c r="M414" s="317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2"/>
      <c r="L415" s="233"/>
      <c r="M415" s="317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2"/>
      <c r="L416" s="233"/>
      <c r="M416" s="317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2"/>
      <c r="L417" s="233"/>
      <c r="M417" s="317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2"/>
      <c r="L418" s="233"/>
      <c r="M418" s="317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2"/>
      <c r="L419" s="233"/>
      <c r="M419" s="317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2"/>
      <c r="L420" s="233"/>
      <c r="M420" s="317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2"/>
      <c r="L421" s="233"/>
      <c r="M421" s="317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2"/>
      <c r="L422" s="233"/>
      <c r="M422" s="317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2"/>
      <c r="L423" s="233"/>
      <c r="M423" s="317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2"/>
      <c r="L424" s="233"/>
      <c r="M424" s="317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2"/>
      <c r="L425" s="233"/>
      <c r="M425" s="317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2"/>
      <c r="L426" s="233"/>
      <c r="M426" s="317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2"/>
      <c r="L427" s="233"/>
      <c r="M427" s="317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2"/>
      <c r="L428" s="233"/>
      <c r="M428" s="317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2"/>
      <c r="L429" s="233"/>
      <c r="M429" s="317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2"/>
      <c r="L430" s="233"/>
      <c r="M430" s="317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2"/>
      <c r="L431" s="233"/>
      <c r="M431" s="317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2"/>
      <c r="L432" s="233"/>
      <c r="M432" s="317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2"/>
      <c r="L433" s="233"/>
      <c r="M433" s="317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2"/>
      <c r="L434" s="233"/>
      <c r="M434" s="317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2"/>
      <c r="L435" s="233"/>
      <c r="M435" s="317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2"/>
      <c r="L436" s="233"/>
      <c r="M436" s="317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2"/>
      <c r="L437" s="233"/>
      <c r="M437" s="317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2"/>
      <c r="L438" s="233"/>
      <c r="M438" s="317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2"/>
      <c r="L439" s="233"/>
      <c r="M439" s="317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2"/>
      <c r="L440" s="233"/>
      <c r="M440" s="317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2"/>
      <c r="L441" s="233"/>
      <c r="M441" s="317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2"/>
      <c r="L442" s="233"/>
      <c r="M442" s="317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2"/>
      <c r="L443" s="233"/>
      <c r="M443" s="317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2"/>
      <c r="L444" s="233"/>
      <c r="M444" s="317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2"/>
      <c r="L445" s="233"/>
      <c r="M445" s="317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2"/>
      <c r="L446" s="233"/>
      <c r="M446" s="317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2"/>
      <c r="L447" s="233"/>
      <c r="M447" s="317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2"/>
      <c r="L448" s="233"/>
      <c r="M448" s="317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2"/>
      <c r="L449" s="233"/>
      <c r="M449" s="317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2"/>
      <c r="L450" s="233"/>
      <c r="M450" s="317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2"/>
      <c r="L451" s="233"/>
      <c r="M451" s="317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2"/>
      <c r="L452" s="233"/>
      <c r="M452" s="317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2"/>
      <c r="L453" s="233"/>
      <c r="M453" s="317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2"/>
      <c r="L454" s="233"/>
      <c r="M454" s="317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2"/>
      <c r="L455" s="233"/>
      <c r="M455" s="317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2"/>
      <c r="L456" s="233"/>
      <c r="M456" s="317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2"/>
      <c r="L457" s="233"/>
      <c r="M457" s="317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2"/>
      <c r="L458" s="233"/>
      <c r="M458" s="317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2"/>
      <c r="L459" s="233"/>
      <c r="M459" s="317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2"/>
      <c r="L460" s="233"/>
      <c r="M460" s="317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2"/>
      <c r="L461" s="233"/>
      <c r="M461" s="317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2"/>
      <c r="L462" s="233"/>
      <c r="M462" s="317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2"/>
      <c r="L463" s="233"/>
      <c r="M463" s="317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2"/>
      <c r="L464" s="233"/>
      <c r="M464" s="317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2"/>
      <c r="L465" s="233"/>
      <c r="M465" s="317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2"/>
      <c r="L466" s="233"/>
      <c r="M466" s="317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2"/>
      <c r="L467" s="233"/>
      <c r="M467" s="317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2"/>
      <c r="L468" s="233"/>
      <c r="M468" s="317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2"/>
      <c r="L469" s="233"/>
      <c r="M469" s="317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2"/>
      <c r="L470" s="233"/>
      <c r="M470" s="317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2"/>
      <c r="L471" s="233"/>
      <c r="M471" s="317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2"/>
      <c r="L472" s="233"/>
      <c r="M472" s="317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2"/>
      <c r="L473" s="233"/>
      <c r="M473" s="317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2"/>
      <c r="L474" s="233"/>
      <c r="M474" s="317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2"/>
      <c r="L475" s="233"/>
      <c r="M475" s="317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2"/>
      <c r="L476" s="233"/>
      <c r="M476" s="317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2"/>
      <c r="L477" s="233"/>
      <c r="M477" s="317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2"/>
      <c r="L478" s="233"/>
      <c r="M478" s="317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2"/>
      <c r="L479" s="233"/>
      <c r="M479" s="317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2"/>
      <c r="L480" s="233"/>
      <c r="M480" s="317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2"/>
      <c r="L481" s="233"/>
      <c r="M481" s="317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2"/>
      <c r="L482" s="233"/>
      <c r="M482" s="317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2"/>
      <c r="L483" s="233"/>
      <c r="M483" s="317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2"/>
      <c r="L484" s="233"/>
      <c r="M484" s="317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2"/>
      <c r="L485" s="233"/>
      <c r="M485" s="317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2"/>
      <c r="L486" s="233"/>
      <c r="M486" s="317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2"/>
      <c r="L487" s="233"/>
      <c r="M487" s="317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2"/>
      <c r="L488" s="233"/>
      <c r="M488" s="317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2"/>
      <c r="L489" s="233"/>
      <c r="M489" s="317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2"/>
      <c r="L490" s="233"/>
      <c r="M490" s="317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2"/>
      <c r="L491" s="233"/>
      <c r="M491" s="317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2"/>
      <c r="L492" s="233"/>
      <c r="M492" s="317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2"/>
      <c r="L493" s="233"/>
      <c r="M493" s="317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2"/>
      <c r="L494" s="233"/>
      <c r="M494" s="317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2"/>
      <c r="L495" s="233"/>
      <c r="M495" s="317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2"/>
      <c r="L496" s="233"/>
      <c r="M496" s="317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2"/>
      <c r="L497" s="233"/>
      <c r="M497" s="317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2"/>
      <c r="L498" s="233"/>
      <c r="M498" s="317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2"/>
      <c r="L499" s="233"/>
      <c r="M499" s="317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2"/>
      <c r="L500" s="233"/>
      <c r="M500" s="317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2"/>
      <c r="L501" s="233"/>
      <c r="M501" s="317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2"/>
      <c r="L502" s="233"/>
      <c r="M502" s="317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2"/>
      <c r="L503" s="233"/>
      <c r="M503" s="317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2"/>
      <c r="L504" s="233"/>
      <c r="M504" s="317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2"/>
      <c r="L505" s="233"/>
      <c r="M505" s="317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2"/>
      <c r="L506" s="233"/>
      <c r="M506" s="317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2"/>
      <c r="L507" s="233"/>
      <c r="M507" s="317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2"/>
      <c r="L508" s="233"/>
      <c r="M508" s="317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2"/>
      <c r="L509" s="233"/>
      <c r="M509" s="317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2"/>
      <c r="L510" s="233"/>
      <c r="M510" s="317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2"/>
      <c r="L511" s="233"/>
      <c r="M511" s="317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2"/>
      <c r="L512" s="233"/>
      <c r="M512" s="317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2"/>
      <c r="L513" s="233"/>
      <c r="M513" s="317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2"/>
      <c r="L514" s="233"/>
      <c r="M514" s="317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2"/>
      <c r="L515" s="233"/>
      <c r="M515" s="317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2"/>
      <c r="L516" s="233"/>
      <c r="M516" s="317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2"/>
      <c r="L517" s="233"/>
      <c r="M517" s="317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2"/>
      <c r="L518" s="233"/>
      <c r="M518" s="317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2"/>
      <c r="L519" s="233"/>
      <c r="M519" s="317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2"/>
      <c r="L520" s="233"/>
      <c r="M520" s="317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2"/>
      <c r="L521" s="233"/>
      <c r="M521" s="317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2"/>
      <c r="L522" s="233"/>
      <c r="M522" s="317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2"/>
      <c r="L523" s="233"/>
      <c r="M523" s="317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2"/>
      <c r="L524" s="233"/>
      <c r="M524" s="317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2"/>
      <c r="L525" s="233"/>
      <c r="M525" s="317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2"/>
      <c r="L526" s="233"/>
      <c r="M526" s="317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2"/>
      <c r="L527" s="233"/>
      <c r="M527" s="317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2"/>
      <c r="L528" s="233"/>
      <c r="M528" s="317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2"/>
      <c r="L529" s="233"/>
      <c r="M529" s="317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2"/>
      <c r="L530" s="233"/>
      <c r="M530" s="317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2"/>
      <c r="L531" s="233"/>
      <c r="M531" s="317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2"/>
      <c r="L532" s="233"/>
      <c r="M532" s="317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2"/>
      <c r="L533" s="233"/>
      <c r="M533" s="317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2"/>
      <c r="L534" s="233"/>
      <c r="M534" s="317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2"/>
      <c r="L535" s="233"/>
      <c r="M535" s="317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2"/>
      <c r="L536" s="233"/>
      <c r="M536" s="317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2"/>
      <c r="L537" s="233"/>
      <c r="M537" s="317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2"/>
      <c r="L538" s="233"/>
      <c r="M538" s="317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2"/>
      <c r="L539" s="233"/>
      <c r="M539" s="317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2"/>
      <c r="L540" s="233"/>
      <c r="M540" s="317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2"/>
      <c r="L541" s="233"/>
      <c r="M541" s="317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2"/>
      <c r="L542" s="233"/>
      <c r="M542" s="317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2"/>
      <c r="L543" s="233"/>
      <c r="M543" s="317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2"/>
      <c r="L544" s="233"/>
      <c r="M544" s="317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2"/>
      <c r="L545" s="233"/>
      <c r="M545" s="317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2"/>
      <c r="L546" s="233"/>
      <c r="M546" s="317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2"/>
      <c r="L547" s="233"/>
      <c r="M547" s="317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2"/>
      <c r="L548" s="233"/>
      <c r="M548" s="317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2"/>
      <c r="L549" s="233"/>
      <c r="M549" s="317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2"/>
      <c r="L550" s="233"/>
      <c r="M550" s="317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2"/>
      <c r="L551" s="233"/>
      <c r="M551" s="317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2"/>
      <c r="L552" s="233"/>
      <c r="M552" s="317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2"/>
      <c r="L553" s="233"/>
      <c r="M553" s="317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2"/>
      <c r="L554" s="233"/>
      <c r="M554" s="317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2"/>
      <c r="L555" s="233"/>
      <c r="M555" s="317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2"/>
      <c r="L556" s="233"/>
      <c r="M556" s="317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2"/>
      <c r="L557" s="233"/>
      <c r="M557" s="317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2"/>
      <c r="L558" s="233"/>
      <c r="M558" s="317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2"/>
      <c r="L559" s="233"/>
      <c r="M559" s="317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2"/>
      <c r="L560" s="233"/>
      <c r="M560" s="317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2"/>
      <c r="L561" s="233"/>
      <c r="M561" s="317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2"/>
      <c r="L562" s="233"/>
      <c r="M562" s="317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2"/>
      <c r="L563" s="233"/>
      <c r="M563" s="317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2"/>
      <c r="L564" s="233"/>
      <c r="M564" s="317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2"/>
      <c r="L565" s="233"/>
      <c r="M565" s="317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2"/>
      <c r="L566" s="233"/>
      <c r="M566" s="317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2"/>
      <c r="L567" s="233"/>
      <c r="M567" s="317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2"/>
      <c r="L568" s="233"/>
      <c r="M568" s="317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2"/>
      <c r="L569" s="233"/>
      <c r="M569" s="317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2"/>
      <c r="L570" s="233"/>
      <c r="M570" s="317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2"/>
      <c r="L571" s="233"/>
      <c r="M571" s="317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2"/>
      <c r="L572" s="233"/>
      <c r="M572" s="317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2"/>
      <c r="L573" s="233"/>
      <c r="M573" s="317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2"/>
      <c r="L574" s="233"/>
      <c r="M574" s="317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2"/>
      <c r="L575" s="233"/>
      <c r="M575" s="317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2"/>
      <c r="L576" s="233"/>
      <c r="M576" s="317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2"/>
      <c r="L577" s="233"/>
      <c r="M577" s="317"/>
    </row>
    <row r="578" spans="1:13" x14ac:dyDescent="0.3">
      <c r="A578" s="8"/>
      <c r="B578" s="175"/>
      <c r="C578" s="175"/>
      <c r="D578" s="175"/>
      <c r="E578" s="264"/>
      <c r="F578" s="265"/>
      <c r="H578" s="8"/>
      <c r="I578" s="205"/>
      <c r="J578" s="205"/>
      <c r="K578" s="282"/>
      <c r="L578" s="233"/>
      <c r="M578" s="317"/>
    </row>
    <row r="579" spans="1:13" x14ac:dyDescent="0.3">
      <c r="A579" s="8"/>
      <c r="B579" s="175"/>
      <c r="C579" s="175"/>
      <c r="D579" s="175"/>
      <c r="E579" s="264"/>
      <c r="F579" s="265"/>
      <c r="H579" s="8"/>
      <c r="I579" s="205"/>
      <c r="J579" s="205"/>
      <c r="K579" s="282"/>
      <c r="L579" s="233"/>
      <c r="M579" s="317"/>
    </row>
    <row r="580" spans="1:13" x14ac:dyDescent="0.3">
      <c r="A580" s="8"/>
      <c r="B580" s="175"/>
      <c r="C580" s="175"/>
      <c r="D580" s="175"/>
      <c r="E580" s="264"/>
      <c r="F580" s="265"/>
      <c r="H580" s="8"/>
      <c r="I580" s="205"/>
      <c r="J580" s="205"/>
      <c r="K580" s="282"/>
      <c r="L580" s="233"/>
      <c r="M580" s="317"/>
    </row>
    <row r="581" spans="1:13" x14ac:dyDescent="0.3">
      <c r="A581" s="8"/>
      <c r="B581" s="175"/>
      <c r="C581" s="175"/>
      <c r="D581" s="175"/>
      <c r="E581" s="264"/>
      <c r="F581" s="265"/>
      <c r="H581" s="8"/>
      <c r="I581" s="205"/>
      <c r="J581" s="205"/>
      <c r="K581" s="282"/>
      <c r="L581" s="233"/>
      <c r="M581" s="317"/>
    </row>
    <row r="582" spans="1:13" x14ac:dyDescent="0.3">
      <c r="A582" s="8"/>
      <c r="B582" s="175"/>
      <c r="C582" s="175"/>
      <c r="D582" s="175"/>
      <c r="E582" s="264"/>
      <c r="F582" s="265"/>
      <c r="H582" s="8"/>
      <c r="I582" s="205"/>
      <c r="J582" s="205"/>
      <c r="K582" s="282"/>
      <c r="L582" s="233"/>
      <c r="M582" s="317"/>
    </row>
    <row r="583" spans="1:13" x14ac:dyDescent="0.3">
      <c r="A583" s="8"/>
      <c r="B583" s="175"/>
      <c r="C583" s="175"/>
      <c r="D583" s="175"/>
      <c r="E583" s="264"/>
      <c r="F583" s="265"/>
      <c r="H583" s="8"/>
      <c r="I583" s="205"/>
      <c r="J583" s="205"/>
      <c r="K583" s="282"/>
      <c r="L583" s="233"/>
      <c r="M583" s="317"/>
    </row>
    <row r="584" spans="1:13" x14ac:dyDescent="0.3">
      <c r="A584" s="8"/>
      <c r="B584" s="175"/>
      <c r="C584" s="175"/>
      <c r="D584" s="175"/>
      <c r="E584" s="264"/>
      <c r="F584" s="265"/>
      <c r="H584" s="8"/>
      <c r="I584" s="205"/>
      <c r="J584" s="205"/>
      <c r="K584" s="282"/>
      <c r="L584" s="233"/>
      <c r="M584" s="317"/>
    </row>
    <row r="585" spans="1:13" x14ac:dyDescent="0.3">
      <c r="A585" s="8"/>
      <c r="B585" s="175"/>
      <c r="C585" s="175"/>
      <c r="D585" s="175"/>
      <c r="E585" s="264"/>
      <c r="F585" s="265"/>
      <c r="H585" s="8"/>
      <c r="I585" s="205"/>
      <c r="J585" s="205"/>
      <c r="K585" s="282"/>
      <c r="L585" s="233"/>
      <c r="M585" s="317"/>
    </row>
    <row r="586" spans="1:13" x14ac:dyDescent="0.3">
      <c r="A586" s="8"/>
      <c r="B586" s="175"/>
      <c r="C586" s="175"/>
      <c r="D586" s="175"/>
      <c r="E586" s="264"/>
      <c r="F586" s="265"/>
      <c r="H586" s="8"/>
      <c r="I586" s="205"/>
      <c r="J586" s="205"/>
      <c r="K586" s="282"/>
      <c r="L586" s="233"/>
      <c r="M586" s="317"/>
    </row>
    <row r="587" spans="1:13" x14ac:dyDescent="0.3">
      <c r="A587" s="8"/>
      <c r="B587" s="175"/>
      <c r="C587" s="175"/>
      <c r="D587" s="175"/>
      <c r="E587" s="264"/>
      <c r="F587" s="265"/>
      <c r="H587" s="8"/>
      <c r="I587" s="205"/>
      <c r="J587" s="205"/>
      <c r="K587" s="282"/>
      <c r="L587" s="233"/>
      <c r="M587" s="317"/>
    </row>
    <row r="588" spans="1:13" x14ac:dyDescent="0.3">
      <c r="A588" s="8"/>
      <c r="B588" s="175"/>
      <c r="C588" s="175"/>
      <c r="D588" s="175"/>
      <c r="E588" s="264"/>
      <c r="F588" s="265"/>
      <c r="H588" s="8"/>
      <c r="I588" s="205"/>
      <c r="J588" s="205"/>
      <c r="K588" s="282"/>
      <c r="L588" s="233"/>
      <c r="M588" s="317"/>
    </row>
    <row r="589" spans="1:13" x14ac:dyDescent="0.3">
      <c r="A589" s="8"/>
      <c r="B589" s="175"/>
      <c r="C589" s="175"/>
      <c r="D589" s="175"/>
      <c r="E589" s="264"/>
      <c r="F589" s="265"/>
      <c r="H589" s="8"/>
      <c r="I589" s="205"/>
      <c r="J589" s="205"/>
      <c r="K589" s="282"/>
      <c r="L589" s="233"/>
      <c r="M589" s="317"/>
    </row>
    <row r="590" spans="1:13" x14ac:dyDescent="0.3">
      <c r="A590" s="8"/>
      <c r="B590" s="175"/>
      <c r="C590" s="175"/>
      <c r="D590" s="175"/>
      <c r="E590" s="264"/>
      <c r="F590" s="265"/>
      <c r="H590" s="8"/>
      <c r="I590" s="205"/>
      <c r="J590" s="205"/>
      <c r="K590" s="282"/>
      <c r="L590" s="233"/>
      <c r="M590" s="317"/>
    </row>
    <row r="591" spans="1:13" x14ac:dyDescent="0.3">
      <c r="A591" s="8"/>
      <c r="B591" s="175"/>
      <c r="C591" s="175"/>
      <c r="D591" s="175"/>
      <c r="E591" s="264"/>
      <c r="F591" s="265"/>
      <c r="H591" s="8"/>
      <c r="I591" s="205"/>
      <c r="J591" s="205"/>
      <c r="K591" s="282"/>
      <c r="L591" s="233"/>
      <c r="M591" s="317"/>
    </row>
    <row r="592" spans="1:13" x14ac:dyDescent="0.3">
      <c r="A592" s="8"/>
      <c r="B592" s="175"/>
      <c r="C592" s="175"/>
      <c r="D592" s="175"/>
      <c r="E592" s="264"/>
      <c r="F592" s="265"/>
      <c r="H592" s="8"/>
      <c r="I592" s="205"/>
      <c r="J592" s="205"/>
      <c r="K592" s="282"/>
      <c r="L592" s="233"/>
      <c r="M592" s="317"/>
    </row>
    <row r="593" spans="1:13" x14ac:dyDescent="0.3">
      <c r="A593" s="8"/>
      <c r="B593" s="175"/>
      <c r="C593" s="175"/>
      <c r="D593" s="175"/>
      <c r="E593" s="264"/>
      <c r="F593" s="265"/>
      <c r="H593" s="8"/>
      <c r="I593" s="205"/>
      <c r="J593" s="205"/>
      <c r="K593" s="282"/>
      <c r="L593" s="233"/>
      <c r="M593" s="317"/>
    </row>
    <row r="594" spans="1:13" x14ac:dyDescent="0.3">
      <c r="A594" s="8"/>
      <c r="B594" s="175"/>
      <c r="C594" s="175"/>
      <c r="D594" s="175"/>
      <c r="E594" s="264"/>
      <c r="F594" s="265"/>
      <c r="H594" s="8"/>
      <c r="I594" s="205"/>
      <c r="J594" s="205"/>
      <c r="K594" s="282"/>
      <c r="L594" s="233"/>
      <c r="M594" s="317"/>
    </row>
    <row r="595" spans="1:13" x14ac:dyDescent="0.3">
      <c r="A595" s="8"/>
      <c r="B595" s="175"/>
      <c r="C595" s="175"/>
      <c r="D595" s="175"/>
      <c r="E595" s="264"/>
      <c r="F595" s="265"/>
      <c r="H595" s="8"/>
      <c r="I595" s="205"/>
      <c r="J595" s="205"/>
      <c r="K595" s="282"/>
      <c r="L595" s="233"/>
      <c r="M595" s="317"/>
    </row>
    <row r="596" spans="1:13" x14ac:dyDescent="0.3">
      <c r="A596" s="8"/>
      <c r="B596" s="175"/>
      <c r="C596" s="175"/>
      <c r="D596" s="175"/>
      <c r="E596" s="264"/>
      <c r="F596" s="265"/>
      <c r="H596" s="8"/>
      <c r="I596" s="205"/>
      <c r="J596" s="205"/>
      <c r="K596" s="282"/>
      <c r="L596" s="233"/>
      <c r="M596" s="317"/>
    </row>
    <row r="597" spans="1:13" x14ac:dyDescent="0.3">
      <c r="A597" s="8"/>
      <c r="B597" s="175"/>
      <c r="C597" s="175"/>
      <c r="D597" s="175"/>
      <c r="E597" s="264"/>
      <c r="F597" s="265"/>
      <c r="H597" s="8"/>
      <c r="I597" s="205"/>
      <c r="J597" s="205"/>
      <c r="K597" s="282"/>
      <c r="L597" s="233"/>
      <c r="M597" s="317"/>
    </row>
    <row r="598" spans="1:13" x14ac:dyDescent="0.3">
      <c r="A598" s="8"/>
      <c r="B598" s="175"/>
      <c r="C598" s="175"/>
      <c r="D598" s="175"/>
      <c r="E598" s="264"/>
      <c r="F598" s="265"/>
      <c r="H598" s="8"/>
      <c r="I598" s="205"/>
      <c r="J598" s="205"/>
      <c r="K598" s="282"/>
      <c r="L598" s="233"/>
      <c r="M598" s="317"/>
    </row>
    <row r="599" spans="1:13" x14ac:dyDescent="0.3">
      <c r="A599" s="8"/>
      <c r="B599" s="175"/>
      <c r="C599" s="175"/>
      <c r="D599" s="175"/>
      <c r="E599" s="264"/>
      <c r="F599" s="265"/>
      <c r="H599" s="8"/>
      <c r="I599" s="205"/>
      <c r="J599" s="205"/>
      <c r="K599" s="282"/>
      <c r="L599" s="233"/>
      <c r="M599" s="317"/>
    </row>
    <row r="600" spans="1:13" x14ac:dyDescent="0.3">
      <c r="A600" s="8"/>
      <c r="B600" s="175"/>
      <c r="C600" s="175"/>
      <c r="D600" s="175"/>
      <c r="E600" s="264"/>
      <c r="F600" s="265"/>
      <c r="H600" s="8"/>
      <c r="I600" s="205"/>
      <c r="J600" s="205"/>
      <c r="K600" s="282"/>
      <c r="L600" s="233"/>
      <c r="M600" s="317"/>
    </row>
    <row r="601" spans="1:13" x14ac:dyDescent="0.3">
      <c r="A601" s="8"/>
      <c r="B601" s="175"/>
      <c r="C601" s="175"/>
      <c r="D601" s="175"/>
      <c r="E601" s="264"/>
      <c r="F601" s="265"/>
      <c r="H601" s="8"/>
      <c r="I601" s="205"/>
      <c r="J601" s="205"/>
      <c r="K601" s="282"/>
      <c r="L601" s="233"/>
      <c r="M601" s="317"/>
    </row>
    <row r="602" spans="1:13" x14ac:dyDescent="0.3">
      <c r="A602" s="8"/>
      <c r="B602" s="175"/>
      <c r="C602" s="175"/>
      <c r="D602" s="175"/>
      <c r="E602" s="264"/>
      <c r="F602" s="265"/>
      <c r="H602" s="8"/>
      <c r="I602" s="205"/>
      <c r="J602" s="205"/>
      <c r="K602" s="282"/>
      <c r="L602" s="233"/>
      <c r="M602" s="317"/>
    </row>
    <row r="603" spans="1:13" x14ac:dyDescent="0.3">
      <c r="A603" s="8"/>
      <c r="B603" s="175"/>
      <c r="C603" s="175"/>
      <c r="D603" s="175"/>
      <c r="E603" s="264"/>
      <c r="F603" s="265"/>
      <c r="H603" s="8"/>
      <c r="I603" s="205"/>
      <c r="J603" s="205"/>
      <c r="K603" s="282"/>
      <c r="L603" s="233"/>
      <c r="M603" s="317"/>
    </row>
    <row r="604" spans="1:13" x14ac:dyDescent="0.3">
      <c r="A604" s="8"/>
      <c r="B604" s="175"/>
      <c r="C604" s="175"/>
      <c r="D604" s="175"/>
      <c r="E604" s="264"/>
      <c r="F604" s="265"/>
      <c r="H604" s="8"/>
      <c r="I604" s="205"/>
      <c r="J604" s="205"/>
      <c r="K604" s="282"/>
      <c r="L604" s="233"/>
      <c r="M604" s="317"/>
    </row>
    <row r="605" spans="1:13" x14ac:dyDescent="0.3">
      <c r="A605" s="8"/>
      <c r="B605" s="175"/>
      <c r="C605" s="175"/>
      <c r="D605" s="175"/>
      <c r="E605" s="264"/>
      <c r="F605" s="265"/>
      <c r="H605" s="8"/>
      <c r="I605" s="205"/>
      <c r="J605" s="205"/>
      <c r="K605" s="282"/>
      <c r="L605" s="233"/>
      <c r="M605" s="317"/>
    </row>
    <row r="606" spans="1:13" x14ac:dyDescent="0.3">
      <c r="A606" s="8"/>
      <c r="B606" s="175"/>
      <c r="C606" s="175"/>
      <c r="D606" s="175"/>
      <c r="E606" s="264"/>
      <c r="F606" s="265"/>
      <c r="H606" s="8"/>
      <c r="I606" s="205"/>
      <c r="J606" s="205"/>
      <c r="K606" s="282"/>
      <c r="L606" s="233"/>
      <c r="M606" s="317"/>
    </row>
    <row r="607" spans="1:13" x14ac:dyDescent="0.3">
      <c r="A607" s="8"/>
      <c r="B607" s="175"/>
      <c r="C607" s="175"/>
      <c r="D607" s="175"/>
      <c r="E607" s="264"/>
      <c r="F607" s="265"/>
      <c r="H607" s="8"/>
      <c r="I607" s="205"/>
      <c r="J607" s="205"/>
      <c r="K607" s="282"/>
      <c r="L607" s="233"/>
      <c r="M607" s="317"/>
    </row>
    <row r="608" spans="1:13" x14ac:dyDescent="0.3">
      <c r="A608" s="8"/>
      <c r="B608" s="175"/>
      <c r="C608" s="175"/>
      <c r="D608" s="175"/>
      <c r="E608" s="264"/>
      <c r="F608" s="265"/>
      <c r="H608" s="8"/>
      <c r="I608" s="205"/>
      <c r="J608" s="205"/>
      <c r="K608" s="282"/>
      <c r="L608" s="233"/>
      <c r="M608" s="317"/>
    </row>
    <row r="609" spans="1:13" x14ac:dyDescent="0.3">
      <c r="A609" s="8"/>
      <c r="B609" s="175"/>
      <c r="C609" s="175"/>
      <c r="D609" s="175"/>
      <c r="E609" s="264"/>
      <c r="F609" s="265"/>
      <c r="H609" s="8"/>
      <c r="I609" s="205"/>
      <c r="J609" s="205"/>
      <c r="K609" s="282"/>
      <c r="L609" s="233"/>
      <c r="M609" s="317"/>
    </row>
    <row r="610" spans="1:13" x14ac:dyDescent="0.3">
      <c r="A610" s="8"/>
      <c r="B610" s="175"/>
      <c r="C610" s="175"/>
      <c r="D610" s="175"/>
      <c r="E610" s="264"/>
      <c r="F610" s="265"/>
      <c r="H610" s="8"/>
      <c r="I610" s="205"/>
      <c r="J610" s="205"/>
      <c r="K610" s="282"/>
      <c r="L610" s="233"/>
      <c r="M610" s="317"/>
    </row>
    <row r="611" spans="1:13" x14ac:dyDescent="0.3">
      <c r="A611" s="8"/>
      <c r="B611" s="175"/>
      <c r="C611" s="175"/>
      <c r="D611" s="175"/>
      <c r="E611" s="264"/>
      <c r="F611" s="265"/>
      <c r="H611" s="8"/>
      <c r="I611" s="205"/>
      <c r="J611" s="205"/>
      <c r="K611" s="282"/>
      <c r="L611" s="233"/>
      <c r="M611" s="317"/>
    </row>
    <row r="612" spans="1:13" x14ac:dyDescent="0.3">
      <c r="A612" s="8"/>
      <c r="B612" s="175"/>
      <c r="C612" s="175"/>
      <c r="D612" s="175"/>
      <c r="E612" s="264"/>
      <c r="F612" s="265"/>
      <c r="H612" s="8"/>
      <c r="I612" s="205"/>
      <c r="J612" s="205"/>
      <c r="K612" s="282"/>
      <c r="L612" s="233"/>
      <c r="M612" s="317"/>
    </row>
    <row r="613" spans="1:13" x14ac:dyDescent="0.3">
      <c r="A613" s="8"/>
      <c r="B613" s="175"/>
      <c r="C613" s="175"/>
      <c r="D613" s="175"/>
      <c r="E613" s="264"/>
      <c r="F613" s="265"/>
      <c r="H613" s="8"/>
      <c r="I613" s="205"/>
      <c r="J613" s="205"/>
      <c r="K613" s="282"/>
      <c r="L613" s="233"/>
      <c r="M613" s="317"/>
    </row>
    <row r="614" spans="1:13" x14ac:dyDescent="0.3">
      <c r="A614" s="8"/>
      <c r="B614" s="175"/>
      <c r="C614" s="175"/>
      <c r="D614" s="175"/>
      <c r="E614" s="264"/>
      <c r="F614" s="265"/>
      <c r="H614" s="8"/>
      <c r="I614" s="205"/>
      <c r="J614" s="205"/>
      <c r="K614" s="282"/>
      <c r="L614" s="233"/>
      <c r="M614" s="317"/>
    </row>
    <row r="615" spans="1:13" x14ac:dyDescent="0.3">
      <c r="A615" s="8"/>
      <c r="B615" s="175"/>
      <c r="C615" s="175"/>
      <c r="D615" s="175"/>
      <c r="E615" s="264"/>
      <c r="F615" s="265"/>
      <c r="H615" s="8"/>
      <c r="I615" s="205"/>
      <c r="J615" s="205"/>
      <c r="K615" s="282"/>
      <c r="L615" s="233"/>
      <c r="M615" s="317"/>
    </row>
    <row r="616" spans="1:13" x14ac:dyDescent="0.3">
      <c r="A616" s="8"/>
      <c r="B616" s="175"/>
      <c r="C616" s="175"/>
      <c r="D616" s="175"/>
      <c r="E616" s="264"/>
      <c r="F616" s="265"/>
      <c r="H616" s="8"/>
      <c r="I616" s="205"/>
      <c r="J616" s="205"/>
      <c r="K616" s="282"/>
      <c r="L616" s="233"/>
      <c r="M616" s="317"/>
    </row>
    <row r="617" spans="1:13" x14ac:dyDescent="0.3">
      <c r="A617" s="8"/>
      <c r="B617" s="175"/>
      <c r="C617" s="175"/>
      <c r="D617" s="175"/>
      <c r="E617" s="264"/>
      <c r="F617" s="265"/>
      <c r="H617" s="8"/>
      <c r="I617" s="205"/>
      <c r="J617" s="205"/>
      <c r="K617" s="282"/>
      <c r="L617" s="233"/>
      <c r="M617" s="317"/>
    </row>
    <row r="618" spans="1:13" x14ac:dyDescent="0.3">
      <c r="A618" s="8"/>
      <c r="B618" s="175"/>
      <c r="C618" s="175"/>
      <c r="D618" s="175"/>
      <c r="E618" s="264"/>
      <c r="F618" s="265"/>
      <c r="H618" s="8"/>
      <c r="I618" s="205"/>
      <c r="J618" s="205"/>
      <c r="K618" s="282"/>
      <c r="L618" s="233"/>
      <c r="M618" s="317"/>
    </row>
    <row r="619" spans="1:13" x14ac:dyDescent="0.3">
      <c r="A619" s="8"/>
      <c r="B619" s="175"/>
      <c r="C619" s="175"/>
      <c r="D619" s="175"/>
      <c r="E619" s="264"/>
      <c r="F619" s="265"/>
      <c r="H619" s="8"/>
      <c r="I619" s="205"/>
      <c r="J619" s="205"/>
      <c r="K619" s="282"/>
      <c r="L619" s="233"/>
      <c r="M619" s="317"/>
    </row>
    <row r="620" spans="1:13" x14ac:dyDescent="0.3">
      <c r="A620" s="8"/>
      <c r="B620" s="175"/>
      <c r="C620" s="175"/>
      <c r="D620" s="175"/>
      <c r="E620" s="264"/>
      <c r="F620" s="265"/>
      <c r="H620" s="8"/>
      <c r="I620" s="205"/>
      <c r="J620" s="205"/>
      <c r="K620" s="282"/>
      <c r="L620" s="233"/>
      <c r="M620" s="317"/>
    </row>
    <row r="621" spans="1:13" x14ac:dyDescent="0.3">
      <c r="A621" s="8"/>
      <c r="B621" s="175"/>
      <c r="C621" s="175"/>
      <c r="D621" s="175"/>
      <c r="E621" s="264"/>
      <c r="F621" s="265"/>
      <c r="H621" s="8"/>
      <c r="I621" s="205"/>
      <c r="J621" s="205"/>
      <c r="K621" s="282"/>
      <c r="L621" s="233"/>
      <c r="M621" s="317"/>
    </row>
    <row r="622" spans="1:13" x14ac:dyDescent="0.3">
      <c r="A622" s="8"/>
      <c r="B622" s="175"/>
      <c r="C622" s="175"/>
      <c r="D622" s="175"/>
      <c r="E622" s="264"/>
      <c r="F622" s="265"/>
      <c r="H622" s="8"/>
      <c r="I622" s="205"/>
      <c r="J622" s="205"/>
      <c r="K622" s="282"/>
      <c r="L622" s="233"/>
      <c r="M622" s="317"/>
    </row>
    <row r="623" spans="1:13" x14ac:dyDescent="0.3">
      <c r="A623" s="8"/>
      <c r="B623" s="175"/>
      <c r="C623" s="175"/>
      <c r="D623" s="175"/>
      <c r="E623" s="264"/>
      <c r="F623" s="265"/>
      <c r="H623" s="8"/>
      <c r="I623" s="205"/>
      <c r="J623" s="205"/>
      <c r="K623" s="282"/>
      <c r="L623" s="233"/>
      <c r="M623" s="317"/>
    </row>
    <row r="624" spans="1:13" x14ac:dyDescent="0.3">
      <c r="A624" s="8"/>
      <c r="B624" s="175"/>
      <c r="C624" s="175"/>
      <c r="D624" s="175"/>
      <c r="E624" s="264"/>
      <c r="F624" s="265"/>
      <c r="H624" s="8"/>
      <c r="I624" s="205"/>
      <c r="J624" s="205"/>
      <c r="K624" s="282"/>
      <c r="L624" s="233"/>
      <c r="M624" s="317"/>
    </row>
    <row r="625" spans="1:13" x14ac:dyDescent="0.3">
      <c r="A625" s="8"/>
      <c r="B625" s="175"/>
      <c r="C625" s="175"/>
      <c r="D625" s="175"/>
      <c r="E625" s="264"/>
      <c r="F625" s="265"/>
      <c r="H625" s="8"/>
      <c r="I625" s="205"/>
      <c r="J625" s="205"/>
      <c r="K625" s="282"/>
      <c r="L625" s="233"/>
      <c r="M625" s="317"/>
    </row>
    <row r="626" spans="1:13" x14ac:dyDescent="0.3">
      <c r="A626" s="8"/>
      <c r="B626" s="175"/>
      <c r="C626" s="175"/>
      <c r="D626" s="175"/>
      <c r="E626" s="264"/>
      <c r="F626" s="265"/>
      <c r="H626" s="8"/>
      <c r="I626" s="205"/>
      <c r="J626" s="205"/>
      <c r="K626" s="282"/>
      <c r="L626" s="233"/>
      <c r="M626" s="317"/>
    </row>
    <row r="627" spans="1:13" x14ac:dyDescent="0.3">
      <c r="A627" s="8"/>
      <c r="B627" s="175"/>
      <c r="C627" s="175"/>
      <c r="D627" s="175"/>
      <c r="E627" s="264"/>
      <c r="F627" s="265"/>
      <c r="H627" s="8"/>
      <c r="I627" s="205"/>
      <c r="J627" s="205"/>
      <c r="K627" s="282"/>
      <c r="L627" s="233"/>
      <c r="M627" s="317"/>
    </row>
    <row r="628" spans="1:13" x14ac:dyDescent="0.3">
      <c r="A628" s="8"/>
      <c r="B628" s="175"/>
      <c r="C628" s="175"/>
      <c r="D628" s="175"/>
      <c r="E628" s="264"/>
      <c r="F628" s="265"/>
      <c r="H628" s="8"/>
      <c r="I628" s="205"/>
      <c r="J628" s="205"/>
      <c r="K628" s="282"/>
      <c r="L628" s="233"/>
      <c r="M628" s="317"/>
    </row>
    <row r="629" spans="1:13" x14ac:dyDescent="0.3">
      <c r="A629" s="8"/>
      <c r="B629" s="175"/>
      <c r="C629" s="175"/>
      <c r="D629" s="175"/>
      <c r="E629" s="264"/>
      <c r="F629" s="265"/>
      <c r="H629" s="8"/>
      <c r="I629" s="205"/>
      <c r="J629" s="205"/>
      <c r="K629" s="282"/>
      <c r="L629" s="233"/>
      <c r="M629" s="317"/>
    </row>
    <row r="630" spans="1:13" x14ac:dyDescent="0.3">
      <c r="A630" s="8"/>
      <c r="B630" s="175"/>
      <c r="C630" s="175"/>
      <c r="D630" s="175"/>
      <c r="E630" s="264"/>
      <c r="F630" s="265"/>
      <c r="H630" s="8"/>
      <c r="I630" s="205"/>
      <c r="J630" s="205"/>
      <c r="K630" s="282"/>
      <c r="L630" s="233"/>
      <c r="M630" s="317"/>
    </row>
    <row r="631" spans="1:13" x14ac:dyDescent="0.3">
      <c r="A631" s="8"/>
      <c r="B631" s="175"/>
      <c r="C631" s="175"/>
      <c r="D631" s="175"/>
      <c r="E631" s="264"/>
      <c r="F631" s="265"/>
      <c r="H631" s="8"/>
      <c r="I631" s="205"/>
      <c r="J631" s="205"/>
      <c r="K631" s="282"/>
      <c r="L631" s="233"/>
      <c r="M631" s="317"/>
    </row>
    <row r="632" spans="1:13" x14ac:dyDescent="0.3">
      <c r="A632" s="8"/>
      <c r="B632" s="175"/>
      <c r="C632" s="175"/>
      <c r="D632" s="175"/>
      <c r="E632" s="264"/>
      <c r="F632" s="265"/>
      <c r="H632" s="8"/>
      <c r="I632" s="205"/>
      <c r="J632" s="205"/>
      <c r="K632" s="282"/>
      <c r="L632" s="233"/>
      <c r="M632" s="317"/>
    </row>
    <row r="633" spans="1:13" x14ac:dyDescent="0.3">
      <c r="A633" s="8"/>
      <c r="B633" s="175"/>
      <c r="C633" s="175"/>
      <c r="D633" s="175"/>
      <c r="E633" s="264"/>
      <c r="F633" s="265"/>
      <c r="H633" s="8"/>
      <c r="I633" s="205"/>
      <c r="J633" s="205"/>
      <c r="K633" s="282"/>
      <c r="L633" s="233"/>
      <c r="M633" s="317"/>
    </row>
    <row r="634" spans="1:13" x14ac:dyDescent="0.3">
      <c r="A634" s="8"/>
      <c r="B634" s="175"/>
      <c r="C634" s="175"/>
      <c r="D634" s="175"/>
      <c r="E634" s="264"/>
      <c r="F634" s="265"/>
      <c r="H634" s="8"/>
      <c r="I634" s="205"/>
      <c r="J634" s="205"/>
      <c r="K634" s="282"/>
      <c r="L634" s="233"/>
      <c r="M634" s="317"/>
    </row>
    <row r="635" spans="1:13" x14ac:dyDescent="0.3">
      <c r="A635" s="8"/>
      <c r="B635" s="175"/>
      <c r="C635" s="175"/>
      <c r="D635" s="175"/>
      <c r="E635" s="264"/>
      <c r="F635" s="265"/>
      <c r="H635" s="8"/>
      <c r="I635" s="205"/>
      <c r="J635" s="205"/>
      <c r="K635" s="282"/>
      <c r="L635" s="233"/>
      <c r="M635" s="317"/>
    </row>
    <row r="636" spans="1:13" x14ac:dyDescent="0.3">
      <c r="A636" s="8"/>
      <c r="B636" s="175"/>
      <c r="C636" s="175"/>
      <c r="D636" s="175"/>
      <c r="E636" s="264"/>
      <c r="F636" s="265"/>
      <c r="H636" s="8"/>
      <c r="I636" s="205"/>
      <c r="J636" s="205"/>
      <c r="K636" s="282"/>
      <c r="L636" s="233"/>
      <c r="M636" s="317"/>
    </row>
    <row r="637" spans="1:13" x14ac:dyDescent="0.3">
      <c r="A637" s="8"/>
      <c r="B637" s="175"/>
      <c r="C637" s="175"/>
      <c r="D637" s="175"/>
      <c r="E637" s="264"/>
      <c r="F637" s="265"/>
      <c r="H637" s="8"/>
      <c r="I637" s="205"/>
      <c r="J637" s="205"/>
      <c r="K637" s="282"/>
      <c r="L637" s="233"/>
      <c r="M637" s="317"/>
    </row>
    <row r="638" spans="1:13" x14ac:dyDescent="0.3">
      <c r="A638" s="8"/>
      <c r="B638" s="175"/>
      <c r="C638" s="175"/>
      <c r="D638" s="175"/>
      <c r="E638" s="264"/>
      <c r="F638" s="265"/>
      <c r="H638" s="8"/>
      <c r="I638" s="205"/>
      <c r="J638" s="205"/>
      <c r="K638" s="282"/>
      <c r="L638" s="233"/>
      <c r="M638" s="317"/>
    </row>
    <row r="639" spans="1:13" x14ac:dyDescent="0.3">
      <c r="A639" s="8"/>
      <c r="B639" s="175"/>
      <c r="C639" s="175"/>
      <c r="D639" s="175"/>
      <c r="E639" s="264"/>
      <c r="F639" s="265"/>
      <c r="H639" s="8"/>
      <c r="I639" s="205"/>
      <c r="J639" s="205"/>
      <c r="K639" s="282"/>
      <c r="L639" s="233"/>
      <c r="M639" s="317"/>
    </row>
    <row r="640" spans="1:13" x14ac:dyDescent="0.3">
      <c r="A640" s="8"/>
      <c r="B640" s="175"/>
      <c r="C640" s="175"/>
      <c r="D640" s="175"/>
      <c r="E640" s="264"/>
      <c r="F640" s="265"/>
      <c r="H640" s="8"/>
      <c r="I640" s="205"/>
      <c r="J640" s="205"/>
      <c r="K640" s="282"/>
      <c r="L640" s="233"/>
      <c r="M640" s="317"/>
    </row>
    <row r="641" spans="1:13" x14ac:dyDescent="0.3">
      <c r="A641" s="8"/>
      <c r="B641" s="175"/>
      <c r="C641" s="175"/>
      <c r="D641" s="175"/>
      <c r="E641" s="264"/>
      <c r="F641" s="265"/>
      <c r="H641" s="8"/>
      <c r="I641" s="205"/>
      <c r="J641" s="205"/>
      <c r="K641" s="282"/>
      <c r="L641" s="233"/>
      <c r="M641" s="317"/>
    </row>
    <row r="642" spans="1:13" x14ac:dyDescent="0.3">
      <c r="A642" s="8"/>
      <c r="B642" s="175"/>
      <c r="C642" s="175"/>
      <c r="D642" s="175"/>
      <c r="E642" s="264"/>
      <c r="F642" s="265"/>
      <c r="H642" s="8"/>
      <c r="I642" s="205"/>
      <c r="J642" s="205"/>
      <c r="K642" s="282"/>
      <c r="L642" s="233"/>
      <c r="M642" s="317"/>
    </row>
    <row r="643" spans="1:13" x14ac:dyDescent="0.3">
      <c r="A643" s="8"/>
      <c r="B643" s="175"/>
      <c r="C643" s="175"/>
      <c r="D643" s="175"/>
      <c r="E643" s="264"/>
      <c r="F643" s="265"/>
      <c r="H643" s="8"/>
      <c r="I643" s="205"/>
      <c r="J643" s="205"/>
      <c r="K643" s="282"/>
      <c r="L643" s="233"/>
      <c r="M643" s="317"/>
    </row>
    <row r="644" spans="1:13" x14ac:dyDescent="0.3">
      <c r="A644" s="8"/>
      <c r="B644" s="175"/>
      <c r="C644" s="175"/>
      <c r="D644" s="175"/>
      <c r="E644" s="264"/>
      <c r="F644" s="265"/>
      <c r="H644" s="8"/>
      <c r="I644" s="205"/>
      <c r="J644" s="205"/>
      <c r="K644" s="282"/>
      <c r="L644" s="233"/>
      <c r="M644" s="317"/>
    </row>
    <row r="645" spans="1:13" x14ac:dyDescent="0.3">
      <c r="A645" s="8"/>
      <c r="B645" s="175"/>
      <c r="C645" s="175"/>
      <c r="D645" s="175"/>
      <c r="E645" s="264"/>
      <c r="F645" s="265"/>
      <c r="H645" s="8"/>
      <c r="I645" s="205"/>
      <c r="J645" s="205"/>
      <c r="K645" s="282"/>
      <c r="L645" s="233"/>
      <c r="M645" s="317"/>
    </row>
    <row r="646" spans="1:13" x14ac:dyDescent="0.3">
      <c r="A646" s="8"/>
      <c r="B646" s="175"/>
      <c r="C646" s="175"/>
      <c r="D646" s="175"/>
      <c r="E646" s="264"/>
      <c r="F646" s="265"/>
      <c r="H646" s="8"/>
      <c r="I646" s="205"/>
      <c r="J646" s="205"/>
      <c r="K646" s="282"/>
      <c r="L646" s="233"/>
      <c r="M646" s="317"/>
    </row>
    <row r="647" spans="1:13" x14ac:dyDescent="0.3">
      <c r="A647" s="8"/>
      <c r="B647" s="175"/>
      <c r="C647" s="175"/>
      <c r="D647" s="175"/>
      <c r="E647" s="264"/>
      <c r="F647" s="265"/>
      <c r="H647" s="8"/>
      <c r="I647" s="205"/>
      <c r="J647" s="205"/>
      <c r="K647" s="282"/>
      <c r="L647" s="233"/>
      <c r="M647" s="317"/>
    </row>
    <row r="648" spans="1:13" x14ac:dyDescent="0.3">
      <c r="A648" s="8"/>
      <c r="B648" s="175"/>
      <c r="C648" s="175"/>
      <c r="D648" s="175"/>
      <c r="E648" s="264"/>
      <c r="F648" s="265"/>
      <c r="H648" s="8"/>
      <c r="I648" s="205"/>
      <c r="J648" s="205"/>
      <c r="K648" s="282"/>
      <c r="L648" s="233"/>
      <c r="M648" s="317"/>
    </row>
    <row r="649" spans="1:13" x14ac:dyDescent="0.3">
      <c r="A649" s="8"/>
      <c r="B649" s="175"/>
      <c r="C649" s="175"/>
      <c r="D649" s="175"/>
      <c r="E649" s="264"/>
      <c r="F649" s="265"/>
      <c r="H649" s="8"/>
      <c r="I649" s="205"/>
      <c r="J649" s="205"/>
      <c r="K649" s="282"/>
      <c r="L649" s="233"/>
      <c r="M649" s="317"/>
    </row>
    <row r="650" spans="1:13" x14ac:dyDescent="0.3">
      <c r="A650" s="8"/>
      <c r="B650" s="175"/>
      <c r="C650" s="175"/>
      <c r="D650" s="175"/>
      <c r="E650" s="264"/>
      <c r="F650" s="265"/>
      <c r="H650" s="8"/>
      <c r="I650" s="205"/>
      <c r="J650" s="205"/>
      <c r="K650" s="282"/>
      <c r="L650" s="233"/>
      <c r="M650" s="317"/>
    </row>
    <row r="651" spans="1:13" x14ac:dyDescent="0.3">
      <c r="A651" s="8"/>
      <c r="B651" s="175"/>
      <c r="C651" s="175"/>
      <c r="D651" s="175"/>
      <c r="E651" s="264"/>
      <c r="F651" s="265"/>
      <c r="H651" s="8"/>
      <c r="I651" s="205"/>
      <c r="J651" s="205"/>
      <c r="K651" s="282"/>
      <c r="L651" s="233"/>
      <c r="M651" s="317"/>
    </row>
    <row r="652" spans="1:13" x14ac:dyDescent="0.3">
      <c r="A652" s="8"/>
      <c r="B652" s="175"/>
      <c r="C652" s="175"/>
      <c r="D652" s="175"/>
      <c r="E652" s="264"/>
      <c r="F652" s="265"/>
      <c r="H652" s="8"/>
      <c r="I652" s="205"/>
      <c r="J652" s="205"/>
      <c r="K652" s="282"/>
      <c r="L652" s="233"/>
      <c r="M652" s="317"/>
    </row>
    <row r="653" spans="1:13" x14ac:dyDescent="0.3">
      <c r="A653" s="8"/>
      <c r="B653" s="175"/>
      <c r="C653" s="175"/>
      <c r="D653" s="175"/>
      <c r="E653" s="264"/>
      <c r="F653" s="265"/>
      <c r="H653" s="8"/>
      <c r="I653" s="205"/>
      <c r="J653" s="205"/>
      <c r="K653" s="282"/>
      <c r="L653" s="233"/>
      <c r="M653" s="317"/>
    </row>
    <row r="654" spans="1:13" x14ac:dyDescent="0.3">
      <c r="A654" s="8"/>
      <c r="B654" s="175"/>
      <c r="C654" s="175"/>
      <c r="D654" s="175"/>
      <c r="E654" s="264"/>
      <c r="F654" s="265"/>
      <c r="H654" s="8"/>
      <c r="I654" s="205"/>
      <c r="J654" s="205"/>
      <c r="K654" s="282"/>
      <c r="L654" s="233"/>
      <c r="M654" s="317"/>
    </row>
    <row r="655" spans="1:13" x14ac:dyDescent="0.3">
      <c r="A655" s="8"/>
      <c r="B655" s="175"/>
      <c r="C655" s="175"/>
      <c r="D655" s="175"/>
      <c r="E655" s="264"/>
      <c r="F655" s="265"/>
      <c r="H655" s="8"/>
      <c r="I655" s="205"/>
      <c r="J655" s="205"/>
      <c r="K655" s="282"/>
      <c r="L655" s="233"/>
      <c r="M655" s="317"/>
    </row>
    <row r="656" spans="1:13" x14ac:dyDescent="0.3">
      <c r="A656" s="8"/>
      <c r="B656" s="175"/>
      <c r="C656" s="175"/>
      <c r="D656" s="175"/>
      <c r="E656" s="264"/>
      <c r="F656" s="265"/>
      <c r="H656" s="8"/>
      <c r="I656" s="205"/>
      <c r="J656" s="205"/>
      <c r="K656" s="282"/>
      <c r="L656" s="233"/>
      <c r="M656" s="317"/>
    </row>
    <row r="657" spans="1:13" x14ac:dyDescent="0.3">
      <c r="A657" s="8"/>
      <c r="B657" s="175"/>
      <c r="C657" s="175"/>
      <c r="D657" s="175"/>
      <c r="E657" s="264"/>
      <c r="F657" s="265"/>
      <c r="H657" s="8"/>
      <c r="I657" s="205"/>
      <c r="J657" s="205"/>
      <c r="K657" s="282"/>
      <c r="L657" s="233"/>
      <c r="M657" s="317"/>
    </row>
    <row r="658" spans="1:13" x14ac:dyDescent="0.3">
      <c r="A658" s="8"/>
      <c r="B658" s="175"/>
      <c r="C658" s="175"/>
      <c r="D658" s="175"/>
      <c r="E658" s="264"/>
      <c r="F658" s="265"/>
      <c r="H658" s="8"/>
      <c r="I658" s="205"/>
      <c r="J658" s="205"/>
      <c r="K658" s="282"/>
      <c r="L658" s="233"/>
      <c r="M658" s="317"/>
    </row>
    <row r="659" spans="1:13" x14ac:dyDescent="0.3">
      <c r="A659" s="8"/>
      <c r="B659" s="175"/>
      <c r="C659" s="175"/>
      <c r="D659" s="175"/>
      <c r="E659" s="264"/>
      <c r="F659" s="265"/>
      <c r="H659" s="8"/>
      <c r="I659" s="205"/>
      <c r="J659" s="205"/>
      <c r="K659" s="282"/>
      <c r="L659" s="233"/>
      <c r="M659" s="317"/>
    </row>
    <row r="660" spans="1:13" x14ac:dyDescent="0.3">
      <c r="A660" s="8"/>
      <c r="B660" s="175"/>
      <c r="C660" s="175"/>
      <c r="D660" s="175"/>
      <c r="E660" s="264"/>
      <c r="F660" s="265"/>
      <c r="H660" s="8"/>
      <c r="I660" s="205"/>
      <c r="J660" s="205"/>
      <c r="K660" s="282"/>
      <c r="L660" s="233"/>
      <c r="M660" s="317"/>
    </row>
    <row r="661" spans="1:13" x14ac:dyDescent="0.3">
      <c r="A661" s="8"/>
      <c r="B661" s="175"/>
      <c r="C661" s="175"/>
      <c r="D661" s="175"/>
      <c r="E661" s="264"/>
      <c r="F661" s="265"/>
      <c r="H661" s="8"/>
      <c r="I661" s="205"/>
      <c r="J661" s="205"/>
      <c r="K661" s="282"/>
      <c r="L661" s="233"/>
      <c r="M661" s="317"/>
    </row>
    <row r="662" spans="1:13" x14ac:dyDescent="0.3">
      <c r="A662" s="8"/>
      <c r="B662" s="175"/>
      <c r="C662" s="175"/>
      <c r="D662" s="175"/>
      <c r="E662" s="264"/>
      <c r="F662" s="265"/>
      <c r="H662" s="8"/>
      <c r="I662" s="205"/>
      <c r="J662" s="205"/>
      <c r="K662" s="282"/>
      <c r="L662" s="233"/>
      <c r="M662" s="317"/>
    </row>
    <row r="663" spans="1:13" x14ac:dyDescent="0.3">
      <c r="A663" s="8"/>
      <c r="B663" s="175"/>
      <c r="C663" s="175"/>
      <c r="D663" s="175"/>
      <c r="E663" s="264"/>
      <c r="F663" s="265"/>
      <c r="H663" s="8"/>
      <c r="I663" s="205"/>
      <c r="J663" s="205"/>
      <c r="K663" s="282"/>
      <c r="L663" s="233"/>
      <c r="M663" s="317"/>
    </row>
    <row r="664" spans="1:13" x14ac:dyDescent="0.3">
      <c r="A664" s="8"/>
      <c r="B664" s="175"/>
      <c r="C664" s="175"/>
      <c r="D664" s="175"/>
      <c r="E664" s="264"/>
      <c r="F664" s="265"/>
      <c r="H664" s="8"/>
      <c r="I664" s="205"/>
      <c r="J664" s="205"/>
      <c r="K664" s="282"/>
      <c r="L664" s="233"/>
      <c r="M664" s="317"/>
    </row>
    <row r="665" spans="1:13" x14ac:dyDescent="0.3">
      <c r="A665" s="8"/>
      <c r="B665" s="175"/>
      <c r="C665" s="175"/>
      <c r="D665" s="175"/>
      <c r="E665" s="264"/>
      <c r="F665" s="265"/>
      <c r="H665" s="8"/>
      <c r="I665" s="205"/>
      <c r="J665" s="205"/>
      <c r="K665" s="282"/>
      <c r="L665" s="233"/>
      <c r="M665" s="317"/>
    </row>
    <row r="666" spans="1:13" x14ac:dyDescent="0.3">
      <c r="A666" s="8"/>
      <c r="B666" s="175"/>
      <c r="C666" s="175"/>
      <c r="D666" s="175"/>
      <c r="E666" s="264"/>
      <c r="F666" s="265"/>
      <c r="H666" s="8"/>
      <c r="I666" s="205"/>
      <c r="J666" s="205"/>
      <c r="K666" s="282"/>
      <c r="L666" s="233"/>
      <c r="M666" s="317"/>
    </row>
    <row r="667" spans="1:13" x14ac:dyDescent="0.3">
      <c r="A667" s="8"/>
      <c r="B667" s="175"/>
      <c r="C667" s="175"/>
      <c r="D667" s="175"/>
      <c r="E667" s="264"/>
      <c r="F667" s="265"/>
      <c r="H667" s="8"/>
      <c r="I667" s="205"/>
      <c r="J667" s="205"/>
      <c r="K667" s="282"/>
      <c r="L667" s="233"/>
      <c r="M667" s="317"/>
    </row>
    <row r="668" spans="1:13" x14ac:dyDescent="0.3">
      <c r="A668" s="8"/>
      <c r="B668" s="175"/>
      <c r="C668" s="175"/>
      <c r="D668" s="175"/>
      <c r="E668" s="264"/>
      <c r="F668" s="265"/>
      <c r="H668" s="8"/>
      <c r="I668" s="205"/>
      <c r="J668" s="205"/>
      <c r="K668" s="282"/>
      <c r="L668" s="233"/>
      <c r="M668" s="317"/>
    </row>
    <row r="669" spans="1:13" x14ac:dyDescent="0.3">
      <c r="A669" s="8"/>
      <c r="B669" s="175"/>
      <c r="C669" s="175"/>
      <c r="D669" s="175"/>
      <c r="E669" s="264"/>
      <c r="F669" s="265"/>
      <c r="H669" s="8"/>
      <c r="I669" s="205"/>
      <c r="J669" s="205"/>
      <c r="K669" s="282"/>
      <c r="L669" s="233"/>
      <c r="M669" s="317"/>
    </row>
    <row r="670" spans="1:13" x14ac:dyDescent="0.3">
      <c r="A670" s="8"/>
      <c r="B670" s="175"/>
      <c r="C670" s="175"/>
      <c r="D670" s="175"/>
      <c r="E670" s="264"/>
      <c r="F670" s="265"/>
      <c r="H670" s="8"/>
      <c r="I670" s="205"/>
      <c r="J670" s="205"/>
      <c r="K670" s="282"/>
      <c r="L670" s="233"/>
      <c r="M670" s="317"/>
    </row>
    <row r="671" spans="1:13" x14ac:dyDescent="0.3">
      <c r="A671" s="8"/>
      <c r="B671" s="175"/>
      <c r="C671" s="175"/>
      <c r="D671" s="175"/>
      <c r="E671" s="264"/>
      <c r="F671" s="265"/>
      <c r="H671" s="8"/>
      <c r="I671" s="205"/>
      <c r="J671" s="205"/>
      <c r="K671" s="282"/>
      <c r="L671" s="233"/>
      <c r="M671" s="317"/>
    </row>
    <row r="672" spans="1:13" x14ac:dyDescent="0.3">
      <c r="A672" s="8"/>
      <c r="B672" s="175"/>
      <c r="C672" s="175"/>
      <c r="D672" s="175"/>
      <c r="E672" s="264"/>
      <c r="F672" s="265"/>
      <c r="H672" s="8"/>
      <c r="I672" s="205"/>
      <c r="J672" s="205"/>
      <c r="K672" s="282"/>
      <c r="L672" s="233"/>
      <c r="M672" s="317"/>
    </row>
    <row r="673" spans="1:13" x14ac:dyDescent="0.3">
      <c r="A673" s="8"/>
      <c r="B673" s="175"/>
      <c r="C673" s="175"/>
      <c r="D673" s="175"/>
      <c r="E673" s="264"/>
      <c r="F673" s="265"/>
      <c r="H673" s="8"/>
      <c r="I673" s="205"/>
      <c r="J673" s="205"/>
      <c r="K673" s="282"/>
      <c r="L673" s="233"/>
      <c r="M673" s="317"/>
    </row>
    <row r="674" spans="1:13" x14ac:dyDescent="0.3">
      <c r="A674" s="8"/>
      <c r="B674" s="175"/>
      <c r="C674" s="175"/>
      <c r="D674" s="175"/>
      <c r="E674" s="264"/>
      <c r="F674" s="265"/>
      <c r="H674" s="8"/>
      <c r="I674" s="205"/>
      <c r="J674" s="205"/>
      <c r="K674" s="282"/>
      <c r="L674" s="233"/>
      <c r="M674" s="317"/>
    </row>
    <row r="675" spans="1:13" x14ac:dyDescent="0.3">
      <c r="A675" s="8"/>
      <c r="B675" s="175"/>
      <c r="C675" s="175"/>
      <c r="D675" s="175"/>
      <c r="E675" s="264"/>
      <c r="F675" s="265"/>
      <c r="H675" s="8"/>
      <c r="I675" s="205"/>
      <c r="J675" s="205"/>
      <c r="K675" s="282"/>
      <c r="L675" s="233"/>
      <c r="M675" s="317"/>
    </row>
    <row r="676" spans="1:13" x14ac:dyDescent="0.3">
      <c r="A676" s="8"/>
      <c r="B676" s="175"/>
      <c r="C676" s="175"/>
      <c r="D676" s="175"/>
      <c r="E676" s="264"/>
      <c r="F676" s="265"/>
      <c r="H676" s="8"/>
      <c r="I676" s="205"/>
      <c r="J676" s="205"/>
      <c r="K676" s="282"/>
      <c r="L676" s="233"/>
      <c r="M676" s="317"/>
    </row>
    <row r="677" spans="1:13" x14ac:dyDescent="0.3">
      <c r="A677" s="8"/>
      <c r="B677" s="175"/>
      <c r="C677" s="175"/>
      <c r="D677" s="175"/>
      <c r="E677" s="264"/>
      <c r="F677" s="265"/>
      <c r="H677" s="8"/>
      <c r="I677" s="205"/>
      <c r="J677" s="205"/>
      <c r="K677" s="282"/>
      <c r="L677" s="233"/>
      <c r="M677" s="317"/>
    </row>
    <row r="678" spans="1:13" x14ac:dyDescent="0.3">
      <c r="A678" s="8"/>
      <c r="B678" s="175"/>
      <c r="C678" s="175"/>
      <c r="D678" s="175"/>
      <c r="E678" s="264"/>
      <c r="F678" s="265"/>
      <c r="H678" s="8"/>
      <c r="I678" s="205"/>
      <c r="J678" s="205"/>
      <c r="K678" s="282"/>
      <c r="L678" s="233"/>
      <c r="M678" s="317"/>
    </row>
    <row r="679" spans="1:13" x14ac:dyDescent="0.3">
      <c r="A679" s="8"/>
      <c r="B679" s="175"/>
      <c r="C679" s="175"/>
      <c r="D679" s="175"/>
      <c r="E679" s="264"/>
      <c r="F679" s="265"/>
      <c r="H679" s="8"/>
      <c r="I679" s="205"/>
      <c r="J679" s="205"/>
      <c r="K679" s="282"/>
      <c r="L679" s="233"/>
      <c r="M679" s="317"/>
    </row>
    <row r="680" spans="1:13" x14ac:dyDescent="0.3">
      <c r="A680" s="8"/>
      <c r="B680" s="175"/>
      <c r="C680" s="175"/>
      <c r="D680" s="175"/>
      <c r="E680" s="264"/>
      <c r="F680" s="265"/>
      <c r="H680" s="8"/>
      <c r="I680" s="205"/>
      <c r="J680" s="205"/>
      <c r="K680" s="282"/>
      <c r="L680" s="233"/>
      <c r="M680" s="317"/>
    </row>
    <row r="681" spans="1:13" x14ac:dyDescent="0.3">
      <c r="A681" s="8"/>
      <c r="B681" s="175"/>
      <c r="C681" s="175"/>
      <c r="D681" s="175"/>
      <c r="E681" s="264"/>
      <c r="F681" s="265"/>
      <c r="H681" s="8"/>
      <c r="I681" s="205"/>
      <c r="J681" s="205"/>
      <c r="K681" s="282"/>
      <c r="L681" s="233"/>
      <c r="M681" s="317"/>
    </row>
    <row r="682" spans="1:13" x14ac:dyDescent="0.3">
      <c r="A682" s="8"/>
      <c r="B682" s="175"/>
      <c r="C682" s="175"/>
      <c r="D682" s="175"/>
      <c r="E682" s="264"/>
      <c r="F682" s="265"/>
      <c r="H682" s="8"/>
      <c r="I682" s="205"/>
      <c r="J682" s="205"/>
      <c r="K682" s="282"/>
      <c r="L682" s="233"/>
      <c r="M682" s="317"/>
    </row>
    <row r="683" spans="1:13" x14ac:dyDescent="0.3">
      <c r="A683" s="8"/>
      <c r="B683" s="175"/>
      <c r="C683" s="175"/>
      <c r="D683" s="175"/>
      <c r="E683" s="264"/>
      <c r="F683" s="265"/>
      <c r="H683" s="8"/>
      <c r="I683" s="205"/>
      <c r="J683" s="205"/>
      <c r="K683" s="282"/>
      <c r="L683" s="233"/>
      <c r="M683" s="317"/>
    </row>
    <row r="684" spans="1:13" x14ac:dyDescent="0.3">
      <c r="A684" s="8"/>
      <c r="B684" s="175"/>
      <c r="C684" s="175"/>
      <c r="D684" s="175"/>
      <c r="E684" s="264"/>
      <c r="F684" s="265"/>
      <c r="H684" s="8"/>
      <c r="I684" s="205"/>
      <c r="J684" s="205"/>
      <c r="K684" s="282"/>
      <c r="L684" s="233"/>
      <c r="M684" s="317"/>
    </row>
    <row r="685" spans="1:13" x14ac:dyDescent="0.3">
      <c r="A685" s="8"/>
      <c r="B685" s="175"/>
      <c r="C685" s="175"/>
      <c r="D685" s="175"/>
      <c r="E685" s="264"/>
      <c r="F685" s="265"/>
      <c r="H685" s="8"/>
      <c r="I685" s="205"/>
      <c r="J685" s="205"/>
      <c r="K685" s="282"/>
      <c r="L685" s="233"/>
      <c r="M685" s="317"/>
    </row>
    <row r="686" spans="1:13" x14ac:dyDescent="0.3">
      <c r="A686" s="8"/>
      <c r="B686" s="175"/>
      <c r="C686" s="175"/>
      <c r="D686" s="175"/>
      <c r="E686" s="264"/>
      <c r="F686" s="265"/>
      <c r="H686" s="8"/>
      <c r="I686" s="205"/>
      <c r="J686" s="205"/>
      <c r="K686" s="282"/>
      <c r="L686" s="233"/>
      <c r="M686" s="317"/>
    </row>
    <row r="687" spans="1:13" x14ac:dyDescent="0.3">
      <c r="A687" s="8"/>
      <c r="B687" s="175"/>
      <c r="C687" s="175"/>
      <c r="D687" s="175"/>
      <c r="E687" s="264"/>
      <c r="F687" s="265"/>
      <c r="H687" s="8"/>
      <c r="I687" s="205"/>
      <c r="J687" s="205"/>
      <c r="K687" s="282"/>
      <c r="L687" s="233"/>
      <c r="M687" s="317"/>
    </row>
    <row r="688" spans="1:13" x14ac:dyDescent="0.3">
      <c r="A688" s="8"/>
      <c r="B688" s="175"/>
      <c r="C688" s="175"/>
      <c r="D688" s="175"/>
      <c r="E688" s="264"/>
      <c r="F688" s="265"/>
      <c r="H688" s="8"/>
      <c r="I688" s="205"/>
      <c r="J688" s="205"/>
      <c r="K688" s="282"/>
      <c r="L688" s="233"/>
      <c r="M688" s="317"/>
    </row>
    <row r="689" spans="1:13" x14ac:dyDescent="0.3">
      <c r="A689" s="8"/>
      <c r="B689" s="175"/>
      <c r="C689" s="175"/>
      <c r="D689" s="175"/>
      <c r="E689" s="264"/>
      <c r="F689" s="265"/>
      <c r="H689" s="8"/>
      <c r="I689" s="205"/>
      <c r="J689" s="205"/>
      <c r="K689" s="282"/>
      <c r="L689" s="233"/>
      <c r="M689" s="317"/>
    </row>
    <row r="690" spans="1:13" x14ac:dyDescent="0.3">
      <c r="A690" s="8"/>
      <c r="B690" s="175"/>
      <c r="C690" s="175"/>
      <c r="D690" s="175"/>
      <c r="E690" s="264"/>
      <c r="F690" s="265"/>
      <c r="H690" s="8"/>
      <c r="I690" s="205"/>
      <c r="J690" s="205"/>
      <c r="K690" s="282"/>
      <c r="L690" s="233"/>
      <c r="M690" s="317"/>
    </row>
    <row r="691" spans="1:13" x14ac:dyDescent="0.3">
      <c r="A691" s="8"/>
      <c r="B691" s="175"/>
      <c r="C691" s="175"/>
      <c r="D691" s="175"/>
      <c r="E691" s="264"/>
      <c r="F691" s="265"/>
      <c r="H691" s="8"/>
      <c r="I691" s="205"/>
      <c r="J691" s="205"/>
      <c r="K691" s="282"/>
      <c r="L691" s="233"/>
      <c r="M691" s="317"/>
    </row>
    <row r="692" spans="1:13" x14ac:dyDescent="0.3">
      <c r="A692" s="8"/>
      <c r="B692" s="175"/>
      <c r="C692" s="175"/>
      <c r="D692" s="175"/>
      <c r="E692" s="264"/>
      <c r="F692" s="265"/>
      <c r="H692" s="8"/>
      <c r="I692" s="205"/>
      <c r="J692" s="205"/>
      <c r="K692" s="282"/>
      <c r="L692" s="233"/>
      <c r="M692" s="317"/>
    </row>
    <row r="693" spans="1:13" x14ac:dyDescent="0.3">
      <c r="A693" s="8"/>
      <c r="B693" s="175"/>
      <c r="C693" s="175"/>
      <c r="D693" s="175"/>
      <c r="E693" s="264"/>
      <c r="F693" s="265"/>
      <c r="H693" s="8"/>
      <c r="I693" s="205"/>
      <c r="J693" s="205"/>
      <c r="K693" s="282"/>
      <c r="L693" s="233"/>
      <c r="M693" s="317"/>
    </row>
    <row r="694" spans="1:13" x14ac:dyDescent="0.3">
      <c r="A694" s="8"/>
      <c r="B694" s="175"/>
      <c r="C694" s="175"/>
      <c r="D694" s="175"/>
      <c r="E694" s="264"/>
      <c r="F694" s="265"/>
      <c r="H694" s="8"/>
      <c r="I694" s="205"/>
      <c r="J694" s="205"/>
      <c r="K694" s="282"/>
      <c r="L694" s="233"/>
      <c r="M694" s="317"/>
    </row>
    <row r="695" spans="1:13" x14ac:dyDescent="0.3">
      <c r="A695" s="8"/>
      <c r="B695" s="175"/>
      <c r="C695" s="175"/>
      <c r="D695" s="175"/>
      <c r="E695" s="264"/>
      <c r="F695" s="265"/>
      <c r="H695" s="8"/>
      <c r="I695" s="205"/>
      <c r="J695" s="205"/>
      <c r="K695" s="282"/>
      <c r="L695" s="233"/>
      <c r="M695" s="317"/>
    </row>
    <row r="696" spans="1:13" x14ac:dyDescent="0.3">
      <c r="A696" s="8"/>
      <c r="B696" s="175"/>
      <c r="C696" s="175"/>
      <c r="D696" s="175"/>
      <c r="E696" s="264"/>
      <c r="F696" s="265"/>
      <c r="H696" s="8"/>
      <c r="I696" s="205"/>
      <c r="J696" s="205"/>
      <c r="K696" s="282"/>
      <c r="L696" s="233"/>
      <c r="M696" s="317"/>
    </row>
    <row r="697" spans="1:13" x14ac:dyDescent="0.3">
      <c r="A697" s="8"/>
      <c r="B697" s="175"/>
      <c r="C697" s="175"/>
      <c r="D697" s="175"/>
      <c r="E697" s="264"/>
      <c r="F697" s="265"/>
      <c r="H697" s="8"/>
      <c r="I697" s="205"/>
      <c r="J697" s="205"/>
      <c r="K697" s="282"/>
      <c r="L697" s="233"/>
      <c r="M697" s="317"/>
    </row>
    <row r="698" spans="1:13" x14ac:dyDescent="0.3">
      <c r="A698" s="8"/>
      <c r="B698" s="175"/>
      <c r="C698" s="175"/>
      <c r="D698" s="175"/>
      <c r="E698" s="264"/>
      <c r="F698" s="265"/>
      <c r="H698" s="8"/>
      <c r="I698" s="205"/>
      <c r="J698" s="205"/>
      <c r="K698" s="282"/>
      <c r="L698" s="233"/>
      <c r="M698" s="317"/>
    </row>
    <row r="699" spans="1:13" x14ac:dyDescent="0.3">
      <c r="A699" s="8"/>
      <c r="B699" s="175"/>
      <c r="C699" s="175"/>
      <c r="D699" s="175"/>
      <c r="E699" s="264"/>
      <c r="F699" s="265"/>
      <c r="H699" s="8"/>
      <c r="I699" s="205"/>
      <c r="J699" s="205"/>
      <c r="K699" s="282"/>
      <c r="L699" s="233"/>
      <c r="M699" s="317"/>
    </row>
    <row r="700" spans="1:13" x14ac:dyDescent="0.3">
      <c r="A700" s="8"/>
      <c r="B700" s="175"/>
      <c r="C700" s="175"/>
      <c r="D700" s="175"/>
      <c r="E700" s="264"/>
      <c r="F700" s="265"/>
      <c r="H700" s="8"/>
      <c r="I700" s="205"/>
      <c r="J700" s="205"/>
      <c r="K700" s="282"/>
      <c r="L700" s="233"/>
      <c r="M700" s="317"/>
    </row>
    <row r="701" spans="1:13" x14ac:dyDescent="0.3">
      <c r="A701" s="8"/>
      <c r="B701" s="175"/>
      <c r="C701" s="175"/>
      <c r="D701" s="175"/>
      <c r="E701" s="264"/>
      <c r="F701" s="265"/>
      <c r="H701" s="8"/>
      <c r="I701" s="205"/>
      <c r="J701" s="205"/>
      <c r="K701" s="282"/>
      <c r="L701" s="233"/>
      <c r="M701" s="317"/>
    </row>
    <row r="702" spans="1:13" x14ac:dyDescent="0.3">
      <c r="A702" s="8"/>
      <c r="B702" s="175"/>
      <c r="C702" s="175"/>
      <c r="D702" s="175"/>
      <c r="E702" s="264"/>
      <c r="F702" s="265"/>
      <c r="H702" s="8"/>
      <c r="I702" s="205"/>
      <c r="J702" s="205"/>
      <c r="K702" s="282"/>
      <c r="L702" s="233"/>
      <c r="M702" s="317"/>
    </row>
    <row r="703" spans="1:13" x14ac:dyDescent="0.3">
      <c r="A703" s="8"/>
      <c r="B703" s="175"/>
      <c r="C703" s="175"/>
      <c r="D703" s="175"/>
      <c r="E703" s="264"/>
      <c r="F703" s="265"/>
      <c r="H703" s="8"/>
      <c r="I703" s="205"/>
      <c r="J703" s="205"/>
      <c r="K703" s="282"/>
      <c r="L703" s="233"/>
      <c r="M703" s="317"/>
    </row>
    <row r="704" spans="1:13" x14ac:dyDescent="0.3">
      <c r="A704" s="8"/>
      <c r="B704" s="175"/>
      <c r="C704" s="175"/>
      <c r="D704" s="175"/>
      <c r="E704" s="264"/>
      <c r="F704" s="265"/>
      <c r="H704" s="8"/>
      <c r="I704" s="205"/>
      <c r="J704" s="205"/>
      <c r="K704" s="282"/>
      <c r="L704" s="233"/>
      <c r="M704" s="317"/>
    </row>
    <row r="705" spans="1:13" x14ac:dyDescent="0.3">
      <c r="A705" s="8"/>
      <c r="B705" s="175"/>
      <c r="C705" s="175"/>
      <c r="D705" s="175"/>
      <c r="E705" s="264"/>
      <c r="F705" s="265"/>
      <c r="H705" s="8"/>
      <c r="I705" s="205"/>
      <c r="J705" s="205"/>
      <c r="K705" s="282"/>
      <c r="L705" s="233"/>
      <c r="M705" s="317"/>
    </row>
    <row r="706" spans="1:13" x14ac:dyDescent="0.3">
      <c r="A706" s="8"/>
      <c r="B706" s="175"/>
      <c r="C706" s="175"/>
      <c r="D706" s="175"/>
      <c r="E706" s="264"/>
      <c r="F706" s="265"/>
      <c r="H706" s="8"/>
      <c r="I706" s="205"/>
      <c r="J706" s="205"/>
      <c r="K706" s="282"/>
      <c r="L706" s="233"/>
      <c r="M706" s="317"/>
    </row>
    <row r="707" spans="1:13" x14ac:dyDescent="0.3">
      <c r="A707" s="8"/>
      <c r="B707" s="175"/>
      <c r="C707" s="175"/>
      <c r="D707" s="175"/>
      <c r="E707" s="264"/>
      <c r="F707" s="265"/>
      <c r="H707" s="8"/>
      <c r="I707" s="205"/>
      <c r="J707" s="205"/>
      <c r="K707" s="282"/>
      <c r="L707" s="233"/>
      <c r="M707" s="317"/>
    </row>
    <row r="708" spans="1:13" x14ac:dyDescent="0.3">
      <c r="A708" s="8"/>
      <c r="B708" s="175"/>
      <c r="C708" s="175"/>
      <c r="D708" s="175"/>
      <c r="E708" s="264"/>
      <c r="F708" s="265"/>
      <c r="H708" s="8"/>
      <c r="I708" s="205"/>
      <c r="J708" s="205"/>
      <c r="K708" s="282"/>
      <c r="L708" s="233"/>
      <c r="M708" s="317"/>
    </row>
    <row r="709" spans="1:13" x14ac:dyDescent="0.3">
      <c r="A709" s="8"/>
      <c r="B709" s="175"/>
      <c r="C709" s="175"/>
      <c r="D709" s="175"/>
      <c r="E709" s="264"/>
      <c r="F709" s="265"/>
      <c r="H709" s="8"/>
      <c r="I709" s="205"/>
      <c r="J709" s="205"/>
      <c r="K709" s="282"/>
      <c r="L709" s="233"/>
      <c r="M709" s="317"/>
    </row>
    <row r="710" spans="1:13" x14ac:dyDescent="0.3">
      <c r="A710" s="8"/>
      <c r="B710" s="175"/>
      <c r="C710" s="175"/>
      <c r="D710" s="175"/>
      <c r="E710" s="264"/>
      <c r="F710" s="265"/>
      <c r="H710" s="8"/>
      <c r="I710" s="205"/>
      <c r="J710" s="205"/>
      <c r="K710" s="282"/>
      <c r="L710" s="233"/>
      <c r="M710" s="317"/>
    </row>
    <row r="711" spans="1:13" x14ac:dyDescent="0.3">
      <c r="A711" s="8"/>
      <c r="B711" s="175"/>
      <c r="C711" s="175"/>
      <c r="D711" s="175"/>
      <c r="E711" s="264"/>
      <c r="F711" s="265"/>
      <c r="H711" s="8"/>
      <c r="I711" s="205"/>
      <c r="J711" s="205"/>
      <c r="K711" s="282"/>
      <c r="L711" s="233"/>
      <c r="M711" s="317"/>
    </row>
    <row r="712" spans="1:13" x14ac:dyDescent="0.3">
      <c r="A712" s="8"/>
      <c r="B712" s="175"/>
      <c r="C712" s="175"/>
      <c r="D712" s="175"/>
      <c r="E712" s="264"/>
      <c r="F712" s="265"/>
      <c r="H712" s="8"/>
      <c r="I712" s="205"/>
      <c r="J712" s="205"/>
      <c r="K712" s="282"/>
      <c r="L712" s="233"/>
      <c r="M712" s="317"/>
    </row>
    <row r="713" spans="1:13" x14ac:dyDescent="0.3">
      <c r="A713" s="8"/>
      <c r="B713" s="175"/>
      <c r="C713" s="175"/>
      <c r="D713" s="175"/>
      <c r="E713" s="264"/>
      <c r="F713" s="265"/>
      <c r="H713" s="8"/>
      <c r="I713" s="205"/>
      <c r="J713" s="205"/>
      <c r="K713" s="282"/>
      <c r="L713" s="233"/>
      <c r="M713" s="317"/>
    </row>
    <row r="714" spans="1:13" x14ac:dyDescent="0.3">
      <c r="A714" s="8"/>
      <c r="B714" s="175"/>
      <c r="C714" s="175"/>
      <c r="D714" s="175"/>
      <c r="E714" s="264"/>
      <c r="F714" s="265"/>
      <c r="H714" s="8"/>
      <c r="I714" s="205"/>
      <c r="J714" s="205"/>
      <c r="K714" s="282"/>
      <c r="L714" s="233"/>
      <c r="M714" s="317"/>
    </row>
    <row r="715" spans="1:13" x14ac:dyDescent="0.3">
      <c r="A715" s="8"/>
      <c r="B715" s="175"/>
      <c r="C715" s="175"/>
      <c r="D715" s="175"/>
      <c r="E715" s="264"/>
      <c r="F715" s="265"/>
      <c r="H715" s="8"/>
      <c r="I715" s="205"/>
      <c r="J715" s="205"/>
      <c r="K715" s="282"/>
      <c r="L715" s="233"/>
      <c r="M715" s="317"/>
    </row>
    <row r="716" spans="1:13" x14ac:dyDescent="0.3">
      <c r="A716" s="8"/>
      <c r="B716" s="175"/>
      <c r="C716" s="175"/>
      <c r="D716" s="175"/>
      <c r="E716" s="264"/>
      <c r="F716" s="265"/>
      <c r="H716" s="8"/>
      <c r="I716" s="205"/>
      <c r="J716" s="205"/>
      <c r="K716" s="282"/>
      <c r="L716" s="233"/>
      <c r="M716" s="317"/>
    </row>
    <row r="717" spans="1:13" x14ac:dyDescent="0.3">
      <c r="A717" s="8"/>
      <c r="B717" s="175"/>
      <c r="C717" s="175"/>
      <c r="D717" s="175"/>
      <c r="E717" s="264"/>
      <c r="F717" s="265"/>
      <c r="H717" s="8"/>
      <c r="I717" s="205"/>
      <c r="J717" s="205"/>
      <c r="K717" s="282"/>
      <c r="L717" s="233"/>
      <c r="M717" s="317"/>
    </row>
    <row r="718" spans="1:13" x14ac:dyDescent="0.3">
      <c r="A718" s="8"/>
      <c r="B718" s="175"/>
      <c r="C718" s="175"/>
      <c r="D718" s="175"/>
      <c r="E718" s="264"/>
      <c r="F718" s="265"/>
      <c r="H718" s="8"/>
      <c r="I718" s="205"/>
      <c r="J718" s="205"/>
      <c r="K718" s="282"/>
      <c r="L718" s="233"/>
      <c r="M718" s="317"/>
    </row>
    <row r="719" spans="1:13" x14ac:dyDescent="0.3">
      <c r="A719" s="8"/>
      <c r="B719" s="175"/>
      <c r="C719" s="175"/>
      <c r="D719" s="175"/>
      <c r="E719" s="264"/>
      <c r="F719" s="265"/>
      <c r="H719" s="8"/>
      <c r="I719" s="205"/>
      <c r="J719" s="205"/>
      <c r="K719" s="282"/>
      <c r="L719" s="233"/>
      <c r="M719" s="317"/>
    </row>
    <row r="720" spans="1:13" x14ac:dyDescent="0.3">
      <c r="A720" s="8"/>
      <c r="B720" s="175"/>
      <c r="C720" s="175"/>
      <c r="D720" s="175"/>
      <c r="E720" s="264"/>
      <c r="F720" s="265"/>
      <c r="H720" s="8"/>
      <c r="I720" s="205"/>
      <c r="J720" s="205"/>
      <c r="K720" s="282"/>
      <c r="L720" s="233"/>
      <c r="M720" s="317"/>
    </row>
    <row r="721" spans="1:13" x14ac:dyDescent="0.3">
      <c r="A721" s="8"/>
      <c r="B721" s="175"/>
      <c r="C721" s="175"/>
      <c r="D721" s="175"/>
      <c r="E721" s="264"/>
      <c r="F721" s="265"/>
      <c r="H721" s="8"/>
      <c r="I721" s="205"/>
      <c r="J721" s="205"/>
      <c r="K721" s="282"/>
      <c r="L721" s="233"/>
      <c r="M721" s="317"/>
    </row>
    <row r="722" spans="1:13" x14ac:dyDescent="0.3">
      <c r="A722" s="8"/>
      <c r="B722" s="175"/>
      <c r="C722" s="175"/>
      <c r="D722" s="175"/>
      <c r="E722" s="264"/>
      <c r="F722" s="265"/>
      <c r="H722" s="8"/>
      <c r="I722" s="205"/>
      <c r="J722" s="205"/>
      <c r="K722" s="282"/>
      <c r="L722" s="233"/>
      <c r="M722" s="317"/>
    </row>
    <row r="723" spans="1:13" x14ac:dyDescent="0.3">
      <c r="A723" s="8"/>
      <c r="B723" s="175"/>
      <c r="C723" s="175"/>
      <c r="D723" s="175"/>
      <c r="E723" s="264"/>
      <c r="F723" s="265"/>
      <c r="H723" s="8"/>
      <c r="I723" s="205"/>
      <c r="J723" s="205"/>
      <c r="K723" s="282"/>
      <c r="L723" s="233"/>
      <c r="M723" s="317"/>
    </row>
    <row r="724" spans="1:13" x14ac:dyDescent="0.3">
      <c r="A724" s="8"/>
      <c r="B724" s="175"/>
      <c r="C724" s="175"/>
      <c r="D724" s="175"/>
      <c r="E724" s="264"/>
      <c r="F724" s="265"/>
      <c r="H724" s="8"/>
      <c r="I724" s="205"/>
      <c r="J724" s="205"/>
      <c r="K724" s="282"/>
      <c r="L724" s="233"/>
      <c r="M724" s="317"/>
    </row>
    <row r="725" spans="1:13" x14ac:dyDescent="0.3">
      <c r="A725" s="8"/>
      <c r="B725" s="175"/>
      <c r="C725" s="175"/>
      <c r="D725" s="175"/>
      <c r="E725" s="264"/>
      <c r="F725" s="265"/>
      <c r="H725" s="8"/>
      <c r="I725" s="205"/>
      <c r="J725" s="205"/>
      <c r="K725" s="282"/>
      <c r="L725" s="233"/>
      <c r="M725" s="317"/>
    </row>
    <row r="726" spans="1:13" x14ac:dyDescent="0.3">
      <c r="A726" s="8"/>
      <c r="B726" s="175"/>
      <c r="C726" s="175"/>
      <c r="D726" s="175"/>
      <c r="E726" s="264"/>
      <c r="F726" s="265"/>
      <c r="H726" s="8"/>
      <c r="I726" s="205"/>
      <c r="J726" s="205"/>
      <c r="K726" s="282"/>
      <c r="L726" s="233"/>
      <c r="M726" s="317"/>
    </row>
    <row r="727" spans="1:13" x14ac:dyDescent="0.3">
      <c r="A727" s="8"/>
      <c r="B727" s="175"/>
      <c r="C727" s="175"/>
      <c r="D727" s="175"/>
      <c r="E727" s="264"/>
      <c r="F727" s="265"/>
      <c r="H727" s="8"/>
      <c r="I727" s="205"/>
      <c r="J727" s="205"/>
      <c r="K727" s="282"/>
      <c r="L727" s="233"/>
      <c r="M727" s="317"/>
    </row>
    <row r="728" spans="1:13" x14ac:dyDescent="0.3">
      <c r="A728" s="8"/>
      <c r="B728" s="175"/>
      <c r="C728" s="175"/>
      <c r="D728" s="175"/>
      <c r="E728" s="264"/>
      <c r="F728" s="265"/>
      <c r="H728" s="8"/>
      <c r="I728" s="205"/>
      <c r="J728" s="205"/>
      <c r="K728" s="282"/>
      <c r="L728" s="233"/>
      <c r="M728" s="317"/>
    </row>
    <row r="729" spans="1:13" x14ac:dyDescent="0.3">
      <c r="A729" s="8"/>
      <c r="B729" s="175"/>
      <c r="C729" s="175"/>
      <c r="D729" s="175"/>
      <c r="E729" s="264"/>
      <c r="F729" s="265"/>
      <c r="H729" s="8"/>
      <c r="I729" s="205"/>
      <c r="J729" s="205"/>
      <c r="K729" s="282"/>
      <c r="L729" s="233"/>
      <c r="M729" s="317"/>
    </row>
    <row r="730" spans="1:13" x14ac:dyDescent="0.3">
      <c r="A730" s="8"/>
      <c r="B730" s="175"/>
      <c r="C730" s="175"/>
      <c r="D730" s="175"/>
      <c r="E730" s="264"/>
      <c r="F730" s="265"/>
      <c r="H730" s="8"/>
      <c r="I730" s="205"/>
      <c r="J730" s="205"/>
      <c r="K730" s="282"/>
      <c r="L730" s="233"/>
      <c r="M730" s="317"/>
    </row>
    <row r="731" spans="1:13" x14ac:dyDescent="0.3">
      <c r="A731" s="8"/>
      <c r="B731" s="175"/>
      <c r="C731" s="175"/>
      <c r="D731" s="175"/>
      <c r="E731" s="264"/>
      <c r="F731" s="265"/>
      <c r="H731" s="8"/>
      <c r="I731" s="205"/>
      <c r="J731" s="205"/>
      <c r="K731" s="282"/>
      <c r="L731" s="233"/>
      <c r="M731" s="317"/>
    </row>
    <row r="732" spans="1:13" x14ac:dyDescent="0.3">
      <c r="A732" s="8"/>
      <c r="B732" s="175"/>
      <c r="C732" s="175"/>
      <c r="D732" s="175"/>
      <c r="E732" s="264"/>
      <c r="F732" s="265"/>
      <c r="H732" s="8"/>
      <c r="I732" s="205"/>
      <c r="J732" s="205"/>
      <c r="K732" s="282"/>
      <c r="L732" s="233"/>
      <c r="M732" s="317"/>
    </row>
    <row r="733" spans="1:13" x14ac:dyDescent="0.3">
      <c r="A733" s="8"/>
      <c r="B733" s="175"/>
      <c r="C733" s="175"/>
      <c r="D733" s="175"/>
      <c r="E733" s="264"/>
      <c r="F733" s="265"/>
      <c r="H733" s="8"/>
      <c r="I733" s="205"/>
      <c r="J733" s="205"/>
      <c r="K733" s="282"/>
      <c r="L733" s="233"/>
      <c r="M733" s="317"/>
    </row>
    <row r="734" spans="1:13" x14ac:dyDescent="0.3">
      <c r="A734" s="8"/>
      <c r="B734" s="175"/>
      <c r="C734" s="175"/>
      <c r="D734" s="175"/>
      <c r="E734" s="264"/>
      <c r="F734" s="265"/>
      <c r="H734" s="8"/>
      <c r="I734" s="205"/>
      <c r="J734" s="205"/>
      <c r="K734" s="282"/>
      <c r="L734" s="233"/>
      <c r="M734" s="317"/>
    </row>
    <row r="735" spans="1:13" x14ac:dyDescent="0.3">
      <c r="A735" s="8"/>
      <c r="B735" s="175"/>
      <c r="C735" s="175"/>
      <c r="D735" s="175"/>
      <c r="E735" s="264"/>
      <c r="F735" s="265"/>
      <c r="H735" s="8"/>
      <c r="I735" s="205"/>
      <c r="J735" s="205"/>
      <c r="K735" s="282"/>
      <c r="L735" s="233"/>
      <c r="M735" s="317"/>
    </row>
    <row r="736" spans="1:13" x14ac:dyDescent="0.3">
      <c r="A736" s="8"/>
      <c r="B736" s="175"/>
      <c r="C736" s="175"/>
      <c r="D736" s="175"/>
      <c r="E736" s="264"/>
      <c r="F736" s="265"/>
      <c r="H736" s="8"/>
      <c r="I736" s="205"/>
      <c r="J736" s="205"/>
      <c r="K736" s="282"/>
      <c r="L736" s="233"/>
      <c r="M736" s="317"/>
    </row>
    <row r="737" spans="1:13" x14ac:dyDescent="0.3">
      <c r="A737" s="8"/>
      <c r="B737" s="175"/>
      <c r="C737" s="175"/>
      <c r="D737" s="175"/>
      <c r="E737" s="264"/>
      <c r="F737" s="265"/>
      <c r="H737" s="8"/>
      <c r="I737" s="205"/>
      <c r="J737" s="205"/>
      <c r="K737" s="282"/>
      <c r="L737" s="233"/>
      <c r="M737" s="317"/>
    </row>
    <row r="738" spans="1:13" x14ac:dyDescent="0.3">
      <c r="A738" s="8"/>
      <c r="B738" s="175"/>
      <c r="C738" s="175"/>
      <c r="D738" s="175"/>
      <c r="E738" s="264"/>
      <c r="F738" s="265"/>
      <c r="H738" s="8"/>
      <c r="I738" s="205"/>
      <c r="J738" s="205"/>
      <c r="K738" s="282"/>
      <c r="L738" s="233"/>
      <c r="M738" s="317"/>
    </row>
    <row r="739" spans="1:13" x14ac:dyDescent="0.3">
      <c r="A739" s="8"/>
      <c r="B739" s="175"/>
      <c r="C739" s="175"/>
      <c r="D739" s="175"/>
      <c r="E739" s="264"/>
      <c r="F739" s="265"/>
      <c r="H739" s="8"/>
      <c r="I739" s="205"/>
      <c r="J739" s="205"/>
      <c r="K739" s="282"/>
      <c r="L739" s="233"/>
      <c r="M739" s="317"/>
    </row>
    <row r="740" spans="1:13" x14ac:dyDescent="0.3">
      <c r="A740" s="8"/>
      <c r="B740" s="175"/>
      <c r="C740" s="175"/>
      <c r="D740" s="175"/>
      <c r="E740" s="264"/>
      <c r="F740" s="265"/>
      <c r="H740" s="8"/>
      <c r="I740" s="205"/>
      <c r="J740" s="205"/>
      <c r="K740" s="282"/>
      <c r="L740" s="233"/>
      <c r="M740" s="317"/>
    </row>
    <row r="741" spans="1:13" x14ac:dyDescent="0.3">
      <c r="A741" s="8"/>
      <c r="B741" s="175"/>
      <c r="C741" s="175"/>
      <c r="D741" s="175"/>
      <c r="E741" s="264"/>
      <c r="F741" s="265"/>
      <c r="H741" s="8"/>
      <c r="I741" s="205"/>
      <c r="J741" s="205"/>
      <c r="K741" s="282"/>
      <c r="L741" s="233"/>
      <c r="M741" s="317"/>
    </row>
    <row r="742" spans="1:13" x14ac:dyDescent="0.3">
      <c r="A742" s="8"/>
      <c r="B742" s="175"/>
      <c r="C742" s="175"/>
      <c r="D742" s="175"/>
      <c r="E742" s="264"/>
      <c r="F742" s="265"/>
      <c r="H742" s="8"/>
      <c r="I742" s="205"/>
      <c r="J742" s="205"/>
      <c r="K742" s="282"/>
      <c r="L742" s="233"/>
      <c r="M742" s="317"/>
    </row>
    <row r="743" spans="1:13" x14ac:dyDescent="0.3">
      <c r="A743" s="8"/>
      <c r="B743" s="175"/>
      <c r="C743" s="175"/>
      <c r="D743" s="175"/>
      <c r="E743" s="264"/>
      <c r="F743" s="265"/>
      <c r="H743" s="8"/>
      <c r="I743" s="205"/>
      <c r="J743" s="205"/>
      <c r="K743" s="282"/>
      <c r="L743" s="233"/>
      <c r="M743" s="317"/>
    </row>
    <row r="744" spans="1:13" x14ac:dyDescent="0.3">
      <c r="A744" s="8"/>
      <c r="B744" s="175"/>
      <c r="C744" s="175"/>
      <c r="D744" s="175"/>
      <c r="E744" s="264"/>
      <c r="F744" s="265"/>
      <c r="H744" s="8"/>
      <c r="I744" s="205"/>
      <c r="J744" s="205"/>
      <c r="K744" s="282"/>
      <c r="L744" s="233"/>
      <c r="M744" s="317"/>
    </row>
    <row r="745" spans="1:13" x14ac:dyDescent="0.3">
      <c r="A745" s="8"/>
      <c r="B745" s="175"/>
      <c r="C745" s="175"/>
      <c r="D745" s="175"/>
      <c r="E745" s="264"/>
      <c r="F745" s="265"/>
      <c r="H745" s="8"/>
      <c r="I745" s="205"/>
      <c r="J745" s="205"/>
      <c r="K745" s="282"/>
      <c r="L745" s="233"/>
      <c r="M745" s="317"/>
    </row>
    <row r="746" spans="1:13" x14ac:dyDescent="0.3">
      <c r="A746" s="8"/>
      <c r="B746" s="175"/>
      <c r="C746" s="175"/>
      <c r="D746" s="175"/>
      <c r="E746" s="264"/>
      <c r="F746" s="265"/>
      <c r="H746" s="8"/>
      <c r="I746" s="205"/>
      <c r="J746" s="205"/>
      <c r="K746" s="282"/>
      <c r="L746" s="233"/>
      <c r="M746" s="317"/>
    </row>
    <row r="747" spans="1:13" x14ac:dyDescent="0.3">
      <c r="A747" s="8"/>
      <c r="B747" s="175"/>
      <c r="C747" s="175"/>
      <c r="D747" s="175"/>
      <c r="E747" s="264"/>
      <c r="F747" s="265"/>
      <c r="H747" s="8"/>
      <c r="I747" s="205"/>
      <c r="J747" s="205"/>
      <c r="K747" s="282"/>
      <c r="L747" s="233"/>
      <c r="M747" s="317"/>
    </row>
    <row r="748" spans="1:13" x14ac:dyDescent="0.3">
      <c r="A748" s="8"/>
      <c r="B748" s="175"/>
      <c r="C748" s="175"/>
      <c r="D748" s="175"/>
      <c r="E748" s="264"/>
      <c r="F748" s="265"/>
      <c r="H748" s="8"/>
      <c r="I748" s="205"/>
      <c r="J748" s="205"/>
      <c r="K748" s="282"/>
      <c r="L748" s="233"/>
      <c r="M748" s="317"/>
    </row>
    <row r="749" spans="1:13" x14ac:dyDescent="0.3">
      <c r="A749" s="8"/>
      <c r="B749" s="175"/>
      <c r="C749" s="175"/>
      <c r="D749" s="175"/>
      <c r="E749" s="264"/>
      <c r="F749" s="265"/>
      <c r="H749" s="8"/>
      <c r="I749" s="205"/>
      <c r="J749" s="205"/>
      <c r="K749" s="282"/>
      <c r="L749" s="233"/>
      <c r="M749" s="317"/>
    </row>
    <row r="750" spans="1:13" x14ac:dyDescent="0.3">
      <c r="A750" s="8"/>
      <c r="B750" s="175"/>
      <c r="C750" s="175"/>
      <c r="D750" s="175"/>
      <c r="E750" s="264"/>
      <c r="F750" s="265"/>
      <c r="H750" s="8"/>
      <c r="I750" s="205"/>
      <c r="J750" s="205"/>
      <c r="K750" s="282"/>
      <c r="L750" s="233"/>
      <c r="M750" s="317"/>
    </row>
    <row r="751" spans="1:13" x14ac:dyDescent="0.3">
      <c r="A751" s="8"/>
      <c r="B751" s="175"/>
      <c r="C751" s="175"/>
      <c r="D751" s="175"/>
      <c r="E751" s="264"/>
      <c r="F751" s="265"/>
      <c r="H751" s="8"/>
      <c r="I751" s="205"/>
      <c r="J751" s="205"/>
      <c r="K751" s="282"/>
      <c r="L751" s="233"/>
      <c r="M751" s="317"/>
    </row>
    <row r="752" spans="1:13" x14ac:dyDescent="0.3">
      <c r="A752" s="8"/>
      <c r="B752" s="175"/>
      <c r="C752" s="175"/>
      <c r="D752" s="175"/>
      <c r="E752" s="264"/>
      <c r="F752" s="265"/>
      <c r="H752" s="8"/>
      <c r="I752" s="205"/>
      <c r="J752" s="205"/>
      <c r="K752" s="282"/>
      <c r="L752" s="233"/>
      <c r="M752" s="317"/>
    </row>
    <row r="753" spans="1:13" x14ac:dyDescent="0.3">
      <c r="A753" s="8"/>
      <c r="B753" s="175"/>
      <c r="C753" s="175"/>
      <c r="D753" s="175"/>
      <c r="E753" s="264"/>
      <c r="F753" s="265"/>
      <c r="H753" s="8"/>
      <c r="I753" s="205"/>
      <c r="J753" s="205"/>
      <c r="K753" s="282"/>
      <c r="L753" s="233"/>
      <c r="M753" s="317"/>
    </row>
    <row r="754" spans="1:13" x14ac:dyDescent="0.3">
      <c r="A754" s="8"/>
      <c r="B754" s="175"/>
      <c r="C754" s="175"/>
      <c r="D754" s="175"/>
      <c r="E754" s="264"/>
      <c r="F754" s="265"/>
      <c r="H754" s="8"/>
      <c r="I754" s="205"/>
      <c r="J754" s="205"/>
      <c r="K754" s="282"/>
      <c r="L754" s="233"/>
      <c r="M754" s="317"/>
    </row>
    <row r="755" spans="1:13" x14ac:dyDescent="0.3">
      <c r="A755" s="8"/>
      <c r="B755" s="175"/>
      <c r="C755" s="175"/>
      <c r="D755" s="175"/>
      <c r="E755" s="264"/>
      <c r="F755" s="265"/>
      <c r="H755" s="8"/>
      <c r="I755" s="205"/>
      <c r="J755" s="205"/>
      <c r="K755" s="282"/>
      <c r="L755" s="233"/>
      <c r="M755" s="317"/>
    </row>
    <row r="756" spans="1:13" x14ac:dyDescent="0.3">
      <c r="A756" s="8"/>
      <c r="B756" s="175"/>
      <c r="C756" s="175"/>
      <c r="D756" s="175"/>
      <c r="E756" s="264"/>
      <c r="F756" s="265"/>
      <c r="H756" s="8"/>
      <c r="I756" s="205"/>
      <c r="J756" s="205"/>
      <c r="K756" s="282"/>
      <c r="L756" s="233"/>
      <c r="M756" s="317"/>
    </row>
    <row r="757" spans="1:13" x14ac:dyDescent="0.3">
      <c r="A757" s="8"/>
      <c r="B757" s="175"/>
      <c r="C757" s="175"/>
      <c r="D757" s="175"/>
      <c r="E757" s="264"/>
      <c r="F757" s="265"/>
      <c r="H757" s="8"/>
      <c r="I757" s="205"/>
      <c r="J757" s="205"/>
      <c r="K757" s="282"/>
      <c r="L757" s="233"/>
      <c r="M757" s="317"/>
    </row>
    <row r="758" spans="1:13" x14ac:dyDescent="0.3">
      <c r="A758" s="8"/>
      <c r="B758" s="175"/>
      <c r="C758" s="175"/>
      <c r="D758" s="175"/>
      <c r="E758" s="264"/>
      <c r="F758" s="265"/>
      <c r="H758" s="8"/>
      <c r="I758" s="205"/>
      <c r="J758" s="205"/>
      <c r="K758" s="282"/>
      <c r="L758" s="233"/>
      <c r="M758" s="317"/>
    </row>
    <row r="759" spans="1:13" x14ac:dyDescent="0.3">
      <c r="A759" s="8"/>
      <c r="B759" s="175"/>
      <c r="C759" s="175"/>
      <c r="D759" s="175"/>
      <c r="E759" s="264"/>
      <c r="F759" s="265"/>
      <c r="H759" s="8"/>
      <c r="I759" s="205"/>
      <c r="J759" s="205"/>
      <c r="K759" s="282"/>
      <c r="L759" s="233"/>
      <c r="M759" s="317"/>
    </row>
    <row r="760" spans="1:13" x14ac:dyDescent="0.3">
      <c r="A760" s="8"/>
      <c r="B760" s="175"/>
      <c r="C760" s="175"/>
      <c r="D760" s="175"/>
      <c r="E760" s="264"/>
      <c r="F760" s="265"/>
      <c r="H760" s="8"/>
      <c r="I760" s="205"/>
      <c r="J760" s="205"/>
      <c r="K760" s="282"/>
      <c r="L760" s="233"/>
      <c r="M760" s="317"/>
    </row>
    <row r="761" spans="1:13" x14ac:dyDescent="0.3">
      <c r="A761" s="8"/>
      <c r="B761" s="175"/>
      <c r="C761" s="175"/>
      <c r="D761" s="175"/>
      <c r="E761" s="264"/>
      <c r="F761" s="265"/>
      <c r="H761" s="8"/>
      <c r="I761" s="205"/>
      <c r="J761" s="205"/>
      <c r="K761" s="282"/>
      <c r="L761" s="233"/>
      <c r="M761" s="317"/>
    </row>
    <row r="762" spans="1:13" x14ac:dyDescent="0.3">
      <c r="A762" s="8"/>
      <c r="B762" s="175"/>
      <c r="C762" s="175"/>
      <c r="D762" s="175"/>
      <c r="E762" s="264"/>
      <c r="F762" s="265"/>
      <c r="H762" s="8"/>
      <c r="I762" s="205"/>
      <c r="J762" s="205"/>
      <c r="K762" s="282"/>
      <c r="L762" s="233"/>
      <c r="M762" s="317"/>
    </row>
    <row r="763" spans="1:13" x14ac:dyDescent="0.3">
      <c r="A763" s="8"/>
      <c r="B763" s="175"/>
      <c r="C763" s="175"/>
      <c r="D763" s="175"/>
      <c r="E763" s="264"/>
      <c r="F763" s="265"/>
      <c r="H763" s="8"/>
      <c r="I763" s="205"/>
      <c r="J763" s="205"/>
      <c r="K763" s="282"/>
      <c r="L763" s="233"/>
      <c r="M763" s="317"/>
    </row>
    <row r="764" spans="1:13" x14ac:dyDescent="0.3">
      <c r="A764" s="8"/>
      <c r="B764" s="175"/>
      <c r="C764" s="175"/>
      <c r="D764" s="175"/>
      <c r="E764" s="264"/>
      <c r="F764" s="265"/>
      <c r="H764" s="8"/>
      <c r="I764" s="205"/>
      <c r="J764" s="205"/>
      <c r="K764" s="282"/>
      <c r="L764" s="233"/>
      <c r="M764" s="317"/>
    </row>
    <row r="765" spans="1:13" x14ac:dyDescent="0.3">
      <c r="A765" s="8"/>
      <c r="B765" s="175"/>
      <c r="C765" s="175"/>
      <c r="D765" s="175"/>
      <c r="E765" s="264"/>
      <c r="F765" s="265"/>
      <c r="H765" s="8"/>
      <c r="I765" s="205"/>
      <c r="J765" s="205"/>
      <c r="K765" s="282"/>
      <c r="L765" s="233"/>
      <c r="M765" s="317"/>
    </row>
    <row r="766" spans="1:13" x14ac:dyDescent="0.3">
      <c r="A766" s="8"/>
      <c r="B766" s="175"/>
      <c r="C766" s="175"/>
      <c r="D766" s="175"/>
      <c r="E766" s="264"/>
      <c r="F766" s="265"/>
      <c r="H766" s="8"/>
      <c r="I766" s="205"/>
      <c r="J766" s="205"/>
      <c r="K766" s="282"/>
      <c r="L766" s="233"/>
      <c r="M766" s="317"/>
    </row>
    <row r="767" spans="1:13" x14ac:dyDescent="0.3">
      <c r="A767" s="8"/>
      <c r="B767" s="175"/>
      <c r="C767" s="175"/>
      <c r="D767" s="175"/>
      <c r="E767" s="264"/>
      <c r="F767" s="265"/>
      <c r="H767" s="8"/>
      <c r="I767" s="205"/>
      <c r="J767" s="205"/>
      <c r="K767" s="282"/>
      <c r="L767" s="233"/>
      <c r="M767" s="317"/>
    </row>
    <row r="768" spans="1:13" x14ac:dyDescent="0.3">
      <c r="A768" s="8"/>
      <c r="B768" s="175"/>
      <c r="C768" s="175"/>
      <c r="D768" s="175"/>
      <c r="E768" s="264"/>
      <c r="F768" s="265"/>
      <c r="H768" s="8"/>
      <c r="I768" s="205"/>
      <c r="J768" s="205"/>
      <c r="K768" s="282"/>
      <c r="L768" s="233"/>
      <c r="M768" s="317"/>
    </row>
    <row r="769" spans="1:13" x14ac:dyDescent="0.3">
      <c r="A769" s="8"/>
      <c r="B769" s="175"/>
      <c r="C769" s="175"/>
      <c r="D769" s="175"/>
      <c r="E769" s="264"/>
      <c r="F769" s="265"/>
      <c r="H769" s="8"/>
      <c r="I769" s="205"/>
      <c r="J769" s="205"/>
      <c r="K769" s="282"/>
      <c r="L769" s="233"/>
      <c r="M769" s="317"/>
    </row>
    <row r="770" spans="1:13" x14ac:dyDescent="0.3">
      <c r="A770" s="8"/>
      <c r="B770" s="175"/>
      <c r="C770" s="175"/>
      <c r="D770" s="175"/>
      <c r="E770" s="264"/>
      <c r="F770" s="265"/>
      <c r="H770" s="8"/>
      <c r="I770" s="205"/>
      <c r="J770" s="205"/>
      <c r="K770" s="282"/>
      <c r="L770" s="233"/>
      <c r="M770" s="317"/>
    </row>
    <row r="771" spans="1:13" x14ac:dyDescent="0.3">
      <c r="A771" s="8"/>
      <c r="B771" s="175"/>
      <c r="C771" s="175"/>
      <c r="D771" s="175"/>
      <c r="E771" s="264"/>
      <c r="F771" s="265"/>
      <c r="H771" s="8"/>
      <c r="I771" s="205"/>
      <c r="J771" s="205"/>
      <c r="K771" s="282"/>
      <c r="L771" s="233"/>
      <c r="M771" s="317"/>
    </row>
    <row r="772" spans="1:13" x14ac:dyDescent="0.3">
      <c r="A772" s="46"/>
      <c r="B772" s="80"/>
      <c r="C772" s="80"/>
      <c r="D772" s="80"/>
      <c r="E772" s="259"/>
      <c r="F772" s="250"/>
      <c r="H772" s="8"/>
      <c r="I772" s="205"/>
      <c r="J772" s="205"/>
      <c r="K772" s="282"/>
      <c r="L772" s="233"/>
      <c r="M772" s="317"/>
    </row>
    <row r="773" spans="1:13" x14ac:dyDescent="0.3">
      <c r="A773" s="46"/>
      <c r="B773" s="80"/>
      <c r="C773" s="80"/>
      <c r="D773" s="80"/>
      <c r="E773" s="259"/>
      <c r="F773" s="250"/>
      <c r="H773" s="8"/>
      <c r="I773" s="205"/>
      <c r="J773" s="205"/>
      <c r="K773" s="282"/>
      <c r="L773" s="233"/>
      <c r="M773" s="317"/>
    </row>
    <row r="774" spans="1:13" x14ac:dyDescent="0.3">
      <c r="A774" s="46"/>
      <c r="B774" s="80"/>
      <c r="C774" s="80"/>
      <c r="D774" s="80"/>
      <c r="E774" s="259"/>
      <c r="F774" s="250"/>
      <c r="H774" s="8"/>
      <c r="I774" s="205"/>
      <c r="J774" s="205"/>
      <c r="K774" s="282"/>
      <c r="L774" s="233"/>
      <c r="M774" s="317"/>
    </row>
    <row r="775" spans="1:13" x14ac:dyDescent="0.3">
      <c r="A775" s="46"/>
      <c r="B775" s="80"/>
      <c r="C775" s="80"/>
      <c r="D775" s="80"/>
      <c r="E775" s="259"/>
      <c r="F775" s="250"/>
      <c r="H775" s="8"/>
      <c r="I775" s="205"/>
      <c r="J775" s="205"/>
      <c r="K775" s="282"/>
      <c r="L775" s="233"/>
      <c r="M775" s="317"/>
    </row>
    <row r="776" spans="1:13" x14ac:dyDescent="0.3">
      <c r="A776" s="46"/>
      <c r="B776" s="80"/>
      <c r="C776" s="80"/>
      <c r="D776" s="80"/>
      <c r="E776" s="259"/>
      <c r="F776" s="250"/>
      <c r="H776" s="8"/>
      <c r="I776" s="205"/>
      <c r="J776" s="205"/>
      <c r="K776" s="282"/>
      <c r="L776" s="233"/>
      <c r="M776" s="317"/>
    </row>
    <row r="777" spans="1:13" x14ac:dyDescent="0.3">
      <c r="A777" s="46"/>
      <c r="B777" s="80"/>
      <c r="C777" s="80"/>
      <c r="D777" s="80"/>
      <c r="E777" s="259"/>
      <c r="F777" s="250"/>
      <c r="H777" s="8"/>
      <c r="I777" s="205"/>
      <c r="J777" s="205"/>
      <c r="K777" s="282"/>
      <c r="L777" s="233"/>
      <c r="M777" s="317"/>
    </row>
    <row r="778" spans="1:13" x14ac:dyDescent="0.3">
      <c r="A778" s="46"/>
      <c r="B778" s="80"/>
      <c r="C778" s="80"/>
      <c r="D778" s="80"/>
      <c r="E778" s="259"/>
      <c r="F778" s="250"/>
      <c r="H778" s="8"/>
      <c r="I778" s="205"/>
      <c r="J778" s="205"/>
      <c r="K778" s="282"/>
      <c r="L778" s="233"/>
      <c r="M778" s="317"/>
    </row>
    <row r="779" spans="1:13" x14ac:dyDescent="0.3">
      <c r="A779" s="46"/>
      <c r="B779" s="80"/>
      <c r="C779" s="80"/>
      <c r="D779" s="80"/>
      <c r="E779" s="259"/>
      <c r="F779" s="250"/>
      <c r="H779" s="8"/>
      <c r="I779" s="205"/>
      <c r="J779" s="205"/>
      <c r="K779" s="282"/>
      <c r="L779" s="233"/>
      <c r="M779" s="317"/>
    </row>
    <row r="780" spans="1:13" x14ac:dyDescent="0.3">
      <c r="A780" s="46"/>
      <c r="B780" s="80"/>
      <c r="C780" s="80"/>
      <c r="D780" s="80"/>
      <c r="E780" s="259"/>
      <c r="F780" s="250"/>
      <c r="H780" s="8"/>
      <c r="I780" s="205"/>
      <c r="J780" s="205"/>
      <c r="K780" s="282"/>
      <c r="L780" s="233"/>
      <c r="M780" s="317"/>
    </row>
    <row r="781" spans="1:13" x14ac:dyDescent="0.3">
      <c r="A781" s="46"/>
      <c r="B781" s="80"/>
      <c r="C781" s="80"/>
      <c r="D781" s="80"/>
      <c r="E781" s="259"/>
      <c r="F781" s="250"/>
      <c r="H781" s="8"/>
      <c r="I781" s="205"/>
      <c r="J781" s="205"/>
      <c r="K781" s="282"/>
      <c r="L781" s="233"/>
      <c r="M781" s="317"/>
    </row>
    <row r="782" spans="1:13" x14ac:dyDescent="0.3">
      <c r="A782" s="46"/>
      <c r="B782" s="80"/>
      <c r="C782" s="80"/>
      <c r="D782" s="80"/>
      <c r="E782" s="259"/>
      <c r="F782" s="250"/>
      <c r="H782" s="8"/>
      <c r="I782" s="205"/>
      <c r="J782" s="205"/>
      <c r="K782" s="282"/>
      <c r="L782" s="233"/>
      <c r="M782" s="317"/>
    </row>
    <row r="783" spans="1:13" x14ac:dyDescent="0.3">
      <c r="A783" s="46"/>
      <c r="B783" s="80"/>
      <c r="C783" s="80"/>
      <c r="D783" s="80"/>
      <c r="E783" s="259"/>
      <c r="F783" s="250"/>
      <c r="H783" s="8"/>
      <c r="I783" s="205"/>
      <c r="J783" s="205"/>
      <c r="K783" s="282"/>
      <c r="L783" s="233"/>
      <c r="M783" s="317"/>
    </row>
    <row r="784" spans="1:13" x14ac:dyDescent="0.3">
      <c r="A784" s="46"/>
      <c r="B784" s="80"/>
      <c r="C784" s="80"/>
      <c r="D784" s="80"/>
      <c r="E784" s="259"/>
      <c r="F784" s="250"/>
      <c r="H784" s="8"/>
      <c r="I784" s="205"/>
      <c r="J784" s="205"/>
      <c r="K784" s="282"/>
      <c r="L784" s="233"/>
      <c r="M784" s="317"/>
    </row>
    <row r="785" spans="1:13" x14ac:dyDescent="0.3">
      <c r="A785" s="46"/>
      <c r="B785" s="80"/>
      <c r="C785" s="80"/>
      <c r="D785" s="80"/>
      <c r="E785" s="259"/>
      <c r="F785" s="250"/>
      <c r="H785" s="8"/>
      <c r="I785" s="205"/>
      <c r="J785" s="205"/>
      <c r="K785" s="282"/>
      <c r="L785" s="233"/>
      <c r="M785" s="317"/>
    </row>
    <row r="786" spans="1:13" x14ac:dyDescent="0.3">
      <c r="A786" s="46"/>
      <c r="B786" s="80"/>
      <c r="C786" s="80"/>
      <c r="D786" s="80"/>
      <c r="E786" s="259"/>
      <c r="F786" s="250"/>
      <c r="H786" s="8"/>
      <c r="I786" s="205"/>
      <c r="J786" s="205"/>
      <c r="K786" s="282"/>
      <c r="L786" s="233"/>
      <c r="M786" s="317"/>
    </row>
    <row r="787" spans="1:13" x14ac:dyDescent="0.3">
      <c r="A787" s="46"/>
      <c r="B787" s="80"/>
      <c r="C787" s="80"/>
      <c r="D787" s="80"/>
      <c r="E787" s="259"/>
      <c r="F787" s="250"/>
      <c r="H787" s="8"/>
      <c r="I787" s="205"/>
      <c r="J787" s="205"/>
      <c r="K787" s="282"/>
      <c r="L787" s="233"/>
      <c r="M787" s="317"/>
    </row>
    <row r="788" spans="1:13" x14ac:dyDescent="0.3">
      <c r="A788" s="46"/>
      <c r="B788" s="80"/>
      <c r="C788" s="80"/>
      <c r="D788" s="80"/>
      <c r="E788" s="259"/>
      <c r="F788" s="250"/>
      <c r="H788" s="8"/>
      <c r="I788" s="205"/>
      <c r="J788" s="205"/>
      <c r="K788" s="282"/>
      <c r="L788" s="233"/>
      <c r="M788" s="317"/>
    </row>
    <row r="789" spans="1:13" x14ac:dyDescent="0.3">
      <c r="A789" s="46"/>
      <c r="B789" s="80"/>
      <c r="C789" s="80"/>
      <c r="D789" s="80"/>
      <c r="E789" s="259"/>
      <c r="F789" s="250"/>
      <c r="H789" s="8"/>
      <c r="I789" s="205"/>
      <c r="J789" s="205"/>
      <c r="K789" s="282"/>
      <c r="L789" s="233"/>
      <c r="M789" s="317"/>
    </row>
    <row r="790" spans="1:13" x14ac:dyDescent="0.3">
      <c r="A790" s="46"/>
      <c r="B790" s="80"/>
      <c r="C790" s="80"/>
      <c r="D790" s="80"/>
      <c r="E790" s="259"/>
      <c r="F790" s="250"/>
      <c r="H790" s="8"/>
      <c r="I790" s="205"/>
      <c r="J790" s="205"/>
      <c r="K790" s="282"/>
      <c r="L790" s="233"/>
      <c r="M790" s="317"/>
    </row>
    <row r="791" spans="1:13" x14ac:dyDescent="0.3">
      <c r="A791" s="46"/>
      <c r="B791" s="80"/>
      <c r="C791" s="80"/>
      <c r="D791" s="80"/>
      <c r="E791" s="259"/>
      <c r="F791" s="250"/>
      <c r="H791" s="8"/>
      <c r="I791" s="205"/>
      <c r="J791" s="205"/>
      <c r="K791" s="282"/>
      <c r="L791" s="233"/>
      <c r="M791" s="317"/>
    </row>
    <row r="792" spans="1:13" x14ac:dyDescent="0.3">
      <c r="A792" s="46"/>
      <c r="B792" s="80"/>
      <c r="C792" s="80"/>
      <c r="D792" s="80"/>
      <c r="E792" s="259"/>
      <c r="F792" s="250"/>
      <c r="H792" s="8"/>
      <c r="I792" s="205"/>
      <c r="J792" s="205"/>
      <c r="K792" s="282"/>
      <c r="L792" s="233"/>
      <c r="M792" s="317"/>
    </row>
    <row r="793" spans="1:13" x14ac:dyDescent="0.3">
      <c r="A793" s="46"/>
      <c r="B793" s="80"/>
      <c r="C793" s="80"/>
      <c r="D793" s="80"/>
      <c r="E793" s="259"/>
      <c r="F793" s="250"/>
      <c r="H793" s="8"/>
      <c r="I793" s="205"/>
      <c r="J793" s="205"/>
      <c r="K793" s="282"/>
      <c r="L793" s="233"/>
      <c r="M793" s="317"/>
    </row>
    <row r="794" spans="1:13" x14ac:dyDescent="0.3">
      <c r="A794" s="46"/>
      <c r="B794" s="80"/>
      <c r="C794" s="80"/>
      <c r="D794" s="80"/>
      <c r="E794" s="259"/>
      <c r="F794" s="250"/>
      <c r="H794" s="8"/>
      <c r="I794" s="205"/>
      <c r="J794" s="205"/>
      <c r="K794" s="282"/>
      <c r="L794" s="233"/>
      <c r="M794" s="317"/>
    </row>
    <row r="795" spans="1:13" x14ac:dyDescent="0.3">
      <c r="A795" s="46"/>
      <c r="B795" s="80"/>
      <c r="C795" s="80"/>
      <c r="D795" s="80"/>
      <c r="E795" s="259"/>
      <c r="F795" s="250"/>
      <c r="H795" s="8"/>
      <c r="I795" s="205"/>
      <c r="J795" s="205"/>
      <c r="K795" s="282"/>
      <c r="L795" s="233"/>
      <c r="M795" s="317"/>
    </row>
    <row r="796" spans="1:13" x14ac:dyDescent="0.3">
      <c r="A796" s="46"/>
      <c r="B796" s="80"/>
      <c r="C796" s="80"/>
      <c r="D796" s="80"/>
      <c r="E796" s="259"/>
      <c r="F796" s="250"/>
      <c r="H796" s="8"/>
      <c r="I796" s="205"/>
      <c r="J796" s="205"/>
      <c r="K796" s="282"/>
      <c r="L796" s="233"/>
      <c r="M796" s="317"/>
    </row>
    <row r="797" spans="1:13" x14ac:dyDescent="0.3">
      <c r="A797" s="46"/>
      <c r="B797" s="80"/>
      <c r="C797" s="80"/>
      <c r="D797" s="80"/>
      <c r="E797" s="259"/>
      <c r="F797" s="250"/>
      <c r="H797" s="8"/>
      <c r="I797" s="205"/>
      <c r="J797" s="205"/>
      <c r="K797" s="282"/>
      <c r="L797" s="233"/>
      <c r="M797" s="317"/>
    </row>
    <row r="798" spans="1:13" x14ac:dyDescent="0.3">
      <c r="A798" s="46"/>
      <c r="B798" s="80"/>
      <c r="C798" s="80"/>
      <c r="D798" s="80"/>
      <c r="E798" s="259"/>
      <c r="F798" s="250"/>
      <c r="H798" s="8"/>
      <c r="I798" s="205"/>
      <c r="J798" s="205"/>
      <c r="K798" s="282"/>
      <c r="L798" s="233"/>
      <c r="M798" s="317"/>
    </row>
    <row r="799" spans="1:13" x14ac:dyDescent="0.3">
      <c r="A799" s="46"/>
      <c r="B799" s="80"/>
      <c r="C799" s="80"/>
      <c r="D799" s="80"/>
      <c r="E799" s="259"/>
      <c r="F799" s="250"/>
      <c r="H799" s="8"/>
      <c r="I799" s="205"/>
      <c r="J799" s="205"/>
      <c r="K799" s="282"/>
      <c r="L799" s="233"/>
      <c r="M799" s="317"/>
    </row>
    <row r="800" spans="1:13" x14ac:dyDescent="0.3">
      <c r="A800" s="46"/>
      <c r="B800" s="80"/>
      <c r="C800" s="80"/>
      <c r="D800" s="80"/>
      <c r="E800" s="259"/>
      <c r="F800" s="250"/>
      <c r="H800" s="8"/>
      <c r="I800" s="205"/>
      <c r="J800" s="205"/>
      <c r="K800" s="282"/>
      <c r="L800" s="233"/>
      <c r="M800" s="317"/>
    </row>
    <row r="801" spans="1:13" x14ac:dyDescent="0.3">
      <c r="A801" s="46"/>
      <c r="B801" s="80"/>
      <c r="C801" s="80"/>
      <c r="D801" s="80"/>
      <c r="E801" s="259"/>
      <c r="F801" s="250"/>
      <c r="H801" s="8"/>
      <c r="I801" s="205"/>
      <c r="J801" s="205"/>
      <c r="K801" s="282"/>
      <c r="L801" s="233"/>
      <c r="M801" s="317"/>
    </row>
    <row r="802" spans="1:13" x14ac:dyDescent="0.3">
      <c r="A802" s="46"/>
      <c r="B802" s="80"/>
      <c r="C802" s="80"/>
      <c r="D802" s="80"/>
      <c r="E802" s="259"/>
      <c r="F802" s="250"/>
      <c r="H802" s="8"/>
      <c r="I802" s="205"/>
      <c r="J802" s="205"/>
      <c r="K802" s="282"/>
      <c r="L802" s="233"/>
      <c r="M802" s="317"/>
    </row>
    <row r="803" spans="1:13" x14ac:dyDescent="0.3">
      <c r="A803" s="46"/>
      <c r="B803" s="80"/>
      <c r="C803" s="80"/>
      <c r="D803" s="80"/>
      <c r="E803" s="259"/>
      <c r="F803" s="250"/>
      <c r="H803" s="8"/>
      <c r="I803" s="205"/>
      <c r="J803" s="205"/>
      <c r="K803" s="282"/>
      <c r="L803" s="233"/>
      <c r="M803" s="317"/>
    </row>
    <row r="804" spans="1:13" x14ac:dyDescent="0.3">
      <c r="A804" s="46"/>
      <c r="B804" s="80"/>
      <c r="C804" s="80"/>
      <c r="D804" s="80"/>
      <c r="E804" s="259"/>
      <c r="F804" s="250"/>
      <c r="H804" s="8"/>
      <c r="I804" s="205"/>
      <c r="J804" s="205"/>
      <c r="K804" s="282"/>
      <c r="L804" s="233"/>
      <c r="M804" s="317"/>
    </row>
    <row r="805" spans="1:13" x14ac:dyDescent="0.3">
      <c r="A805" s="46"/>
      <c r="B805" s="80"/>
      <c r="C805" s="80"/>
      <c r="D805" s="80"/>
      <c r="E805" s="259"/>
      <c r="F805" s="250"/>
      <c r="H805" s="8"/>
      <c r="I805" s="205"/>
      <c r="J805" s="205"/>
      <c r="K805" s="282"/>
      <c r="L805" s="233"/>
      <c r="M805" s="317"/>
    </row>
    <row r="806" spans="1:13" x14ac:dyDescent="0.3">
      <c r="A806" s="46"/>
      <c r="B806" s="80"/>
      <c r="C806" s="80"/>
      <c r="D806" s="80"/>
      <c r="E806" s="259"/>
      <c r="F806" s="250"/>
      <c r="H806" s="8"/>
      <c r="I806" s="205"/>
      <c r="J806" s="205"/>
      <c r="K806" s="282"/>
      <c r="L806" s="233"/>
      <c r="M806" s="317"/>
    </row>
    <row r="807" spans="1:13" x14ac:dyDescent="0.3">
      <c r="A807" s="46"/>
      <c r="B807" s="80"/>
      <c r="C807" s="80"/>
      <c r="D807" s="80"/>
      <c r="E807" s="259"/>
      <c r="F807" s="250"/>
      <c r="H807" s="8"/>
      <c r="I807" s="205"/>
      <c r="J807" s="205"/>
      <c r="K807" s="282"/>
      <c r="L807" s="233"/>
      <c r="M807" s="317"/>
    </row>
    <row r="808" spans="1:13" x14ac:dyDescent="0.3">
      <c r="A808" s="46"/>
      <c r="B808" s="80"/>
      <c r="C808" s="80"/>
      <c r="D808" s="80"/>
      <c r="E808" s="259"/>
      <c r="F808" s="250"/>
      <c r="H808" s="8"/>
      <c r="I808" s="205"/>
      <c r="J808" s="205"/>
      <c r="K808" s="282"/>
      <c r="L808" s="233"/>
      <c r="M808" s="317"/>
    </row>
    <row r="809" spans="1:13" x14ac:dyDescent="0.3">
      <c r="A809" s="46"/>
      <c r="B809" s="80"/>
      <c r="C809" s="80"/>
      <c r="D809" s="80"/>
      <c r="E809" s="259"/>
      <c r="F809" s="250"/>
      <c r="H809" s="8"/>
      <c r="I809" s="205"/>
      <c r="J809" s="205"/>
      <c r="K809" s="282"/>
      <c r="L809" s="233"/>
      <c r="M809" s="317"/>
    </row>
    <row r="810" spans="1:13" x14ac:dyDescent="0.3">
      <c r="A810" s="46"/>
      <c r="B810" s="80"/>
      <c r="C810" s="80"/>
      <c r="D810" s="80"/>
      <c r="E810" s="259"/>
      <c r="F810" s="250"/>
      <c r="H810" s="8"/>
      <c r="I810" s="205"/>
      <c r="J810" s="205"/>
      <c r="K810" s="282"/>
      <c r="L810" s="233"/>
      <c r="M810" s="317"/>
    </row>
    <row r="811" spans="1:13" x14ac:dyDescent="0.3">
      <c r="A811" s="46"/>
      <c r="B811" s="80"/>
      <c r="C811" s="80"/>
      <c r="D811" s="80"/>
      <c r="E811" s="259"/>
      <c r="F811" s="250"/>
      <c r="H811" s="8"/>
      <c r="I811" s="205"/>
      <c r="J811" s="205"/>
      <c r="K811" s="282"/>
      <c r="L811" s="233"/>
      <c r="M811" s="317"/>
    </row>
    <row r="812" spans="1:13" x14ac:dyDescent="0.3">
      <c r="A812" s="46"/>
      <c r="B812" s="80"/>
      <c r="C812" s="80"/>
      <c r="D812" s="80"/>
      <c r="E812" s="259"/>
      <c r="F812" s="250"/>
      <c r="H812" s="8"/>
      <c r="I812" s="205"/>
      <c r="J812" s="205"/>
      <c r="K812" s="282"/>
      <c r="L812" s="233"/>
      <c r="M812" s="317"/>
    </row>
    <row r="813" spans="1:13" x14ac:dyDescent="0.3">
      <c r="A813" s="46"/>
      <c r="B813" s="80"/>
      <c r="C813" s="80"/>
      <c r="D813" s="80"/>
      <c r="E813" s="259"/>
      <c r="F813" s="250"/>
      <c r="H813" s="8"/>
      <c r="I813" s="205"/>
      <c r="J813" s="205"/>
      <c r="K813" s="282"/>
      <c r="L813" s="233"/>
      <c r="M813" s="317"/>
    </row>
    <row r="814" spans="1:13" x14ac:dyDescent="0.3">
      <c r="A814" s="46"/>
      <c r="B814" s="80"/>
      <c r="C814" s="80"/>
      <c r="D814" s="80"/>
      <c r="E814" s="259"/>
      <c r="F814" s="250"/>
      <c r="H814" s="8"/>
      <c r="I814" s="205"/>
      <c r="J814" s="205"/>
      <c r="K814" s="282"/>
      <c r="L814" s="233"/>
      <c r="M814" s="317"/>
    </row>
    <row r="815" spans="1:13" x14ac:dyDescent="0.3">
      <c r="A815" s="46"/>
      <c r="B815" s="80"/>
      <c r="C815" s="80"/>
      <c r="D815" s="80"/>
      <c r="E815" s="259"/>
      <c r="F815" s="250"/>
      <c r="H815" s="8"/>
      <c r="I815" s="205"/>
      <c r="J815" s="205"/>
      <c r="K815" s="282"/>
      <c r="L815" s="233"/>
      <c r="M815" s="317"/>
    </row>
    <row r="816" spans="1:13" x14ac:dyDescent="0.3">
      <c r="A816" s="46"/>
      <c r="B816" s="80"/>
      <c r="C816" s="80"/>
      <c r="D816" s="80"/>
      <c r="E816" s="259"/>
      <c r="F816" s="250"/>
      <c r="H816" s="8"/>
      <c r="I816" s="205"/>
      <c r="J816" s="205"/>
      <c r="K816" s="282"/>
      <c r="L816" s="233"/>
      <c r="M816" s="317"/>
    </row>
    <row r="817" spans="1:13" x14ac:dyDescent="0.3">
      <c r="A817" s="46"/>
      <c r="B817" s="80"/>
      <c r="C817" s="80"/>
      <c r="D817" s="80"/>
      <c r="E817" s="259"/>
      <c r="F817" s="250"/>
      <c r="H817" s="8"/>
      <c r="I817" s="205"/>
      <c r="J817" s="205"/>
      <c r="K817" s="282"/>
      <c r="L817" s="233"/>
      <c r="M817" s="317"/>
    </row>
    <row r="818" spans="1:13" x14ac:dyDescent="0.3">
      <c r="A818" s="46"/>
      <c r="B818" s="80"/>
      <c r="C818" s="80"/>
      <c r="D818" s="80"/>
      <c r="E818" s="259"/>
      <c r="F818" s="250"/>
      <c r="H818" s="8"/>
      <c r="I818" s="205"/>
      <c r="J818" s="205"/>
      <c r="K818" s="282"/>
      <c r="L818" s="233"/>
      <c r="M818" s="317"/>
    </row>
    <row r="819" spans="1:13" x14ac:dyDescent="0.3">
      <c r="A819" s="46"/>
      <c r="B819" s="80"/>
      <c r="C819" s="80"/>
      <c r="D819" s="80"/>
      <c r="E819" s="259"/>
      <c r="F819" s="250"/>
      <c r="H819" s="8"/>
      <c r="I819" s="205"/>
      <c r="J819" s="205"/>
      <c r="K819" s="282"/>
      <c r="L819" s="233"/>
      <c r="M819" s="317"/>
    </row>
    <row r="820" spans="1:13" x14ac:dyDescent="0.3">
      <c r="A820" s="46"/>
      <c r="B820" s="80"/>
      <c r="C820" s="80"/>
      <c r="D820" s="80"/>
      <c r="E820" s="259"/>
      <c r="F820" s="250"/>
      <c r="H820" s="8"/>
      <c r="I820" s="205"/>
      <c r="J820" s="205"/>
      <c r="K820" s="282"/>
      <c r="L820" s="233"/>
      <c r="M820" s="317"/>
    </row>
    <row r="821" spans="1:13" x14ac:dyDescent="0.3">
      <c r="A821" s="46"/>
      <c r="B821" s="80"/>
      <c r="C821" s="80"/>
      <c r="D821" s="80"/>
      <c r="E821" s="259"/>
      <c r="F821" s="250"/>
      <c r="H821" s="8"/>
      <c r="I821" s="205"/>
      <c r="J821" s="205"/>
      <c r="K821" s="282"/>
      <c r="L821" s="233"/>
      <c r="M821" s="317"/>
    </row>
    <row r="822" spans="1:13" x14ac:dyDescent="0.3">
      <c r="A822" s="46"/>
      <c r="B822" s="80"/>
      <c r="C822" s="80"/>
      <c r="D822" s="80"/>
      <c r="E822" s="259"/>
      <c r="F822" s="250"/>
      <c r="H822" s="8"/>
      <c r="I822" s="205"/>
      <c r="J822" s="205"/>
      <c r="K822" s="282"/>
      <c r="L822" s="233"/>
      <c r="M822" s="317"/>
    </row>
    <row r="823" spans="1:13" x14ac:dyDescent="0.3">
      <c r="A823" s="46"/>
      <c r="B823" s="80"/>
      <c r="C823" s="80"/>
      <c r="D823" s="80"/>
      <c r="E823" s="259"/>
      <c r="F823" s="250"/>
      <c r="H823" s="8"/>
      <c r="I823" s="205"/>
      <c r="J823" s="205"/>
      <c r="K823" s="282"/>
      <c r="L823" s="233"/>
      <c r="M823" s="317"/>
    </row>
    <row r="824" spans="1:13" x14ac:dyDescent="0.3">
      <c r="A824" s="46"/>
      <c r="B824" s="80"/>
      <c r="C824" s="80"/>
      <c r="D824" s="80"/>
      <c r="E824" s="259"/>
      <c r="F824" s="250"/>
      <c r="H824" s="8"/>
      <c r="I824" s="205"/>
      <c r="J824" s="205"/>
      <c r="K824" s="282"/>
      <c r="L824" s="233"/>
      <c r="M824" s="317"/>
    </row>
    <row r="825" spans="1:13" x14ac:dyDescent="0.3">
      <c r="A825" s="46"/>
      <c r="B825" s="80"/>
      <c r="C825" s="80"/>
      <c r="D825" s="80"/>
      <c r="E825" s="259"/>
      <c r="F825" s="250"/>
      <c r="H825" s="8"/>
      <c r="I825" s="205"/>
      <c r="J825" s="205"/>
      <c r="K825" s="282"/>
      <c r="L825" s="233"/>
      <c r="M825" s="317"/>
    </row>
    <row r="826" spans="1:13" x14ac:dyDescent="0.3">
      <c r="A826" s="46"/>
      <c r="B826" s="80"/>
      <c r="C826" s="80"/>
      <c r="D826" s="80"/>
      <c r="E826" s="259"/>
      <c r="F826" s="250"/>
      <c r="H826" s="8"/>
      <c r="I826" s="205"/>
      <c r="J826" s="205"/>
      <c r="K826" s="282"/>
      <c r="L826" s="233"/>
      <c r="M826" s="317"/>
    </row>
    <row r="827" spans="1:13" x14ac:dyDescent="0.3">
      <c r="A827" s="46"/>
      <c r="B827" s="80"/>
      <c r="C827" s="80"/>
      <c r="D827" s="80"/>
      <c r="E827" s="259"/>
      <c r="F827" s="250"/>
      <c r="H827" s="8"/>
      <c r="I827" s="205"/>
      <c r="J827" s="205"/>
      <c r="K827" s="282"/>
      <c r="L827" s="233"/>
      <c r="M827" s="317"/>
    </row>
    <row r="828" spans="1:13" x14ac:dyDescent="0.3">
      <c r="A828" s="46"/>
      <c r="B828" s="80"/>
      <c r="C828" s="80"/>
      <c r="D828" s="80"/>
      <c r="E828" s="259"/>
      <c r="F828" s="250"/>
      <c r="H828" s="8"/>
      <c r="I828" s="205"/>
      <c r="J828" s="205"/>
      <c r="K828" s="282"/>
      <c r="L828" s="233"/>
      <c r="M828" s="317"/>
    </row>
    <row r="829" spans="1:13" x14ac:dyDescent="0.3">
      <c r="A829" s="46"/>
      <c r="B829" s="80"/>
      <c r="C829" s="80"/>
      <c r="D829" s="80"/>
      <c r="E829" s="259"/>
      <c r="F829" s="250"/>
      <c r="H829" s="8"/>
      <c r="I829" s="205"/>
      <c r="J829" s="205"/>
      <c r="K829" s="282"/>
      <c r="L829" s="233"/>
      <c r="M829" s="317"/>
    </row>
    <row r="830" spans="1:13" x14ac:dyDescent="0.3">
      <c r="A830" s="46"/>
      <c r="B830" s="80"/>
      <c r="C830" s="80"/>
      <c r="D830" s="80"/>
      <c r="E830" s="259"/>
      <c r="F830" s="250"/>
      <c r="H830" s="8"/>
      <c r="I830" s="205"/>
      <c r="J830" s="205"/>
      <c r="K830" s="282"/>
      <c r="L830" s="233"/>
      <c r="M830" s="317"/>
    </row>
    <row r="831" spans="1:13" x14ac:dyDescent="0.3">
      <c r="A831" s="46"/>
      <c r="B831" s="80"/>
      <c r="C831" s="80"/>
      <c r="D831" s="80"/>
      <c r="E831" s="259"/>
      <c r="F831" s="250"/>
      <c r="H831" s="8"/>
      <c r="I831" s="205"/>
      <c r="J831" s="205"/>
      <c r="K831" s="282"/>
      <c r="L831" s="233"/>
      <c r="M831" s="317"/>
    </row>
    <row r="832" spans="1:13" x14ac:dyDescent="0.3">
      <c r="A832" s="46"/>
      <c r="B832" s="80"/>
      <c r="C832" s="80"/>
      <c r="D832" s="80"/>
      <c r="E832" s="259"/>
      <c r="F832" s="250"/>
      <c r="H832" s="8"/>
      <c r="I832" s="205"/>
      <c r="J832" s="205"/>
      <c r="K832" s="282"/>
      <c r="L832" s="233"/>
      <c r="M832" s="317"/>
    </row>
    <row r="833" spans="1:13" x14ac:dyDescent="0.3">
      <c r="A833" s="46"/>
      <c r="B833" s="80"/>
      <c r="C833" s="80"/>
      <c r="D833" s="80"/>
      <c r="E833" s="259"/>
      <c r="F833" s="250"/>
      <c r="H833" s="8"/>
      <c r="I833" s="205"/>
      <c r="J833" s="205"/>
      <c r="K833" s="282"/>
      <c r="L833" s="233"/>
      <c r="M833" s="317"/>
    </row>
    <row r="834" spans="1:13" x14ac:dyDescent="0.3">
      <c r="A834" s="46"/>
      <c r="B834" s="80"/>
      <c r="C834" s="80"/>
      <c r="D834" s="80"/>
      <c r="E834" s="259"/>
      <c r="F834" s="250"/>
      <c r="H834" s="8"/>
      <c r="I834" s="205"/>
      <c r="J834" s="205"/>
      <c r="K834" s="282"/>
      <c r="L834" s="233"/>
      <c r="M834" s="317"/>
    </row>
    <row r="835" spans="1:13" x14ac:dyDescent="0.3">
      <c r="A835" s="46"/>
      <c r="B835" s="80"/>
      <c r="C835" s="80"/>
      <c r="D835" s="80"/>
      <c r="E835" s="259"/>
      <c r="F835" s="250"/>
      <c r="H835" s="8"/>
      <c r="I835" s="205"/>
      <c r="J835" s="205"/>
      <c r="K835" s="282"/>
      <c r="L835" s="233"/>
      <c r="M835" s="317"/>
    </row>
    <row r="836" spans="1:13" x14ac:dyDescent="0.3">
      <c r="A836" s="46"/>
      <c r="B836" s="80"/>
      <c r="C836" s="80"/>
      <c r="D836" s="80"/>
      <c r="E836" s="259"/>
      <c r="F836" s="250"/>
      <c r="H836" s="8"/>
      <c r="I836" s="205"/>
      <c r="J836" s="205"/>
      <c r="K836" s="282"/>
      <c r="L836" s="233"/>
      <c r="M836" s="317"/>
    </row>
    <row r="837" spans="1:13" x14ac:dyDescent="0.3">
      <c r="A837" s="46"/>
      <c r="B837" s="80"/>
      <c r="C837" s="80"/>
      <c r="D837" s="80"/>
      <c r="E837" s="259"/>
      <c r="F837" s="250"/>
      <c r="H837" s="8"/>
      <c r="I837" s="205"/>
      <c r="J837" s="205"/>
      <c r="K837" s="282"/>
      <c r="L837" s="233"/>
      <c r="M837" s="317"/>
    </row>
    <row r="838" spans="1:13" x14ac:dyDescent="0.3">
      <c r="A838" s="46"/>
      <c r="B838" s="80"/>
      <c r="C838" s="80"/>
      <c r="D838" s="80"/>
      <c r="E838" s="259"/>
      <c r="F838" s="250"/>
      <c r="H838" s="8"/>
      <c r="I838" s="205"/>
      <c r="J838" s="205"/>
      <c r="K838" s="282"/>
      <c r="L838" s="233"/>
      <c r="M838" s="317"/>
    </row>
    <row r="839" spans="1:13" x14ac:dyDescent="0.3">
      <c r="A839" s="46"/>
      <c r="B839" s="80"/>
      <c r="C839" s="80"/>
      <c r="D839" s="80"/>
      <c r="E839" s="259"/>
      <c r="F839" s="250"/>
      <c r="H839" s="8"/>
      <c r="I839" s="205"/>
      <c r="J839" s="205"/>
      <c r="K839" s="282"/>
      <c r="L839" s="233"/>
      <c r="M839" s="317"/>
    </row>
    <row r="840" spans="1:13" x14ac:dyDescent="0.3">
      <c r="A840" s="46"/>
      <c r="B840" s="80"/>
      <c r="C840" s="80"/>
      <c r="D840" s="80"/>
      <c r="E840" s="259"/>
      <c r="F840" s="250"/>
      <c r="H840" s="8"/>
      <c r="I840" s="205"/>
      <c r="J840" s="205"/>
      <c r="K840" s="282"/>
      <c r="L840" s="233"/>
      <c r="M840" s="317"/>
    </row>
    <row r="841" spans="1:13" x14ac:dyDescent="0.3">
      <c r="A841" s="46"/>
      <c r="B841" s="80"/>
      <c r="C841" s="80"/>
      <c r="D841" s="80"/>
      <c r="E841" s="259"/>
      <c r="F841" s="250"/>
      <c r="H841" s="8"/>
      <c r="I841" s="205"/>
      <c r="J841" s="205"/>
      <c r="K841" s="282"/>
      <c r="L841" s="233"/>
      <c r="M841" s="317"/>
    </row>
    <row r="842" spans="1:13" x14ac:dyDescent="0.3">
      <c r="A842" s="46"/>
      <c r="B842" s="80"/>
      <c r="C842" s="80"/>
      <c r="D842" s="80"/>
      <c r="E842" s="259"/>
      <c r="F842" s="250"/>
      <c r="H842" s="8"/>
      <c r="I842" s="205"/>
      <c r="J842" s="205"/>
      <c r="K842" s="282"/>
      <c r="L842" s="233"/>
      <c r="M842" s="317"/>
    </row>
    <row r="843" spans="1:13" x14ac:dyDescent="0.3">
      <c r="A843" s="46"/>
      <c r="B843" s="80"/>
      <c r="C843" s="80"/>
      <c r="D843" s="80"/>
      <c r="E843" s="259"/>
      <c r="F843" s="250"/>
      <c r="H843" s="8"/>
      <c r="I843" s="205"/>
      <c r="J843" s="205"/>
      <c r="K843" s="282"/>
      <c r="L843" s="233"/>
      <c r="M843" s="317"/>
    </row>
    <row r="844" spans="1:13" x14ac:dyDescent="0.3">
      <c r="A844" s="46"/>
      <c r="B844" s="80"/>
      <c r="C844" s="80"/>
      <c r="D844" s="80"/>
      <c r="E844" s="259"/>
      <c r="F844" s="250"/>
      <c r="H844" s="8"/>
      <c r="I844" s="205"/>
      <c r="J844" s="205"/>
      <c r="K844" s="282"/>
      <c r="L844" s="233"/>
      <c r="M844" s="317"/>
    </row>
    <row r="845" spans="1:13" x14ac:dyDescent="0.3">
      <c r="A845" s="46"/>
      <c r="B845" s="80"/>
      <c r="C845" s="80"/>
      <c r="D845" s="80"/>
      <c r="E845" s="259"/>
      <c r="F845" s="250"/>
      <c r="H845" s="8"/>
      <c r="I845" s="205"/>
      <c r="J845" s="205"/>
      <c r="K845" s="282"/>
      <c r="L845" s="233"/>
      <c r="M845" s="317"/>
    </row>
    <row r="846" spans="1:13" x14ac:dyDescent="0.3">
      <c r="A846" s="46"/>
      <c r="B846" s="80"/>
      <c r="C846" s="80"/>
      <c r="D846" s="80"/>
      <c r="E846" s="259"/>
      <c r="F846" s="250"/>
      <c r="H846" s="8"/>
      <c r="I846" s="205"/>
      <c r="J846" s="205"/>
      <c r="K846" s="282"/>
      <c r="L846" s="233"/>
      <c r="M846" s="317"/>
    </row>
    <row r="847" spans="1:13" x14ac:dyDescent="0.3">
      <c r="A847" s="46"/>
      <c r="B847" s="80"/>
      <c r="C847" s="80"/>
      <c r="D847" s="80"/>
      <c r="E847" s="259"/>
      <c r="F847" s="250"/>
      <c r="H847" s="8"/>
      <c r="I847" s="205"/>
      <c r="J847" s="205"/>
      <c r="K847" s="282"/>
      <c r="L847" s="233"/>
      <c r="M847" s="317"/>
    </row>
    <row r="848" spans="1:13" x14ac:dyDescent="0.3">
      <c r="A848" s="46"/>
      <c r="B848" s="80"/>
      <c r="C848" s="80"/>
      <c r="D848" s="80"/>
      <c r="E848" s="259"/>
      <c r="F848" s="250"/>
      <c r="H848" s="8"/>
      <c r="I848" s="205"/>
      <c r="J848" s="205"/>
      <c r="K848" s="282"/>
      <c r="L848" s="233"/>
      <c r="M848" s="317"/>
    </row>
    <row r="849" spans="1:13" x14ac:dyDescent="0.3">
      <c r="A849" s="46"/>
      <c r="B849" s="80"/>
      <c r="C849" s="80"/>
      <c r="D849" s="80"/>
      <c r="E849" s="259"/>
      <c r="F849" s="250"/>
      <c r="H849" s="8"/>
      <c r="I849" s="205"/>
      <c r="J849" s="205"/>
      <c r="K849" s="282"/>
      <c r="L849" s="233"/>
      <c r="M849" s="317"/>
    </row>
    <row r="850" spans="1:13" x14ac:dyDescent="0.3">
      <c r="A850" s="46"/>
      <c r="B850" s="80"/>
      <c r="C850" s="80"/>
      <c r="D850" s="80"/>
      <c r="E850" s="259"/>
      <c r="F850" s="250"/>
      <c r="H850" s="8"/>
      <c r="I850" s="205"/>
      <c r="J850" s="205"/>
      <c r="K850" s="282"/>
      <c r="L850" s="233"/>
      <c r="M850" s="317"/>
    </row>
    <row r="851" spans="1:13" x14ac:dyDescent="0.3">
      <c r="A851" s="46"/>
      <c r="B851" s="80"/>
      <c r="C851" s="80"/>
      <c r="D851" s="80"/>
      <c r="E851" s="259"/>
      <c r="F851" s="250"/>
      <c r="H851" s="8"/>
      <c r="I851" s="205"/>
      <c r="J851" s="205"/>
      <c r="K851" s="282"/>
      <c r="L851" s="233"/>
      <c r="M851" s="317"/>
    </row>
    <row r="852" spans="1:13" x14ac:dyDescent="0.3">
      <c r="A852" s="46"/>
      <c r="B852" s="80"/>
      <c r="C852" s="80"/>
      <c r="D852" s="80"/>
      <c r="E852" s="259"/>
      <c r="F852" s="250"/>
      <c r="H852" s="8"/>
      <c r="I852" s="205"/>
      <c r="J852" s="205"/>
      <c r="K852" s="282"/>
      <c r="L852" s="233"/>
      <c r="M852" s="317"/>
    </row>
    <row r="853" spans="1:13" x14ac:dyDescent="0.3">
      <c r="A853" s="46"/>
      <c r="B853" s="80"/>
      <c r="C853" s="80"/>
      <c r="D853" s="80"/>
      <c r="E853" s="259"/>
      <c r="F853" s="250"/>
      <c r="H853" s="8"/>
      <c r="I853" s="205"/>
      <c r="J853" s="205"/>
      <c r="K853" s="282"/>
      <c r="L853" s="233"/>
      <c r="M853" s="317"/>
    </row>
    <row r="854" spans="1:13" x14ac:dyDescent="0.3">
      <c r="A854" s="46"/>
      <c r="B854" s="80"/>
      <c r="C854" s="80"/>
      <c r="D854" s="80"/>
      <c r="E854" s="259"/>
      <c r="F854" s="250"/>
      <c r="H854" s="8"/>
      <c r="I854" s="205"/>
      <c r="J854" s="205"/>
      <c r="K854" s="282"/>
      <c r="L854" s="233"/>
      <c r="M854" s="317"/>
    </row>
    <row r="855" spans="1:13" x14ac:dyDescent="0.3">
      <c r="A855" s="46"/>
      <c r="B855" s="80"/>
      <c r="C855" s="80"/>
      <c r="D855" s="80"/>
      <c r="E855" s="259"/>
      <c r="F855" s="250"/>
      <c r="H855" s="8"/>
      <c r="I855" s="205"/>
      <c r="J855" s="205"/>
      <c r="K855" s="282"/>
      <c r="L855" s="233"/>
      <c r="M855" s="317"/>
    </row>
    <row r="856" spans="1:13" x14ac:dyDescent="0.3">
      <c r="A856" s="46"/>
      <c r="B856" s="80"/>
      <c r="C856" s="80"/>
      <c r="D856" s="80"/>
      <c r="E856" s="259"/>
      <c r="F856" s="250"/>
      <c r="H856" s="8"/>
      <c r="I856" s="205"/>
      <c r="J856" s="205"/>
      <c r="K856" s="282"/>
      <c r="L856" s="233"/>
      <c r="M856" s="317"/>
    </row>
    <row r="857" spans="1:13" x14ac:dyDescent="0.3">
      <c r="A857" s="46"/>
      <c r="B857" s="80"/>
      <c r="C857" s="80"/>
      <c r="D857" s="80"/>
      <c r="E857" s="259"/>
      <c r="F857" s="250"/>
      <c r="H857" s="8"/>
      <c r="I857" s="205"/>
      <c r="J857" s="205"/>
      <c r="K857" s="282"/>
      <c r="L857" s="233"/>
      <c r="M857" s="317"/>
    </row>
    <row r="858" spans="1:13" x14ac:dyDescent="0.3">
      <c r="A858" s="46"/>
      <c r="B858" s="80"/>
      <c r="C858" s="80"/>
      <c r="D858" s="80"/>
      <c r="E858" s="259"/>
      <c r="F858" s="250"/>
      <c r="H858" s="8"/>
      <c r="I858" s="205"/>
      <c r="J858" s="205"/>
      <c r="K858" s="282"/>
      <c r="L858" s="233"/>
      <c r="M858" s="317"/>
    </row>
    <row r="859" spans="1:13" x14ac:dyDescent="0.3">
      <c r="A859" s="46"/>
      <c r="B859" s="80"/>
      <c r="C859" s="80"/>
      <c r="D859" s="80"/>
      <c r="E859" s="259"/>
      <c r="F859" s="250"/>
      <c r="H859" s="8"/>
      <c r="I859" s="205"/>
      <c r="J859" s="205"/>
      <c r="K859" s="282"/>
      <c r="L859" s="233"/>
      <c r="M859" s="317"/>
    </row>
    <row r="860" spans="1:13" x14ac:dyDescent="0.3">
      <c r="A860" s="46"/>
      <c r="B860" s="80"/>
      <c r="C860" s="80"/>
      <c r="D860" s="80"/>
      <c r="E860" s="259"/>
      <c r="F860" s="250"/>
      <c r="H860" s="8"/>
      <c r="I860" s="205"/>
      <c r="J860" s="205"/>
      <c r="K860" s="282"/>
      <c r="L860" s="233"/>
      <c r="M860" s="317"/>
    </row>
    <row r="861" spans="1:13" x14ac:dyDescent="0.3">
      <c r="A861" s="50"/>
      <c r="B861" s="251"/>
      <c r="C861" s="251"/>
      <c r="D861" s="251"/>
      <c r="E861" s="273"/>
      <c r="F861" s="252"/>
      <c r="H861" s="11"/>
      <c r="I861" s="210"/>
      <c r="J861" s="210"/>
      <c r="K861" s="282"/>
      <c r="L861" s="233"/>
      <c r="M861" s="317"/>
    </row>
    <row r="862" spans="1:13" x14ac:dyDescent="0.3">
      <c r="A862" s="55"/>
      <c r="E862" s="235"/>
      <c r="H862" s="232"/>
      <c r="I862" s="269"/>
      <c r="J862" s="269"/>
      <c r="K862" s="282"/>
      <c r="L862" s="233"/>
      <c r="M862" s="317"/>
    </row>
    <row r="863" spans="1:13" x14ac:dyDescent="0.3">
      <c r="A863" s="55"/>
      <c r="E863" s="235"/>
      <c r="H863" s="232"/>
      <c r="I863" s="269"/>
      <c r="J863" s="269"/>
      <c r="K863" s="282"/>
      <c r="L863" s="233"/>
      <c r="M863" s="317"/>
    </row>
    <row r="864" spans="1:13" x14ac:dyDescent="0.3">
      <c r="A864" s="55"/>
      <c r="E864" s="235"/>
      <c r="H864" s="232"/>
      <c r="I864" s="269"/>
      <c r="J864" s="269"/>
      <c r="K864" s="282"/>
      <c r="L864" s="233"/>
      <c r="M864" s="317"/>
    </row>
    <row r="865" spans="1:13" x14ac:dyDescent="0.3">
      <c r="A865" s="55"/>
      <c r="E865" s="235"/>
      <c r="H865" s="232"/>
      <c r="I865" s="269"/>
      <c r="J865" s="269"/>
      <c r="K865" s="282"/>
      <c r="L865" s="233"/>
      <c r="M865" s="317"/>
    </row>
    <row r="866" spans="1:13" x14ac:dyDescent="0.3">
      <c r="A866" s="55"/>
      <c r="E866" s="235"/>
      <c r="H866" s="232"/>
      <c r="I866" s="269"/>
      <c r="J866" s="269"/>
      <c r="K866" s="282"/>
      <c r="L866" s="233"/>
      <c r="M866" s="317"/>
    </row>
    <row r="867" spans="1:13" x14ac:dyDescent="0.3">
      <c r="A867" s="55"/>
      <c r="E867" s="235"/>
      <c r="H867" s="232"/>
      <c r="I867" s="269"/>
      <c r="J867" s="269"/>
      <c r="K867" s="282"/>
      <c r="L867" s="233"/>
      <c r="M867" s="317"/>
    </row>
    <row r="868" spans="1:13" x14ac:dyDescent="0.3">
      <c r="A868" s="55"/>
      <c r="E868" s="235"/>
      <c r="H868" s="232"/>
      <c r="I868" s="269"/>
      <c r="J868" s="269"/>
      <c r="K868" s="282"/>
      <c r="L868" s="233"/>
      <c r="M868" s="317"/>
    </row>
    <row r="869" spans="1:13" x14ac:dyDescent="0.3">
      <c r="A869" s="55"/>
      <c r="E869" s="235"/>
      <c r="H869" s="232"/>
      <c r="I869" s="269"/>
      <c r="J869" s="269"/>
      <c r="K869" s="282"/>
      <c r="L869" s="233"/>
      <c r="M869" s="317"/>
    </row>
    <row r="870" spans="1:13" x14ac:dyDescent="0.3">
      <c r="A870" s="55"/>
      <c r="E870" s="235"/>
      <c r="H870" s="232"/>
      <c r="I870" s="269"/>
      <c r="J870" s="269"/>
      <c r="K870" s="282"/>
      <c r="L870" s="233"/>
      <c r="M870" s="317"/>
    </row>
    <row r="871" spans="1:13" x14ac:dyDescent="0.3">
      <c r="A871" s="55"/>
      <c r="E871" s="235"/>
      <c r="H871" s="232"/>
      <c r="I871" s="269"/>
      <c r="J871" s="269"/>
      <c r="K871" s="282"/>
      <c r="L871" s="233"/>
      <c r="M871" s="317"/>
    </row>
    <row r="872" spans="1:13" x14ac:dyDescent="0.3">
      <c r="A872" s="55"/>
      <c r="E872" s="235"/>
      <c r="H872" s="232"/>
      <c r="I872" s="269"/>
      <c r="J872" s="269"/>
      <c r="K872" s="282"/>
      <c r="L872" s="233"/>
      <c r="M872" s="317"/>
    </row>
    <row r="873" spans="1:13" x14ac:dyDescent="0.3">
      <c r="A873" s="55"/>
      <c r="E873" s="235"/>
      <c r="H873" s="232"/>
      <c r="I873" s="269"/>
      <c r="J873" s="269"/>
      <c r="K873" s="282"/>
      <c r="L873" s="233"/>
      <c r="M873" s="317"/>
    </row>
    <row r="874" spans="1:13" x14ac:dyDescent="0.3">
      <c r="A874" s="55"/>
      <c r="E874" s="235"/>
      <c r="H874" s="232"/>
      <c r="I874" s="269"/>
      <c r="J874" s="269"/>
      <c r="K874" s="282"/>
      <c r="L874" s="233"/>
      <c r="M874" s="317"/>
    </row>
    <row r="875" spans="1:13" x14ac:dyDescent="0.3">
      <c r="A875" s="55"/>
      <c r="E875" s="235"/>
      <c r="H875" s="232"/>
      <c r="I875" s="269"/>
      <c r="J875" s="269"/>
      <c r="K875" s="282"/>
      <c r="L875" s="233"/>
      <c r="M875" s="317"/>
    </row>
    <row r="876" spans="1:13" x14ac:dyDescent="0.3">
      <c r="A876" s="55"/>
      <c r="E876" s="235"/>
      <c r="H876" s="232"/>
      <c r="I876" s="269"/>
      <c r="J876" s="269"/>
      <c r="K876" s="282"/>
      <c r="L876" s="233"/>
      <c r="M876" s="317"/>
    </row>
    <row r="877" spans="1:13" x14ac:dyDescent="0.3">
      <c r="A877" s="55"/>
      <c r="E877" s="235"/>
      <c r="H877" s="232"/>
      <c r="I877" s="269"/>
      <c r="J877" s="269"/>
      <c r="K877" s="282"/>
      <c r="L877" s="233"/>
      <c r="M877" s="317"/>
    </row>
    <row r="878" spans="1:13" x14ac:dyDescent="0.3">
      <c r="A878" s="55"/>
      <c r="E878" s="235"/>
      <c r="H878" s="232"/>
      <c r="I878" s="269"/>
      <c r="J878" s="269"/>
      <c r="K878" s="282"/>
      <c r="L878" s="233"/>
      <c r="M878" s="317"/>
    </row>
    <row r="879" spans="1:13" x14ac:dyDescent="0.3">
      <c r="A879" s="55"/>
      <c r="E879" s="235"/>
      <c r="H879" s="232"/>
      <c r="I879" s="269"/>
      <c r="J879" s="269"/>
      <c r="K879" s="282"/>
      <c r="L879" s="233"/>
      <c r="M879" s="317"/>
    </row>
    <row r="880" spans="1:13" x14ac:dyDescent="0.3">
      <c r="A880" s="55"/>
      <c r="E880" s="235"/>
      <c r="H880" s="232"/>
      <c r="I880" s="269"/>
      <c r="J880" s="269"/>
      <c r="K880" s="282"/>
      <c r="L880" s="233"/>
      <c r="M880" s="317"/>
    </row>
    <row r="881" spans="1:13" x14ac:dyDescent="0.3">
      <c r="A881" s="55"/>
      <c r="E881" s="235"/>
      <c r="H881" s="232"/>
      <c r="I881" s="269"/>
      <c r="J881" s="269"/>
      <c r="K881" s="282"/>
      <c r="L881" s="233"/>
      <c r="M881" s="317"/>
    </row>
    <row r="882" spans="1:13" x14ac:dyDescent="0.3">
      <c r="A882" s="55"/>
      <c r="E882" s="235"/>
      <c r="H882" s="232"/>
      <c r="I882" s="269"/>
      <c r="J882" s="269"/>
      <c r="K882" s="282"/>
      <c r="L882" s="233"/>
      <c r="M882" s="317"/>
    </row>
    <row r="883" spans="1:13" x14ac:dyDescent="0.3">
      <c r="A883" s="55"/>
      <c r="E883" s="235"/>
      <c r="H883" s="232"/>
      <c r="I883" s="269"/>
      <c r="J883" s="269"/>
      <c r="K883" s="282"/>
      <c r="L883" s="233"/>
      <c r="M883" s="317"/>
    </row>
    <row r="884" spans="1:13" x14ac:dyDescent="0.3">
      <c r="A884" s="55"/>
      <c r="E884" s="235"/>
      <c r="H884" s="232"/>
      <c r="I884" s="269"/>
      <c r="J884" s="269"/>
      <c r="K884" s="282"/>
      <c r="L884" s="233"/>
      <c r="M884" s="317"/>
    </row>
    <row r="885" spans="1:13" x14ac:dyDescent="0.3">
      <c r="A885" s="55"/>
      <c r="E885" s="235"/>
      <c r="H885" s="232"/>
      <c r="I885" s="269"/>
      <c r="J885" s="269"/>
      <c r="K885" s="282"/>
      <c r="L885" s="233"/>
      <c r="M885" s="317"/>
    </row>
    <row r="886" spans="1:13" x14ac:dyDescent="0.3">
      <c r="A886" s="55"/>
      <c r="E886" s="235"/>
      <c r="H886" s="232"/>
      <c r="I886" s="269"/>
      <c r="J886" s="269"/>
      <c r="K886" s="282"/>
      <c r="L886" s="233"/>
      <c r="M886" s="317"/>
    </row>
    <row r="887" spans="1:13" x14ac:dyDescent="0.3">
      <c r="A887" s="55"/>
      <c r="E887" s="235"/>
      <c r="H887" s="232"/>
      <c r="I887" s="269"/>
      <c r="J887" s="269"/>
      <c r="K887" s="282"/>
      <c r="L887" s="233"/>
      <c r="M887" s="317"/>
    </row>
    <row r="888" spans="1:13" x14ac:dyDescent="0.3">
      <c r="A888" s="55"/>
      <c r="E888" s="235"/>
      <c r="H888" s="232"/>
      <c r="I888" s="269"/>
      <c r="J888" s="269"/>
      <c r="K888" s="282"/>
      <c r="L888" s="233"/>
      <c r="M888" s="317"/>
    </row>
    <row r="889" spans="1:13" x14ac:dyDescent="0.3">
      <c r="A889" s="55"/>
      <c r="E889" s="235"/>
      <c r="H889" s="232"/>
      <c r="I889" s="269"/>
      <c r="J889" s="269"/>
      <c r="K889" s="282"/>
      <c r="L889" s="233"/>
      <c r="M889" s="317"/>
    </row>
    <row r="890" spans="1:13" x14ac:dyDescent="0.3">
      <c r="A890" s="55"/>
      <c r="E890" s="235"/>
      <c r="H890" s="232"/>
      <c r="I890" s="269"/>
      <c r="J890" s="269"/>
      <c r="K890" s="282"/>
      <c r="L890" s="233"/>
      <c r="M890" s="317"/>
    </row>
    <row r="891" spans="1:13" x14ac:dyDescent="0.3">
      <c r="A891" s="55"/>
      <c r="E891" s="235"/>
      <c r="H891" s="232"/>
      <c r="I891" s="269"/>
      <c r="J891" s="269"/>
      <c r="K891" s="282"/>
      <c r="L891" s="233"/>
      <c r="M891" s="317"/>
    </row>
    <row r="892" spans="1:13" x14ac:dyDescent="0.3">
      <c r="A892" s="55"/>
      <c r="E892" s="235"/>
      <c r="H892" s="232"/>
      <c r="I892" s="269"/>
      <c r="J892" s="269"/>
      <c r="K892" s="282"/>
      <c r="L892" s="233"/>
      <c r="M892" s="317"/>
    </row>
    <row r="893" spans="1:13" x14ac:dyDescent="0.3">
      <c r="A893" s="55"/>
      <c r="E893" s="235"/>
      <c r="H893" s="232"/>
      <c r="I893" s="269"/>
      <c r="J893" s="269"/>
      <c r="K893" s="282"/>
      <c r="L893" s="233"/>
      <c r="M893" s="317"/>
    </row>
    <row r="894" spans="1:13" x14ac:dyDescent="0.3">
      <c r="A894" s="55"/>
      <c r="E894" s="235"/>
      <c r="H894" s="232"/>
      <c r="I894" s="269"/>
      <c r="J894" s="269"/>
      <c r="K894" s="282"/>
      <c r="L894" s="233"/>
      <c r="M894" s="317"/>
    </row>
    <row r="895" spans="1:13" x14ac:dyDescent="0.3">
      <c r="A895" s="55"/>
      <c r="E895" s="235"/>
      <c r="H895" s="232"/>
      <c r="I895" s="269"/>
      <c r="J895" s="269"/>
      <c r="K895" s="282"/>
      <c r="L895" s="233"/>
      <c r="M895" s="317"/>
    </row>
    <row r="896" spans="1:13" x14ac:dyDescent="0.3">
      <c r="A896" s="55"/>
      <c r="E896" s="235"/>
      <c r="H896" s="232"/>
      <c r="I896" s="269"/>
      <c r="J896" s="269"/>
      <c r="K896" s="282"/>
      <c r="L896" s="233"/>
      <c r="M896" s="317"/>
    </row>
    <row r="897" spans="1:13" x14ac:dyDescent="0.3">
      <c r="A897" s="55"/>
      <c r="E897" s="235"/>
      <c r="H897" s="232"/>
      <c r="I897" s="269"/>
      <c r="J897" s="269"/>
      <c r="K897" s="282"/>
      <c r="L897" s="233"/>
      <c r="M897" s="317"/>
    </row>
    <row r="898" spans="1:13" x14ac:dyDescent="0.3">
      <c r="A898" s="55"/>
      <c r="E898" s="235"/>
      <c r="H898" s="232"/>
      <c r="I898" s="269"/>
      <c r="J898" s="269"/>
      <c r="K898" s="282"/>
      <c r="L898" s="233"/>
      <c r="M898" s="317"/>
    </row>
    <row r="899" spans="1:13" x14ac:dyDescent="0.3">
      <c r="A899" s="55"/>
      <c r="E899" s="235"/>
      <c r="H899" s="232"/>
      <c r="I899" s="269"/>
      <c r="J899" s="269"/>
      <c r="K899" s="282"/>
      <c r="L899" s="233"/>
      <c r="M899" s="317"/>
    </row>
    <row r="900" spans="1:13" x14ac:dyDescent="0.3">
      <c r="A900" s="55"/>
      <c r="E900" s="235"/>
      <c r="H900" s="232"/>
      <c r="I900" s="269"/>
      <c r="J900" s="269"/>
      <c r="K900" s="282"/>
      <c r="L900" s="233"/>
      <c r="M900" s="317"/>
    </row>
    <row r="901" spans="1:13" x14ac:dyDescent="0.3">
      <c r="A901" s="55"/>
      <c r="E901" s="235"/>
      <c r="H901" s="232"/>
      <c r="I901" s="269"/>
      <c r="J901" s="269"/>
      <c r="K901" s="282"/>
      <c r="L901" s="233"/>
      <c r="M901" s="317"/>
    </row>
    <row r="902" spans="1:13" x14ac:dyDescent="0.3">
      <c r="A902" s="55"/>
      <c r="E902" s="235"/>
      <c r="H902" s="232"/>
      <c r="I902" s="269"/>
      <c r="J902" s="269"/>
      <c r="K902" s="282"/>
      <c r="L902" s="233"/>
      <c r="M902" s="317"/>
    </row>
    <row r="903" spans="1:13" x14ac:dyDescent="0.3">
      <c r="A903" s="55"/>
      <c r="E903" s="235"/>
      <c r="H903" s="232"/>
      <c r="I903" s="269"/>
      <c r="J903" s="269"/>
      <c r="K903" s="282"/>
      <c r="L903" s="233"/>
      <c r="M903" s="317"/>
    </row>
    <row r="904" spans="1:13" x14ac:dyDescent="0.3">
      <c r="A904" s="55"/>
      <c r="E904" s="235"/>
      <c r="H904" s="232"/>
      <c r="I904" s="269"/>
      <c r="J904" s="269"/>
      <c r="K904" s="282"/>
      <c r="L904" s="233"/>
      <c r="M904" s="317"/>
    </row>
    <row r="905" spans="1:13" x14ac:dyDescent="0.3">
      <c r="A905" s="55"/>
      <c r="E905" s="235"/>
      <c r="H905" s="232"/>
      <c r="I905" s="269"/>
      <c r="J905" s="269"/>
      <c r="K905" s="282"/>
      <c r="L905" s="233"/>
      <c r="M905" s="317"/>
    </row>
    <row r="906" spans="1:13" x14ac:dyDescent="0.3">
      <c r="A906" s="55"/>
      <c r="E906" s="235"/>
      <c r="H906" s="232"/>
      <c r="I906" s="269"/>
      <c r="J906" s="269"/>
      <c r="K906" s="282"/>
      <c r="L906" s="233"/>
      <c r="M906" s="317"/>
    </row>
    <row r="907" spans="1:13" x14ac:dyDescent="0.3">
      <c r="A907" s="55"/>
      <c r="E907" s="235"/>
      <c r="H907" s="232"/>
      <c r="I907" s="269"/>
      <c r="J907" s="269"/>
      <c r="K907" s="282"/>
      <c r="L907" s="233"/>
      <c r="M907" s="317"/>
    </row>
    <row r="908" spans="1:13" x14ac:dyDescent="0.3">
      <c r="A908" s="55"/>
      <c r="E908" s="235"/>
      <c r="H908" s="232"/>
      <c r="I908" s="269"/>
      <c r="J908" s="269"/>
      <c r="K908" s="282"/>
      <c r="L908" s="233"/>
      <c r="M908" s="317"/>
    </row>
    <row r="909" spans="1:13" x14ac:dyDescent="0.3">
      <c r="A909" s="55"/>
      <c r="E909" s="235"/>
      <c r="H909" s="232"/>
      <c r="I909" s="269"/>
      <c r="J909" s="269"/>
      <c r="K909" s="282"/>
      <c r="L909" s="233"/>
      <c r="M909" s="317"/>
    </row>
    <row r="910" spans="1:13" x14ac:dyDescent="0.3">
      <c r="A910" s="55"/>
      <c r="E910" s="235"/>
      <c r="H910" s="232"/>
      <c r="I910" s="269"/>
      <c r="J910" s="269"/>
      <c r="K910" s="282"/>
      <c r="L910" s="233"/>
      <c r="M910" s="317"/>
    </row>
    <row r="911" spans="1:13" x14ac:dyDescent="0.3">
      <c r="A911" s="55"/>
      <c r="E911" s="235"/>
      <c r="H911" s="232"/>
      <c r="I911" s="269"/>
      <c r="J911" s="269"/>
      <c r="K911" s="282"/>
      <c r="L911" s="233"/>
      <c r="M911" s="317"/>
    </row>
    <row r="912" spans="1:13" x14ac:dyDescent="0.3">
      <c r="A912" s="55"/>
      <c r="E912" s="235"/>
      <c r="H912" s="232"/>
      <c r="I912" s="269"/>
      <c r="J912" s="269"/>
      <c r="K912" s="282"/>
      <c r="L912" s="233"/>
      <c r="M912" s="317"/>
    </row>
    <row r="913" spans="1:13" x14ac:dyDescent="0.3">
      <c r="A913" s="55"/>
      <c r="E913" s="235"/>
      <c r="H913" s="232"/>
      <c r="I913" s="269"/>
      <c r="J913" s="269"/>
      <c r="K913" s="282"/>
      <c r="L913" s="233"/>
      <c r="M913" s="317"/>
    </row>
    <row r="914" spans="1:13" x14ac:dyDescent="0.3">
      <c r="A914" s="55"/>
      <c r="E914" s="235"/>
      <c r="H914" s="232"/>
      <c r="I914" s="269"/>
      <c r="J914" s="269"/>
      <c r="K914" s="282"/>
      <c r="L914" s="233"/>
      <c r="M914" s="317"/>
    </row>
    <row r="915" spans="1:13" x14ac:dyDescent="0.3">
      <c r="A915" s="55"/>
      <c r="E915" s="235"/>
      <c r="H915" s="232"/>
      <c r="I915" s="269"/>
      <c r="J915" s="269"/>
      <c r="K915" s="282"/>
      <c r="L915" s="233"/>
      <c r="M915" s="317"/>
    </row>
    <row r="916" spans="1:13" x14ac:dyDescent="0.3">
      <c r="A916" s="55"/>
      <c r="E916" s="235"/>
      <c r="H916" s="232"/>
      <c r="I916" s="269"/>
      <c r="J916" s="269"/>
      <c r="K916" s="282"/>
      <c r="L916" s="233"/>
      <c r="M916" s="317"/>
    </row>
    <row r="917" spans="1:13" x14ac:dyDescent="0.3">
      <c r="A917" s="55"/>
      <c r="E917" s="235"/>
      <c r="H917" s="232"/>
      <c r="I917" s="269"/>
      <c r="J917" s="269"/>
      <c r="K917" s="282"/>
      <c r="L917" s="233"/>
      <c r="M917" s="317"/>
    </row>
    <row r="918" spans="1:13" x14ac:dyDescent="0.3">
      <c r="A918" s="55"/>
      <c r="E918" s="235"/>
      <c r="H918" s="232"/>
      <c r="I918" s="269"/>
      <c r="J918" s="269"/>
      <c r="K918" s="282"/>
      <c r="L918" s="233"/>
      <c r="M918" s="317"/>
    </row>
    <row r="919" spans="1:13" x14ac:dyDescent="0.3">
      <c r="A919" s="55"/>
      <c r="E919" s="235"/>
      <c r="H919" s="232"/>
      <c r="I919" s="269"/>
      <c r="J919" s="269"/>
      <c r="K919" s="282"/>
      <c r="L919" s="233"/>
      <c r="M919" s="317"/>
    </row>
    <row r="920" spans="1:13" x14ac:dyDescent="0.3">
      <c r="A920" s="55"/>
      <c r="E920" s="235"/>
      <c r="H920" s="232"/>
      <c r="I920" s="269"/>
      <c r="J920" s="269"/>
      <c r="K920" s="282"/>
      <c r="L920" s="233"/>
      <c r="M920" s="317"/>
    </row>
    <row r="921" spans="1:13" x14ac:dyDescent="0.3">
      <c r="A921" s="55"/>
      <c r="E921" s="235"/>
      <c r="H921" s="232"/>
      <c r="I921" s="269"/>
      <c r="J921" s="269"/>
      <c r="K921" s="282"/>
      <c r="L921" s="233"/>
      <c r="M921" s="317"/>
    </row>
    <row r="922" spans="1:13" x14ac:dyDescent="0.3">
      <c r="A922" s="55"/>
      <c r="E922" s="235"/>
      <c r="H922" s="232"/>
      <c r="I922" s="269"/>
      <c r="J922" s="269"/>
      <c r="K922" s="282"/>
      <c r="L922" s="233"/>
      <c r="M922" s="317"/>
    </row>
    <row r="923" spans="1:13" x14ac:dyDescent="0.3">
      <c r="A923" s="55"/>
      <c r="E923" s="235"/>
      <c r="H923" s="232"/>
      <c r="I923" s="269"/>
      <c r="J923" s="269"/>
      <c r="K923" s="282"/>
      <c r="L923" s="233"/>
      <c r="M923" s="317"/>
    </row>
    <row r="924" spans="1:13" x14ac:dyDescent="0.3">
      <c r="A924" s="55"/>
      <c r="E924" s="235"/>
      <c r="H924" s="232"/>
      <c r="I924" s="269"/>
      <c r="J924" s="269"/>
      <c r="K924" s="282"/>
      <c r="L924" s="233"/>
      <c r="M924" s="317"/>
    </row>
    <row r="925" spans="1:13" x14ac:dyDescent="0.3">
      <c r="A925" s="55"/>
      <c r="E925" s="235"/>
      <c r="H925" s="232"/>
      <c r="I925" s="269"/>
      <c r="J925" s="269"/>
      <c r="K925" s="282"/>
      <c r="L925" s="233"/>
      <c r="M925" s="317"/>
    </row>
    <row r="926" spans="1:13" x14ac:dyDescent="0.3">
      <c r="A926" s="55"/>
      <c r="E926" s="235"/>
      <c r="H926" s="232"/>
      <c r="I926" s="269"/>
      <c r="J926" s="269"/>
      <c r="K926" s="282"/>
      <c r="L926" s="233"/>
      <c r="M926" s="317"/>
    </row>
    <row r="927" spans="1:13" x14ac:dyDescent="0.3">
      <c r="A927" s="55"/>
      <c r="E927" s="235"/>
      <c r="H927" s="232"/>
      <c r="I927" s="269"/>
      <c r="J927" s="269"/>
      <c r="K927" s="282"/>
      <c r="L927" s="233"/>
      <c r="M927" s="317"/>
    </row>
    <row r="928" spans="1:13" x14ac:dyDescent="0.3">
      <c r="A928" s="55"/>
      <c r="E928" s="235"/>
      <c r="H928" s="232"/>
      <c r="I928" s="269"/>
      <c r="J928" s="269"/>
      <c r="K928" s="282"/>
      <c r="L928" s="233"/>
      <c r="M928" s="317"/>
    </row>
    <row r="929" spans="1:13" x14ac:dyDescent="0.3">
      <c r="A929" s="55"/>
      <c r="E929" s="235"/>
      <c r="H929" s="232"/>
      <c r="I929" s="269"/>
      <c r="J929" s="269"/>
      <c r="K929" s="282"/>
      <c r="L929" s="233"/>
      <c r="M929" s="317"/>
    </row>
    <row r="930" spans="1:13" x14ac:dyDescent="0.3">
      <c r="A930" s="55"/>
      <c r="E930" s="235"/>
      <c r="H930" s="232"/>
      <c r="I930" s="269"/>
      <c r="J930" s="269"/>
      <c r="K930" s="282"/>
      <c r="L930" s="233"/>
      <c r="M930" s="317"/>
    </row>
    <row r="931" spans="1:13" x14ac:dyDescent="0.3">
      <c r="A931" s="55"/>
      <c r="E931" s="235"/>
      <c r="H931" s="232"/>
      <c r="I931" s="269"/>
      <c r="J931" s="269"/>
      <c r="K931" s="282"/>
      <c r="L931" s="233"/>
      <c r="M931" s="317"/>
    </row>
    <row r="932" spans="1:13" x14ac:dyDescent="0.3">
      <c r="A932" s="55"/>
      <c r="E932" s="235"/>
      <c r="H932" s="232"/>
      <c r="I932" s="269"/>
      <c r="J932" s="269"/>
      <c r="K932" s="282"/>
      <c r="L932" s="233"/>
      <c r="M932" s="317"/>
    </row>
    <row r="933" spans="1:13" x14ac:dyDescent="0.3">
      <c r="A933" s="55"/>
      <c r="E933" s="235"/>
      <c r="H933" s="232"/>
      <c r="I933" s="269"/>
      <c r="J933" s="269"/>
      <c r="K933" s="282"/>
      <c r="L933" s="233"/>
      <c r="M933" s="317"/>
    </row>
    <row r="934" spans="1:13" x14ac:dyDescent="0.3">
      <c r="A934" s="55"/>
      <c r="E934" s="235"/>
      <c r="H934" s="232"/>
      <c r="I934" s="269"/>
      <c r="J934" s="269"/>
      <c r="K934" s="282"/>
      <c r="L934" s="233"/>
      <c r="M934" s="317"/>
    </row>
    <row r="935" spans="1:13" x14ac:dyDescent="0.3">
      <c r="A935" s="55"/>
      <c r="E935" s="235"/>
      <c r="H935" s="232"/>
      <c r="I935" s="269"/>
      <c r="J935" s="269"/>
      <c r="K935" s="282"/>
      <c r="L935" s="233"/>
      <c r="M935" s="317"/>
    </row>
    <row r="936" spans="1:13" x14ac:dyDescent="0.3">
      <c r="A936" s="55"/>
      <c r="E936" s="235"/>
      <c r="H936" s="232"/>
      <c r="I936" s="269"/>
      <c r="J936" s="269"/>
      <c r="K936" s="282"/>
      <c r="L936" s="233"/>
      <c r="M936" s="317"/>
    </row>
    <row r="937" spans="1:13" x14ac:dyDescent="0.3">
      <c r="A937" s="55"/>
      <c r="E937" s="235"/>
      <c r="H937" s="232"/>
      <c r="I937" s="269"/>
      <c r="J937" s="269"/>
      <c r="K937" s="282"/>
      <c r="L937" s="233"/>
      <c r="M937" s="317"/>
    </row>
    <row r="938" spans="1:13" x14ac:dyDescent="0.3">
      <c r="A938" s="55"/>
      <c r="E938" s="235"/>
      <c r="H938" s="232"/>
      <c r="I938" s="269"/>
      <c r="J938" s="269"/>
      <c r="K938" s="282"/>
      <c r="L938" s="233"/>
      <c r="M938" s="317"/>
    </row>
    <row r="939" spans="1:13" x14ac:dyDescent="0.3">
      <c r="A939" s="55"/>
      <c r="E939" s="235"/>
      <c r="H939" s="232"/>
      <c r="I939" s="269"/>
      <c r="J939" s="269"/>
      <c r="K939" s="282"/>
      <c r="L939" s="233"/>
      <c r="M939" s="317"/>
    </row>
    <row r="940" spans="1:13" x14ac:dyDescent="0.3">
      <c r="A940" s="55"/>
      <c r="E940" s="235"/>
      <c r="H940" s="232"/>
      <c r="I940" s="269"/>
      <c r="J940" s="269"/>
      <c r="K940" s="282"/>
      <c r="L940" s="233"/>
      <c r="M940" s="317"/>
    </row>
    <row r="941" spans="1:13" x14ac:dyDescent="0.3">
      <c r="A941" s="55"/>
      <c r="E941" s="235"/>
      <c r="H941" s="232"/>
      <c r="I941" s="269"/>
      <c r="J941" s="269"/>
      <c r="K941" s="282"/>
      <c r="L941" s="233"/>
      <c r="M941" s="317"/>
    </row>
    <row r="942" spans="1:13" x14ac:dyDescent="0.3">
      <c r="A942" s="55"/>
      <c r="E942" s="235"/>
      <c r="H942" s="232"/>
      <c r="I942" s="269"/>
      <c r="J942" s="269"/>
      <c r="K942" s="282"/>
      <c r="L942" s="233"/>
      <c r="M942" s="317"/>
    </row>
    <row r="943" spans="1:13" x14ac:dyDescent="0.3">
      <c r="A943" s="55"/>
      <c r="E943" s="235"/>
      <c r="H943" s="232"/>
      <c r="I943" s="269"/>
      <c r="J943" s="269"/>
      <c r="K943" s="282"/>
      <c r="L943" s="233"/>
      <c r="M943" s="317"/>
    </row>
    <row r="944" spans="1:13" x14ac:dyDescent="0.3">
      <c r="A944" s="55"/>
      <c r="E944" s="235"/>
      <c r="H944" s="232"/>
      <c r="I944" s="269"/>
      <c r="J944" s="269"/>
      <c r="K944" s="282"/>
      <c r="L944" s="233"/>
      <c r="M944" s="317"/>
    </row>
    <row r="945" spans="1:13" x14ac:dyDescent="0.3">
      <c r="A945" s="55"/>
      <c r="E945" s="235"/>
      <c r="H945" s="232"/>
      <c r="I945" s="269"/>
      <c r="J945" s="269"/>
      <c r="K945" s="282"/>
      <c r="L945" s="233"/>
      <c r="M945" s="317"/>
    </row>
    <row r="946" spans="1:13" x14ac:dyDescent="0.3">
      <c r="A946" s="55"/>
      <c r="E946" s="235"/>
      <c r="H946" s="232"/>
      <c r="I946" s="269"/>
      <c r="J946" s="269"/>
      <c r="K946" s="282"/>
      <c r="L946" s="233"/>
      <c r="M946" s="317"/>
    </row>
    <row r="947" spans="1:13" x14ac:dyDescent="0.3">
      <c r="A947" s="55"/>
      <c r="E947" s="235"/>
      <c r="H947" s="232"/>
      <c r="I947" s="269"/>
      <c r="J947" s="269"/>
      <c r="K947" s="282"/>
      <c r="L947" s="233"/>
      <c r="M947" s="317"/>
    </row>
    <row r="948" spans="1:13" x14ac:dyDescent="0.3">
      <c r="A948" s="55"/>
      <c r="E948" s="235"/>
      <c r="H948" s="232"/>
      <c r="I948" s="269"/>
      <c r="J948" s="269"/>
      <c r="K948" s="282"/>
      <c r="L948" s="233"/>
      <c r="M948" s="317"/>
    </row>
    <row r="949" spans="1:13" x14ac:dyDescent="0.3">
      <c r="A949" s="55"/>
      <c r="E949" s="235"/>
      <c r="H949" s="232"/>
      <c r="I949" s="269"/>
      <c r="J949" s="269"/>
      <c r="K949" s="282"/>
      <c r="L949" s="233"/>
      <c r="M949" s="317"/>
    </row>
    <row r="950" spans="1:13" x14ac:dyDescent="0.3">
      <c r="A950" s="55"/>
      <c r="E950" s="235"/>
      <c r="H950" s="232"/>
      <c r="I950" s="269"/>
      <c r="J950" s="269"/>
      <c r="K950" s="282"/>
      <c r="L950" s="233"/>
      <c r="M950" s="317"/>
    </row>
    <row r="951" spans="1:13" x14ac:dyDescent="0.3">
      <c r="A951" s="55"/>
      <c r="E951" s="235"/>
      <c r="H951" s="232"/>
      <c r="I951" s="269"/>
      <c r="J951" s="269"/>
      <c r="K951" s="282"/>
      <c r="L951" s="233"/>
      <c r="M951" s="317"/>
    </row>
    <row r="952" spans="1:13" x14ac:dyDescent="0.3">
      <c r="A952" s="55"/>
      <c r="E952" s="235"/>
      <c r="H952" s="232"/>
      <c r="I952" s="269"/>
      <c r="J952" s="269"/>
      <c r="K952" s="282"/>
      <c r="L952" s="233"/>
      <c r="M952" s="317"/>
    </row>
    <row r="953" spans="1:13" x14ac:dyDescent="0.3">
      <c r="A953" s="55"/>
      <c r="E953" s="235"/>
      <c r="H953" s="232"/>
      <c r="I953" s="269"/>
      <c r="J953" s="269"/>
      <c r="K953" s="282"/>
      <c r="L953" s="233"/>
      <c r="M953" s="317"/>
    </row>
    <row r="954" spans="1:13" x14ac:dyDescent="0.3">
      <c r="A954" s="55"/>
      <c r="E954" s="235"/>
      <c r="H954" s="232"/>
      <c r="I954" s="269"/>
      <c r="J954" s="269"/>
      <c r="K954" s="282"/>
      <c r="L954" s="233"/>
      <c r="M954" s="317"/>
    </row>
    <row r="955" spans="1:13" x14ac:dyDescent="0.3">
      <c r="A955" s="55"/>
      <c r="E955" s="235"/>
      <c r="H955" s="232"/>
      <c r="I955" s="269"/>
      <c r="J955" s="269"/>
      <c r="K955" s="282"/>
      <c r="L955" s="233"/>
      <c r="M955" s="317"/>
    </row>
    <row r="956" spans="1:13" x14ac:dyDescent="0.3">
      <c r="A956" s="55"/>
      <c r="E956" s="235"/>
      <c r="H956" s="232"/>
      <c r="I956" s="269"/>
      <c r="J956" s="269"/>
      <c r="K956" s="282"/>
      <c r="L956" s="233"/>
      <c r="M956" s="317"/>
    </row>
    <row r="957" spans="1:13" x14ac:dyDescent="0.3">
      <c r="A957" s="55"/>
      <c r="E957" s="235"/>
      <c r="H957" s="232"/>
      <c r="I957" s="269"/>
      <c r="J957" s="269"/>
      <c r="K957" s="282"/>
      <c r="L957" s="233"/>
      <c r="M957" s="317"/>
    </row>
    <row r="958" spans="1:13" x14ac:dyDescent="0.3">
      <c r="A958" s="55"/>
      <c r="E958" s="235"/>
      <c r="H958" s="232"/>
      <c r="I958" s="269"/>
      <c r="J958" s="269"/>
      <c r="K958" s="282"/>
      <c r="L958" s="233"/>
      <c r="M958" s="317"/>
    </row>
    <row r="959" spans="1:13" x14ac:dyDescent="0.3">
      <c r="A959" s="55"/>
      <c r="E959" s="235"/>
      <c r="H959" s="232"/>
      <c r="I959" s="269"/>
      <c r="J959" s="269"/>
      <c r="K959" s="282"/>
      <c r="L959" s="233"/>
      <c r="M959" s="317"/>
    </row>
    <row r="960" spans="1:13" x14ac:dyDescent="0.3">
      <c r="A960" s="55"/>
      <c r="E960" s="235"/>
      <c r="H960" s="232"/>
      <c r="I960" s="269"/>
      <c r="J960" s="269"/>
      <c r="K960" s="282"/>
      <c r="L960" s="233"/>
      <c r="M960" s="317"/>
    </row>
    <row r="961" spans="1:13" x14ac:dyDescent="0.3">
      <c r="A961" s="55"/>
      <c r="E961" s="235"/>
      <c r="H961" s="232"/>
      <c r="I961" s="269"/>
      <c r="J961" s="269"/>
      <c r="K961" s="282"/>
      <c r="L961" s="233"/>
      <c r="M961" s="317"/>
    </row>
    <row r="962" spans="1:13" x14ac:dyDescent="0.3">
      <c r="A962" s="55"/>
      <c r="E962" s="235"/>
      <c r="H962" s="232"/>
      <c r="I962" s="269"/>
      <c r="J962" s="269"/>
      <c r="K962" s="282"/>
      <c r="L962" s="233"/>
      <c r="M962" s="317"/>
    </row>
    <row r="963" spans="1:13" x14ac:dyDescent="0.3">
      <c r="A963" s="55"/>
      <c r="E963" s="235"/>
      <c r="H963" s="232"/>
      <c r="I963" s="269"/>
      <c r="J963" s="269"/>
      <c r="K963" s="282"/>
      <c r="L963" s="233"/>
      <c r="M963" s="317"/>
    </row>
    <row r="964" spans="1:13" x14ac:dyDescent="0.3">
      <c r="A964" s="55"/>
      <c r="E964" s="235"/>
      <c r="H964" s="232"/>
      <c r="I964" s="269"/>
      <c r="J964" s="269"/>
      <c r="K964" s="282"/>
      <c r="L964" s="233"/>
      <c r="M964" s="317"/>
    </row>
    <row r="965" spans="1:13" x14ac:dyDescent="0.3">
      <c r="A965" s="55"/>
      <c r="E965" s="235"/>
      <c r="H965" s="232"/>
      <c r="I965" s="269"/>
      <c r="J965" s="269"/>
      <c r="K965" s="282"/>
      <c r="L965" s="233"/>
      <c r="M965" s="317"/>
    </row>
    <row r="966" spans="1:13" x14ac:dyDescent="0.3">
      <c r="A966" s="55"/>
      <c r="E966" s="235"/>
      <c r="H966" s="232"/>
      <c r="I966" s="269"/>
      <c r="J966" s="269"/>
      <c r="K966" s="282"/>
      <c r="L966" s="233"/>
      <c r="M966" s="317"/>
    </row>
    <row r="967" spans="1:13" x14ac:dyDescent="0.3">
      <c r="A967" s="55"/>
      <c r="E967" s="235"/>
      <c r="H967" s="232"/>
      <c r="I967" s="269"/>
      <c r="J967" s="269"/>
      <c r="K967" s="282"/>
      <c r="L967" s="233"/>
      <c r="M967" s="317"/>
    </row>
    <row r="968" spans="1:13" x14ac:dyDescent="0.3">
      <c r="A968" s="55"/>
      <c r="E968" s="235"/>
      <c r="H968" s="232"/>
      <c r="I968" s="269"/>
      <c r="J968" s="269"/>
      <c r="K968" s="282"/>
      <c r="L968" s="233"/>
      <c r="M968" s="317"/>
    </row>
    <row r="969" spans="1:13" x14ac:dyDescent="0.3">
      <c r="A969" s="55"/>
      <c r="E969" s="235"/>
      <c r="H969" s="232"/>
      <c r="I969" s="269"/>
      <c r="J969" s="269"/>
      <c r="K969" s="282"/>
      <c r="L969" s="233"/>
      <c r="M969" s="317"/>
    </row>
    <row r="970" spans="1:13" x14ac:dyDescent="0.3">
      <c r="A970" s="55"/>
      <c r="E970" s="235"/>
      <c r="I970" s="235"/>
      <c r="J970" s="235"/>
      <c r="K970" s="282"/>
      <c r="L970" s="233"/>
      <c r="M970" s="317"/>
    </row>
    <row r="971" spans="1:13" x14ac:dyDescent="0.3">
      <c r="A971" s="55"/>
      <c r="E971" s="235"/>
      <c r="I971" s="235"/>
      <c r="J971" s="235"/>
      <c r="K971" s="282"/>
      <c r="L971" s="233"/>
      <c r="M971" s="317"/>
    </row>
    <row r="972" spans="1:13" x14ac:dyDescent="0.3">
      <c r="A972" s="55"/>
      <c r="E972" s="235"/>
      <c r="I972" s="235"/>
      <c r="J972" s="235"/>
      <c r="K972" s="282"/>
      <c r="L972" s="233"/>
      <c r="M972" s="317"/>
    </row>
    <row r="973" spans="1:13" x14ac:dyDescent="0.3">
      <c r="A973" s="55"/>
      <c r="E973" s="235"/>
      <c r="I973" s="235"/>
      <c r="J973" s="235"/>
      <c r="K973" s="282"/>
      <c r="L973" s="233"/>
      <c r="M973" s="317"/>
    </row>
    <row r="974" spans="1:13" x14ac:dyDescent="0.3">
      <c r="A974" s="55"/>
      <c r="E974" s="235"/>
      <c r="I974" s="235"/>
      <c r="J974" s="235"/>
      <c r="K974" s="282"/>
      <c r="L974" s="233"/>
      <c r="M974" s="317"/>
    </row>
    <row r="975" spans="1:13" x14ac:dyDescent="0.3">
      <c r="A975" s="55"/>
      <c r="E975" s="235"/>
      <c r="I975" s="235"/>
      <c r="J975" s="235"/>
      <c r="K975" s="282"/>
      <c r="L975" s="233"/>
      <c r="M975" s="317"/>
    </row>
    <row r="976" spans="1:13" x14ac:dyDescent="0.3">
      <c r="A976" s="55"/>
      <c r="E976" s="235"/>
      <c r="I976" s="235"/>
      <c r="J976" s="235"/>
      <c r="K976" s="282"/>
      <c r="L976" s="233"/>
      <c r="M976" s="317"/>
    </row>
    <row r="977" spans="1:13" x14ac:dyDescent="0.3">
      <c r="A977" s="55"/>
      <c r="E977" s="235"/>
      <c r="I977" s="235"/>
      <c r="J977" s="235"/>
      <c r="K977" s="282"/>
      <c r="L977" s="233"/>
      <c r="M977" s="317"/>
    </row>
    <row r="978" spans="1:13" x14ac:dyDescent="0.3">
      <c r="A978" s="55"/>
      <c r="E978" s="235"/>
      <c r="I978" s="235"/>
      <c r="J978" s="235"/>
      <c r="K978" s="282"/>
      <c r="L978" s="233"/>
      <c r="M978" s="317"/>
    </row>
    <row r="979" spans="1:13" x14ac:dyDescent="0.3">
      <c r="A979" s="55"/>
      <c r="E979" s="235"/>
      <c r="I979" s="235"/>
      <c r="J979" s="235"/>
      <c r="K979" s="282"/>
      <c r="L979" s="233"/>
      <c r="M979" s="317"/>
    </row>
    <row r="980" spans="1:13" x14ac:dyDescent="0.3">
      <c r="A980" s="55"/>
      <c r="E980" s="235"/>
      <c r="I980" s="235"/>
      <c r="J980" s="235"/>
      <c r="K980" s="282"/>
      <c r="L980" s="233"/>
      <c r="M980" s="317"/>
    </row>
    <row r="981" spans="1:13" x14ac:dyDescent="0.3">
      <c r="A981" s="55"/>
      <c r="E981" s="235"/>
      <c r="I981" s="235"/>
      <c r="J981" s="235"/>
      <c r="K981" s="282"/>
      <c r="L981" s="233"/>
      <c r="M981" s="317"/>
    </row>
    <row r="982" spans="1:13" x14ac:dyDescent="0.3">
      <c r="A982" s="55"/>
      <c r="E982" s="235"/>
      <c r="I982" s="235"/>
      <c r="J982" s="235"/>
      <c r="K982" s="282"/>
      <c r="L982" s="233"/>
      <c r="M982" s="317"/>
    </row>
    <row r="983" spans="1:13" x14ac:dyDescent="0.3">
      <c r="A983" s="55"/>
      <c r="E983" s="235"/>
      <c r="I983" s="235"/>
      <c r="J983" s="235"/>
      <c r="K983" s="282"/>
      <c r="L983" s="233"/>
      <c r="M983" s="317"/>
    </row>
    <row r="984" spans="1:13" x14ac:dyDescent="0.3">
      <c r="A984" s="55"/>
      <c r="E984" s="235"/>
      <c r="I984" s="235"/>
      <c r="J984" s="235"/>
      <c r="K984" s="282"/>
      <c r="L984" s="233"/>
      <c r="M984" s="317"/>
    </row>
    <row r="985" spans="1:13" x14ac:dyDescent="0.3">
      <c r="A985" s="55"/>
      <c r="E985" s="235"/>
      <c r="I985" s="235"/>
      <c r="J985" s="235"/>
      <c r="K985" s="282"/>
      <c r="L985" s="233"/>
      <c r="M985" s="317"/>
    </row>
    <row r="986" spans="1:13" x14ac:dyDescent="0.3">
      <c r="A986" s="55"/>
      <c r="E986" s="235"/>
      <c r="I986" s="235"/>
      <c r="J986" s="235"/>
      <c r="K986" s="282"/>
      <c r="L986" s="233"/>
      <c r="M986" s="317"/>
    </row>
    <row r="987" spans="1:13" x14ac:dyDescent="0.3">
      <c r="A987" s="55"/>
      <c r="E987" s="235"/>
      <c r="I987" s="235"/>
      <c r="J987" s="235"/>
      <c r="K987" s="282"/>
      <c r="L987" s="233"/>
      <c r="M987" s="317"/>
    </row>
    <row r="988" spans="1:13" x14ac:dyDescent="0.3">
      <c r="A988" s="55"/>
      <c r="E988" s="235"/>
      <c r="I988" s="235"/>
      <c r="J988" s="235"/>
      <c r="K988" s="282"/>
      <c r="L988" s="233"/>
      <c r="M988" s="317"/>
    </row>
    <row r="989" spans="1:13" x14ac:dyDescent="0.3">
      <c r="A989" s="55"/>
      <c r="E989" s="235"/>
      <c r="I989" s="235"/>
      <c r="J989" s="235"/>
      <c r="K989" s="282"/>
      <c r="L989" s="233"/>
      <c r="M989" s="317"/>
    </row>
    <row r="990" spans="1:13" x14ac:dyDescent="0.3">
      <c r="A990" s="55"/>
      <c r="E990" s="235"/>
      <c r="I990" s="235"/>
      <c r="J990" s="235"/>
      <c r="K990" s="282"/>
      <c r="L990" s="233"/>
      <c r="M990" s="317"/>
    </row>
    <row r="991" spans="1:13" x14ac:dyDescent="0.3">
      <c r="A991" s="55"/>
      <c r="E991" s="235"/>
      <c r="I991" s="235"/>
      <c r="J991" s="235"/>
      <c r="K991" s="282"/>
      <c r="L991" s="233"/>
      <c r="M991" s="317"/>
    </row>
    <row r="992" spans="1:13" x14ac:dyDescent="0.3">
      <c r="A992" s="55"/>
      <c r="E992" s="235"/>
      <c r="I992" s="235"/>
      <c r="J992" s="235"/>
      <c r="K992" s="282"/>
      <c r="L992" s="233"/>
      <c r="M992" s="317"/>
    </row>
    <row r="993" spans="1:13" x14ac:dyDescent="0.3">
      <c r="A993" s="55"/>
      <c r="E993" s="235"/>
      <c r="I993" s="235"/>
      <c r="J993" s="235"/>
      <c r="K993" s="282"/>
      <c r="L993" s="233"/>
      <c r="M993" s="317"/>
    </row>
    <row r="994" spans="1:13" x14ac:dyDescent="0.3">
      <c r="A994" s="55"/>
      <c r="E994" s="235"/>
      <c r="I994" s="235"/>
      <c r="J994" s="235"/>
      <c r="K994" s="282"/>
      <c r="L994" s="233"/>
      <c r="M994" s="317"/>
    </row>
    <row r="995" spans="1:13" x14ac:dyDescent="0.3">
      <c r="A995" s="55"/>
      <c r="E995" s="235"/>
      <c r="I995" s="235"/>
      <c r="J995" s="235"/>
      <c r="K995" s="282"/>
      <c r="L995" s="233"/>
      <c r="M995" s="317"/>
    </row>
    <row r="996" spans="1:13" x14ac:dyDescent="0.3">
      <c r="A996" s="55"/>
      <c r="E996" s="235"/>
      <c r="I996" s="235"/>
      <c r="J996" s="235"/>
      <c r="K996" s="282"/>
      <c r="L996" s="233"/>
      <c r="M996" s="317"/>
    </row>
    <row r="997" spans="1:13" x14ac:dyDescent="0.3">
      <c r="A997" s="55"/>
      <c r="E997" s="235"/>
      <c r="I997" s="235"/>
      <c r="J997" s="235"/>
      <c r="K997" s="282"/>
      <c r="L997" s="233"/>
      <c r="M997" s="317"/>
    </row>
    <row r="998" spans="1:13" x14ac:dyDescent="0.3">
      <c r="A998" s="55"/>
      <c r="E998" s="235"/>
      <c r="I998" s="235"/>
      <c r="J998" s="235"/>
      <c r="K998" s="282"/>
      <c r="L998" s="233"/>
      <c r="M998" s="317"/>
    </row>
    <row r="999" spans="1:13" x14ac:dyDescent="0.3">
      <c r="A999" s="55"/>
      <c r="E999" s="235"/>
      <c r="I999" s="235"/>
      <c r="J999" s="235"/>
      <c r="K999" s="282"/>
      <c r="L999" s="233"/>
      <c r="M999" s="317"/>
    </row>
    <row r="1000" spans="1:13" x14ac:dyDescent="0.3">
      <c r="A1000" s="55"/>
      <c r="E1000" s="235"/>
      <c r="I1000" s="235"/>
      <c r="J1000" s="235"/>
      <c r="K1000" s="282"/>
      <c r="L1000" s="233"/>
      <c r="M1000" s="317"/>
    </row>
    <row r="1001" spans="1:13" x14ac:dyDescent="0.3">
      <c r="A1001" s="55"/>
      <c r="E1001" s="235"/>
      <c r="I1001" s="235"/>
      <c r="J1001" s="235"/>
      <c r="K1001" s="282"/>
      <c r="L1001" s="233"/>
      <c r="M1001" s="317"/>
    </row>
    <row r="1002" spans="1:13" x14ac:dyDescent="0.3">
      <c r="A1002" s="55"/>
      <c r="E1002" s="235"/>
      <c r="I1002" s="235"/>
      <c r="J1002" s="235"/>
      <c r="K1002" s="282"/>
      <c r="L1002" s="233"/>
      <c r="M1002" s="317"/>
    </row>
    <row r="1003" spans="1:13" x14ac:dyDescent="0.3">
      <c r="A1003" s="55"/>
      <c r="E1003" s="235"/>
      <c r="I1003" s="235"/>
      <c r="J1003" s="235"/>
      <c r="K1003" s="282"/>
      <c r="L1003" s="233"/>
      <c r="M1003" s="317"/>
    </row>
    <row r="1004" spans="1:13" x14ac:dyDescent="0.3">
      <c r="A1004" s="55"/>
      <c r="E1004" s="235"/>
      <c r="I1004" s="235"/>
      <c r="J1004" s="235"/>
      <c r="K1004" s="282"/>
      <c r="L1004" s="233"/>
      <c r="M1004" s="317"/>
    </row>
    <row r="1005" spans="1:13" x14ac:dyDescent="0.3">
      <c r="A1005" s="55"/>
      <c r="E1005" s="235"/>
      <c r="I1005" s="235"/>
      <c r="J1005" s="235"/>
      <c r="K1005" s="282"/>
      <c r="L1005" s="233"/>
      <c r="M1005" s="317"/>
    </row>
    <row r="1006" spans="1:13" x14ac:dyDescent="0.3">
      <c r="A1006" s="55"/>
      <c r="E1006" s="235"/>
      <c r="I1006" s="235"/>
      <c r="J1006" s="235"/>
      <c r="K1006" s="282"/>
      <c r="L1006" s="233"/>
      <c r="M1006" s="317"/>
    </row>
    <row r="1007" spans="1:13" x14ac:dyDescent="0.3">
      <c r="A1007" s="55"/>
      <c r="E1007" s="235"/>
      <c r="I1007" s="235"/>
      <c r="J1007" s="235"/>
      <c r="K1007" s="282"/>
      <c r="L1007" s="233"/>
      <c r="M1007" s="317"/>
    </row>
    <row r="1008" spans="1:13" x14ac:dyDescent="0.3">
      <c r="A1008" s="55"/>
      <c r="E1008" s="235"/>
      <c r="I1008" s="235"/>
      <c r="J1008" s="235"/>
      <c r="K1008" s="282"/>
      <c r="L1008" s="233"/>
      <c r="M1008" s="317"/>
    </row>
    <row r="1009" spans="1:13" x14ac:dyDescent="0.3">
      <c r="A1009" s="55"/>
      <c r="E1009" s="235"/>
      <c r="I1009" s="235"/>
      <c r="J1009" s="235"/>
      <c r="K1009" s="282"/>
      <c r="L1009" s="233"/>
      <c r="M1009" s="317"/>
    </row>
    <row r="1010" spans="1:13" x14ac:dyDescent="0.3">
      <c r="A1010" s="55"/>
      <c r="E1010" s="235"/>
      <c r="I1010" s="235"/>
      <c r="J1010" s="235"/>
      <c r="K1010" s="282"/>
      <c r="L1010" s="233"/>
      <c r="M1010" s="317"/>
    </row>
    <row r="1011" spans="1:13" x14ac:dyDescent="0.3">
      <c r="A1011" s="55"/>
      <c r="E1011" s="235"/>
      <c r="I1011" s="235"/>
      <c r="J1011" s="235"/>
      <c r="K1011" s="282"/>
      <c r="L1011" s="233"/>
      <c r="M1011" s="317"/>
    </row>
    <row r="1012" spans="1:13" x14ac:dyDescent="0.3">
      <c r="A1012" s="55"/>
      <c r="E1012" s="235"/>
      <c r="I1012" s="235"/>
      <c r="J1012" s="235"/>
      <c r="K1012" s="282"/>
      <c r="L1012" s="233"/>
      <c r="M1012" s="317"/>
    </row>
    <row r="1013" spans="1:13" x14ac:dyDescent="0.3">
      <c r="A1013" s="55"/>
      <c r="E1013" s="235"/>
      <c r="I1013" s="235"/>
      <c r="J1013" s="235"/>
      <c r="K1013" s="282"/>
      <c r="L1013" s="233"/>
      <c r="M1013" s="317"/>
    </row>
    <row r="1014" spans="1:13" x14ac:dyDescent="0.3">
      <c r="A1014" s="55"/>
      <c r="E1014" s="235"/>
      <c r="I1014" s="235"/>
      <c r="J1014" s="235"/>
      <c r="K1014" s="282"/>
      <c r="L1014" s="233"/>
      <c r="M1014" s="317"/>
    </row>
    <row r="1015" spans="1:13" x14ac:dyDescent="0.3">
      <c r="A1015" s="55"/>
      <c r="E1015" s="235"/>
      <c r="I1015" s="235"/>
      <c r="J1015" s="235"/>
      <c r="K1015" s="282"/>
      <c r="L1015" s="233"/>
      <c r="M1015" s="317"/>
    </row>
    <row r="1016" spans="1:13" x14ac:dyDescent="0.3">
      <c r="A1016" s="55"/>
      <c r="E1016" s="235"/>
      <c r="I1016" s="235"/>
      <c r="J1016" s="235"/>
      <c r="K1016" s="282"/>
      <c r="L1016" s="233"/>
      <c r="M1016" s="317"/>
    </row>
    <row r="1017" spans="1:13" x14ac:dyDescent="0.3">
      <c r="A1017" s="55"/>
      <c r="E1017" s="235"/>
      <c r="I1017" s="235"/>
      <c r="J1017" s="235"/>
      <c r="K1017" s="282"/>
      <c r="L1017" s="233"/>
      <c r="M1017" s="317"/>
    </row>
    <row r="1018" spans="1:13" x14ac:dyDescent="0.3">
      <c r="A1018" s="55"/>
      <c r="E1018" s="235"/>
      <c r="I1018" s="235"/>
      <c r="J1018" s="235"/>
      <c r="K1018" s="282"/>
      <c r="L1018" s="233"/>
      <c r="M1018" s="317"/>
    </row>
    <row r="1019" spans="1:13" x14ac:dyDescent="0.3">
      <c r="A1019" s="55"/>
      <c r="E1019" s="235"/>
      <c r="I1019" s="235"/>
      <c r="J1019" s="235"/>
      <c r="K1019" s="46"/>
      <c r="L1019" s="47"/>
      <c r="M1019" s="335"/>
    </row>
    <row r="1020" spans="1:13" x14ac:dyDescent="0.3">
      <c r="A1020" s="55"/>
      <c r="E1020" s="235"/>
      <c r="I1020" s="235"/>
      <c r="J1020" s="235"/>
      <c r="K1020" s="46"/>
      <c r="L1020" s="47"/>
      <c r="M1020" s="335"/>
    </row>
    <row r="1021" spans="1:13" x14ac:dyDescent="0.3">
      <c r="A1021" s="55"/>
      <c r="E1021" s="235"/>
      <c r="I1021" s="235"/>
      <c r="J1021" s="235"/>
      <c r="K1021" s="46"/>
      <c r="L1021" s="47"/>
      <c r="M1021" s="335"/>
    </row>
    <row r="1022" spans="1:13" x14ac:dyDescent="0.3">
      <c r="A1022" s="55"/>
      <c r="E1022" s="235"/>
      <c r="I1022" s="235"/>
      <c r="J1022" s="235"/>
      <c r="K1022" s="46"/>
      <c r="L1022" s="47"/>
      <c r="M1022" s="335"/>
    </row>
    <row r="1023" spans="1:13" x14ac:dyDescent="0.3">
      <c r="A1023" s="55"/>
      <c r="E1023" s="235"/>
      <c r="I1023" s="235"/>
      <c r="J1023" s="235"/>
      <c r="K1023" s="46"/>
      <c r="L1023" s="47"/>
      <c r="M1023" s="335"/>
    </row>
    <row r="1024" spans="1:13" x14ac:dyDescent="0.3">
      <c r="A1024" s="55"/>
      <c r="E1024" s="235"/>
      <c r="I1024" s="235"/>
      <c r="J1024" s="235"/>
      <c r="K1024" s="46"/>
      <c r="L1024" s="47"/>
      <c r="M1024" s="335"/>
    </row>
    <row r="1025" spans="1:13" x14ac:dyDescent="0.3">
      <c r="A1025" s="55"/>
      <c r="E1025" s="235"/>
      <c r="I1025" s="235"/>
      <c r="J1025" s="235"/>
      <c r="K1025" s="46"/>
      <c r="L1025" s="47"/>
      <c r="M1025" s="335"/>
    </row>
    <row r="1026" spans="1:13" x14ac:dyDescent="0.3">
      <c r="A1026" s="55"/>
      <c r="E1026" s="235"/>
      <c r="I1026" s="235"/>
      <c r="J1026" s="235"/>
      <c r="K1026" s="46"/>
      <c r="L1026" s="47"/>
      <c r="M1026" s="335"/>
    </row>
    <row r="1027" spans="1:13" x14ac:dyDescent="0.3">
      <c r="A1027" s="55"/>
      <c r="E1027" s="235"/>
      <c r="I1027" s="235"/>
      <c r="J1027" s="235"/>
      <c r="K1027" s="46"/>
      <c r="L1027" s="47"/>
      <c r="M1027" s="335"/>
    </row>
    <row r="1028" spans="1:13" x14ac:dyDescent="0.3">
      <c r="A1028" s="55"/>
      <c r="E1028" s="235"/>
      <c r="I1028" s="235"/>
      <c r="J1028" s="235"/>
      <c r="K1028" s="46"/>
      <c r="L1028" s="47"/>
      <c r="M1028" s="335"/>
    </row>
    <row r="1029" spans="1:13" x14ac:dyDescent="0.3">
      <c r="A1029" s="55"/>
      <c r="E1029" s="235"/>
      <c r="I1029" s="235"/>
      <c r="J1029" s="235"/>
      <c r="K1029" s="46"/>
      <c r="L1029" s="47"/>
      <c r="M1029" s="335"/>
    </row>
    <row r="1030" spans="1:13" x14ac:dyDescent="0.3">
      <c r="A1030" s="55"/>
      <c r="E1030" s="235"/>
      <c r="I1030" s="235"/>
      <c r="J1030" s="235"/>
      <c r="K1030" s="46"/>
      <c r="L1030" s="47"/>
      <c r="M1030" s="335"/>
    </row>
    <row r="1031" spans="1:13" x14ac:dyDescent="0.3">
      <c r="A1031" s="55"/>
      <c r="E1031" s="235"/>
      <c r="I1031" s="235"/>
      <c r="J1031" s="235"/>
      <c r="K1031" s="46"/>
      <c r="L1031" s="47"/>
      <c r="M1031" s="335"/>
    </row>
    <row r="1032" spans="1:13" x14ac:dyDescent="0.3">
      <c r="A1032" s="55"/>
      <c r="E1032" s="235"/>
      <c r="I1032" s="235"/>
      <c r="J1032" s="235"/>
      <c r="K1032" s="46"/>
      <c r="L1032" s="47"/>
      <c r="M1032" s="335"/>
    </row>
    <row r="1033" spans="1:13" x14ac:dyDescent="0.3">
      <c r="A1033" s="55"/>
      <c r="E1033" s="235"/>
      <c r="I1033" s="235"/>
      <c r="J1033" s="235"/>
      <c r="K1033" s="46"/>
      <c r="L1033" s="47"/>
      <c r="M1033" s="335"/>
    </row>
    <row r="1034" spans="1:13" x14ac:dyDescent="0.3">
      <c r="A1034" s="55"/>
      <c r="E1034" s="235"/>
      <c r="I1034" s="235"/>
      <c r="J1034" s="235"/>
      <c r="K1034" s="46"/>
      <c r="L1034" s="47"/>
      <c r="M1034" s="335"/>
    </row>
    <row r="1035" spans="1:13" x14ac:dyDescent="0.3">
      <c r="A1035" s="55"/>
      <c r="E1035" s="235"/>
      <c r="I1035" s="235"/>
      <c r="J1035" s="235"/>
      <c r="K1035" s="46"/>
      <c r="L1035" s="47"/>
      <c r="M1035" s="335"/>
    </row>
    <row r="1036" spans="1:13" x14ac:dyDescent="0.3">
      <c r="A1036" s="55"/>
      <c r="E1036" s="235"/>
      <c r="I1036" s="235"/>
      <c r="J1036" s="235"/>
      <c r="K1036" s="46"/>
      <c r="L1036" s="47"/>
      <c r="M1036" s="335"/>
    </row>
    <row r="1037" spans="1:13" x14ac:dyDescent="0.3">
      <c r="A1037" s="55"/>
      <c r="E1037" s="235"/>
      <c r="I1037" s="235"/>
      <c r="J1037" s="235"/>
      <c r="K1037" s="46"/>
      <c r="L1037" s="47"/>
      <c r="M1037" s="335"/>
    </row>
    <row r="1038" spans="1:13" x14ac:dyDescent="0.3">
      <c r="A1038" s="55"/>
      <c r="E1038" s="235"/>
      <c r="I1038" s="235"/>
      <c r="J1038" s="235"/>
      <c r="K1038" s="46"/>
      <c r="L1038" s="47"/>
      <c r="M1038" s="335"/>
    </row>
    <row r="1039" spans="1:13" x14ac:dyDescent="0.3">
      <c r="A1039" s="55"/>
      <c r="E1039" s="235"/>
      <c r="I1039" s="235"/>
      <c r="J1039" s="235"/>
      <c r="K1039" s="46"/>
      <c r="L1039" s="47"/>
      <c r="M1039" s="335"/>
    </row>
    <row r="1040" spans="1:13" x14ac:dyDescent="0.3">
      <c r="A1040" s="55"/>
      <c r="E1040" s="235"/>
      <c r="I1040" s="235"/>
      <c r="J1040" s="235"/>
      <c r="K1040" s="46"/>
      <c r="L1040" s="47"/>
      <c r="M1040" s="335"/>
    </row>
    <row r="1041" spans="1:13" x14ac:dyDescent="0.3">
      <c r="A1041" s="55"/>
      <c r="E1041" s="235"/>
      <c r="I1041" s="235"/>
      <c r="J1041" s="235"/>
      <c r="K1041" s="46"/>
      <c r="L1041" s="47"/>
      <c r="M1041" s="335"/>
    </row>
    <row r="1042" spans="1:13" x14ac:dyDescent="0.3">
      <c r="A1042" s="55"/>
      <c r="E1042" s="235"/>
      <c r="I1042" s="235"/>
      <c r="J1042" s="235"/>
      <c r="K1042" s="46"/>
      <c r="L1042" s="47"/>
      <c r="M1042" s="335"/>
    </row>
    <row r="1043" spans="1:13" x14ac:dyDescent="0.3">
      <c r="A1043" s="55"/>
      <c r="E1043" s="235"/>
      <c r="I1043" s="235"/>
      <c r="J1043" s="235"/>
      <c r="K1043" s="46"/>
      <c r="L1043" s="47"/>
      <c r="M1043" s="335"/>
    </row>
    <row r="1044" spans="1:13" x14ac:dyDescent="0.3">
      <c r="A1044" s="55"/>
      <c r="E1044" s="235"/>
      <c r="I1044" s="235"/>
      <c r="J1044" s="235"/>
      <c r="K1044" s="46"/>
      <c r="L1044" s="47"/>
      <c r="M1044" s="335"/>
    </row>
    <row r="1045" spans="1:13" x14ac:dyDescent="0.3">
      <c r="A1045" s="55"/>
      <c r="E1045" s="235"/>
      <c r="I1045" s="235"/>
      <c r="J1045" s="235"/>
      <c r="K1045" s="46"/>
      <c r="L1045" s="47"/>
      <c r="M1045" s="335"/>
    </row>
    <row r="1046" spans="1:13" x14ac:dyDescent="0.3">
      <c r="A1046" s="55"/>
      <c r="E1046" s="235"/>
      <c r="I1046" s="235"/>
      <c r="J1046" s="235"/>
      <c r="K1046" s="46"/>
      <c r="L1046" s="47"/>
      <c r="M1046" s="335"/>
    </row>
    <row r="1047" spans="1:13" x14ac:dyDescent="0.3">
      <c r="A1047" s="55"/>
      <c r="E1047" s="235"/>
      <c r="I1047" s="235"/>
      <c r="J1047" s="235"/>
      <c r="K1047" s="46"/>
      <c r="L1047" s="47"/>
      <c r="M1047" s="335"/>
    </row>
    <row r="1048" spans="1:13" x14ac:dyDescent="0.3">
      <c r="A1048" s="55"/>
      <c r="E1048" s="235"/>
      <c r="I1048" s="235"/>
      <c r="J1048" s="235"/>
      <c r="K1048" s="46"/>
      <c r="L1048" s="47"/>
      <c r="M1048" s="335"/>
    </row>
    <row r="1049" spans="1:13" x14ac:dyDescent="0.3">
      <c r="A1049" s="55"/>
      <c r="E1049" s="235"/>
      <c r="I1049" s="235"/>
      <c r="J1049" s="235"/>
      <c r="K1049" s="46"/>
      <c r="L1049" s="47"/>
      <c r="M1049" s="335"/>
    </row>
    <row r="1050" spans="1:13" x14ac:dyDescent="0.3">
      <c r="A1050" s="55"/>
      <c r="E1050" s="235"/>
      <c r="I1050" s="235"/>
      <c r="J1050" s="235"/>
      <c r="K1050" s="46"/>
      <c r="L1050" s="47"/>
      <c r="M1050" s="335"/>
    </row>
    <row r="1051" spans="1:13" x14ac:dyDescent="0.3">
      <c r="A1051" s="55"/>
      <c r="I1051" s="235"/>
      <c r="J1051" s="235"/>
      <c r="K1051" s="46"/>
      <c r="L1051" s="47"/>
      <c r="M1051" s="335"/>
    </row>
    <row r="1052" spans="1:13" x14ac:dyDescent="0.3">
      <c r="A1052" s="55"/>
      <c r="I1052" s="235"/>
      <c r="J1052" s="235"/>
      <c r="K1052" s="46"/>
      <c r="L1052" s="47"/>
      <c r="M1052" s="335"/>
    </row>
    <row r="1053" spans="1:13" x14ac:dyDescent="0.3">
      <c r="A1053" s="55"/>
      <c r="I1053" s="235"/>
      <c r="J1053" s="235"/>
      <c r="K1053" s="46"/>
      <c r="L1053" s="47"/>
      <c r="M1053" s="335"/>
    </row>
    <row r="1054" spans="1:13" x14ac:dyDescent="0.3">
      <c r="A1054" s="55"/>
      <c r="I1054" s="235"/>
      <c r="J1054" s="235"/>
      <c r="K1054" s="46"/>
      <c r="L1054" s="47"/>
      <c r="M1054" s="335"/>
    </row>
    <row r="1055" spans="1:13" x14ac:dyDescent="0.3">
      <c r="A1055" s="55"/>
      <c r="I1055" s="235"/>
      <c r="J1055" s="235"/>
      <c r="K1055" s="46"/>
      <c r="L1055" s="47"/>
      <c r="M1055" s="335"/>
    </row>
    <row r="1056" spans="1:13" x14ac:dyDescent="0.3">
      <c r="A1056" s="55"/>
      <c r="I1056" s="235"/>
      <c r="J1056" s="235"/>
      <c r="K1056" s="46"/>
      <c r="L1056" s="47"/>
      <c r="M1056" s="335"/>
    </row>
    <row r="1057" spans="1:13" x14ac:dyDescent="0.3">
      <c r="A1057" s="55"/>
      <c r="I1057" s="235"/>
      <c r="J1057" s="235"/>
      <c r="K1057" s="46"/>
      <c r="L1057" s="47"/>
      <c r="M1057" s="335"/>
    </row>
    <row r="1058" spans="1:13" x14ac:dyDescent="0.3">
      <c r="A1058" s="55"/>
      <c r="I1058" s="235"/>
      <c r="J1058" s="235"/>
      <c r="K1058" s="46"/>
      <c r="L1058" s="47"/>
      <c r="M1058" s="335"/>
    </row>
    <row r="1059" spans="1:13" x14ac:dyDescent="0.3">
      <c r="A1059" s="55"/>
      <c r="I1059" s="235"/>
      <c r="J1059" s="235"/>
      <c r="K1059" s="46"/>
      <c r="L1059" s="47"/>
      <c r="M1059" s="335"/>
    </row>
    <row r="1060" spans="1:13" x14ac:dyDescent="0.3">
      <c r="A1060" s="55"/>
      <c r="I1060" s="235"/>
      <c r="J1060" s="235"/>
      <c r="K1060" s="46"/>
      <c r="L1060" s="47"/>
      <c r="M1060" s="335"/>
    </row>
    <row r="1061" spans="1:13" x14ac:dyDescent="0.3">
      <c r="A1061" s="55"/>
      <c r="I1061" s="235"/>
      <c r="J1061" s="235"/>
      <c r="K1061" s="46"/>
      <c r="L1061" s="47"/>
      <c r="M1061" s="335"/>
    </row>
    <row r="1062" spans="1:13" x14ac:dyDescent="0.3">
      <c r="A1062" s="55"/>
      <c r="I1062" s="235"/>
      <c r="J1062" s="235"/>
      <c r="K1062" s="46"/>
      <c r="L1062" s="47"/>
      <c r="M1062" s="335"/>
    </row>
    <row r="1063" spans="1:13" x14ac:dyDescent="0.3">
      <c r="A1063" s="55"/>
      <c r="I1063" s="235"/>
      <c r="J1063" s="235"/>
      <c r="K1063" s="46"/>
      <c r="L1063" s="47"/>
      <c r="M1063" s="335"/>
    </row>
    <row r="1064" spans="1:13" x14ac:dyDescent="0.3">
      <c r="A1064" s="55"/>
      <c r="I1064" s="235"/>
      <c r="J1064" s="235"/>
      <c r="K1064" s="46"/>
      <c r="L1064" s="47"/>
      <c r="M1064" s="335"/>
    </row>
    <row r="1065" spans="1:13" x14ac:dyDescent="0.3">
      <c r="A1065" s="55"/>
      <c r="I1065" s="235"/>
      <c r="J1065" s="235"/>
      <c r="K1065" s="46"/>
      <c r="L1065" s="47"/>
      <c r="M1065" s="335"/>
    </row>
    <row r="1066" spans="1:13" x14ac:dyDescent="0.3">
      <c r="A1066" s="55"/>
      <c r="I1066" s="235"/>
      <c r="J1066" s="235"/>
      <c r="K1066" s="46"/>
      <c r="L1066" s="47"/>
      <c r="M1066" s="335"/>
    </row>
    <row r="1067" spans="1:13" x14ac:dyDescent="0.3">
      <c r="A1067" s="55"/>
      <c r="I1067" s="235"/>
      <c r="J1067" s="235"/>
      <c r="K1067" s="46"/>
      <c r="L1067" s="47"/>
      <c r="M1067" s="335"/>
    </row>
    <row r="1068" spans="1:13" x14ac:dyDescent="0.3">
      <c r="A1068" s="55"/>
      <c r="I1068" s="235"/>
      <c r="J1068" s="235"/>
      <c r="K1068" s="46"/>
      <c r="L1068" s="47"/>
      <c r="M1068" s="335"/>
    </row>
    <row r="1069" spans="1:13" x14ac:dyDescent="0.3">
      <c r="A1069" s="55"/>
      <c r="I1069" s="235"/>
      <c r="J1069" s="235"/>
      <c r="K1069" s="46"/>
      <c r="L1069" s="47"/>
      <c r="M1069" s="335"/>
    </row>
    <row r="1070" spans="1:13" x14ac:dyDescent="0.3">
      <c r="A1070" s="55"/>
      <c r="I1070" s="235"/>
      <c r="J1070" s="235"/>
      <c r="K1070" s="46"/>
      <c r="L1070" s="47"/>
      <c r="M1070" s="335"/>
    </row>
    <row r="1071" spans="1:13" x14ac:dyDescent="0.3">
      <c r="A1071" s="55"/>
      <c r="I1071" s="235"/>
      <c r="J1071" s="235"/>
      <c r="K1071" s="46"/>
      <c r="L1071" s="47"/>
      <c r="M1071" s="335"/>
    </row>
    <row r="1072" spans="1:13" x14ac:dyDescent="0.3">
      <c r="A1072" s="55"/>
      <c r="I1072" s="235"/>
      <c r="J1072" s="235"/>
      <c r="K1072" s="46"/>
      <c r="L1072" s="47"/>
      <c r="M1072" s="335"/>
    </row>
    <row r="1073" spans="1:13" x14ac:dyDescent="0.3">
      <c r="A1073" s="55"/>
      <c r="I1073" s="235"/>
      <c r="J1073" s="235"/>
      <c r="K1073" s="46"/>
      <c r="L1073" s="47"/>
      <c r="M1073" s="335"/>
    </row>
    <row r="1074" spans="1:13" x14ac:dyDescent="0.3">
      <c r="A1074" s="55"/>
      <c r="I1074" s="235"/>
      <c r="J1074" s="235"/>
      <c r="K1074" s="46"/>
      <c r="L1074" s="47"/>
      <c r="M1074" s="335"/>
    </row>
    <row r="1075" spans="1:13" x14ac:dyDescent="0.3">
      <c r="A1075" s="55"/>
      <c r="I1075" s="235"/>
      <c r="J1075" s="235"/>
      <c r="K1075" s="46"/>
      <c r="L1075" s="47"/>
      <c r="M1075" s="335"/>
    </row>
    <row r="1076" spans="1:13" x14ac:dyDescent="0.3">
      <c r="A1076" s="55"/>
      <c r="I1076" s="235"/>
      <c r="J1076" s="235"/>
      <c r="K1076" s="46"/>
      <c r="L1076" s="47"/>
      <c r="M1076" s="335"/>
    </row>
    <row r="1077" spans="1:13" x14ac:dyDescent="0.3">
      <c r="A1077" s="55"/>
      <c r="I1077" s="235"/>
      <c r="J1077" s="235"/>
      <c r="K1077" s="46"/>
      <c r="L1077" s="47"/>
      <c r="M1077" s="335"/>
    </row>
    <row r="1078" spans="1:13" x14ac:dyDescent="0.3">
      <c r="A1078" s="55"/>
      <c r="I1078" s="235"/>
      <c r="J1078" s="235"/>
      <c r="K1078" s="46"/>
      <c r="L1078" s="47"/>
      <c r="M1078" s="335"/>
    </row>
    <row r="1079" spans="1:13" x14ac:dyDescent="0.3">
      <c r="A1079" s="55"/>
      <c r="I1079" s="235"/>
      <c r="J1079" s="235"/>
      <c r="K1079" s="46"/>
      <c r="L1079" s="47"/>
      <c r="M1079" s="335"/>
    </row>
    <row r="1080" spans="1:13" x14ac:dyDescent="0.3">
      <c r="A1080" s="55"/>
      <c r="I1080" s="235"/>
      <c r="J1080" s="235"/>
      <c r="K1080" s="46"/>
      <c r="L1080" s="47"/>
      <c r="M1080" s="335"/>
    </row>
    <row r="1081" spans="1:13" x14ac:dyDescent="0.3">
      <c r="A1081" s="55"/>
      <c r="I1081" s="235"/>
      <c r="J1081" s="235"/>
      <c r="K1081" s="46"/>
      <c r="L1081" s="47"/>
      <c r="M1081" s="335"/>
    </row>
    <row r="1082" spans="1:13" x14ac:dyDescent="0.3">
      <c r="A1082" s="55"/>
      <c r="I1082" s="235"/>
      <c r="J1082" s="235"/>
      <c r="K1082" s="46"/>
      <c r="L1082" s="47"/>
      <c r="M1082" s="335"/>
    </row>
    <row r="1083" spans="1:13" x14ac:dyDescent="0.3">
      <c r="A1083" s="55"/>
      <c r="I1083" s="235"/>
      <c r="J1083" s="235"/>
      <c r="K1083" s="46"/>
      <c r="L1083" s="47"/>
      <c r="M1083" s="335"/>
    </row>
    <row r="1084" spans="1:13" x14ac:dyDescent="0.3">
      <c r="A1084" s="55"/>
      <c r="I1084" s="235"/>
      <c r="J1084" s="235"/>
      <c r="K1084" s="46"/>
      <c r="L1084" s="47"/>
      <c r="M1084" s="335"/>
    </row>
    <row r="1085" spans="1:13" x14ac:dyDescent="0.3">
      <c r="A1085" s="55"/>
      <c r="I1085" s="235"/>
      <c r="J1085" s="235"/>
      <c r="K1085" s="46"/>
      <c r="L1085" s="47"/>
      <c r="M1085" s="335"/>
    </row>
    <row r="1086" spans="1:13" x14ac:dyDescent="0.3">
      <c r="A1086" s="55"/>
      <c r="I1086" s="235"/>
      <c r="J1086" s="235"/>
      <c r="K1086" s="46"/>
      <c r="L1086" s="47"/>
      <c r="M1086" s="335"/>
    </row>
    <row r="1087" spans="1:13" x14ac:dyDescent="0.3">
      <c r="A1087" s="55"/>
      <c r="I1087" s="235"/>
      <c r="J1087" s="235"/>
      <c r="K1087" s="46"/>
      <c r="L1087" s="47"/>
      <c r="M1087" s="335"/>
    </row>
    <row r="1088" spans="1:13" x14ac:dyDescent="0.3">
      <c r="A1088" s="55"/>
      <c r="I1088" s="235"/>
      <c r="J1088" s="235"/>
      <c r="K1088" s="46"/>
      <c r="L1088" s="47"/>
      <c r="M1088" s="335"/>
    </row>
    <row r="1089" spans="1:13" x14ac:dyDescent="0.3">
      <c r="A1089" s="55"/>
      <c r="I1089" s="235"/>
      <c r="J1089" s="235"/>
      <c r="K1089" s="46"/>
      <c r="L1089" s="47"/>
      <c r="M1089" s="335"/>
    </row>
    <row r="1090" spans="1:13" x14ac:dyDescent="0.3">
      <c r="A1090" s="55"/>
      <c r="I1090" s="235"/>
      <c r="J1090" s="235"/>
      <c r="K1090" s="46"/>
      <c r="L1090" s="47"/>
      <c r="M1090" s="335"/>
    </row>
    <row r="1091" spans="1:13" x14ac:dyDescent="0.3">
      <c r="A1091" s="55"/>
      <c r="I1091" s="235"/>
      <c r="J1091" s="235"/>
      <c r="K1091" s="46"/>
      <c r="L1091" s="47"/>
      <c r="M1091" s="335"/>
    </row>
    <row r="1092" spans="1:13" x14ac:dyDescent="0.3">
      <c r="A1092" s="55"/>
      <c r="I1092" s="235"/>
      <c r="J1092" s="235"/>
      <c r="K1092" s="46"/>
      <c r="L1092" s="47"/>
      <c r="M1092" s="335"/>
    </row>
    <row r="1093" spans="1:13" x14ac:dyDescent="0.3">
      <c r="A1093" s="55"/>
      <c r="I1093" s="235"/>
      <c r="J1093" s="235"/>
      <c r="K1093" s="46"/>
      <c r="L1093" s="47"/>
      <c r="M1093" s="335"/>
    </row>
    <row r="1094" spans="1:13" x14ac:dyDescent="0.3">
      <c r="A1094" s="55"/>
      <c r="I1094" s="235"/>
      <c r="J1094" s="235"/>
      <c r="K1094" s="46"/>
      <c r="L1094" s="47"/>
      <c r="M1094" s="335"/>
    </row>
    <row r="1095" spans="1:13" x14ac:dyDescent="0.3">
      <c r="A1095" s="55"/>
      <c r="I1095" s="235"/>
      <c r="J1095" s="235"/>
      <c r="K1095" s="46"/>
      <c r="L1095" s="47"/>
      <c r="M1095" s="335"/>
    </row>
    <row r="1096" spans="1:13" x14ac:dyDescent="0.3">
      <c r="A1096" s="55"/>
      <c r="I1096" s="235"/>
      <c r="J1096" s="235"/>
      <c r="K1096" s="46"/>
      <c r="L1096" s="47"/>
      <c r="M1096" s="335"/>
    </row>
    <row r="1097" spans="1:13" x14ac:dyDescent="0.3">
      <c r="A1097" s="55"/>
      <c r="I1097" s="235"/>
      <c r="J1097" s="235"/>
      <c r="K1097" s="46"/>
      <c r="L1097" s="47"/>
      <c r="M1097" s="335"/>
    </row>
    <row r="1098" spans="1:13" x14ac:dyDescent="0.3">
      <c r="A1098" s="55"/>
      <c r="I1098" s="235"/>
      <c r="J1098" s="235"/>
      <c r="K1098" s="46"/>
      <c r="L1098" s="47"/>
      <c r="M1098" s="335"/>
    </row>
    <row r="1099" spans="1:13" x14ac:dyDescent="0.3">
      <c r="A1099" s="55"/>
      <c r="I1099" s="235"/>
      <c r="J1099" s="235"/>
      <c r="K1099" s="46"/>
      <c r="L1099" s="47"/>
      <c r="M1099" s="335"/>
    </row>
    <row r="1100" spans="1:13" x14ac:dyDescent="0.3">
      <c r="A1100" s="55"/>
      <c r="I1100" s="235"/>
      <c r="J1100" s="235"/>
      <c r="K1100" s="46"/>
      <c r="L1100" s="47"/>
      <c r="M1100" s="335"/>
    </row>
    <row r="1101" spans="1:13" x14ac:dyDescent="0.3">
      <c r="A1101" s="55"/>
      <c r="I1101" s="235"/>
      <c r="J1101" s="235"/>
      <c r="K1101" s="46"/>
      <c r="L1101" s="47"/>
      <c r="M1101" s="335"/>
    </row>
    <row r="1102" spans="1:13" x14ac:dyDescent="0.3">
      <c r="A1102" s="55"/>
      <c r="I1102" s="235"/>
      <c r="J1102" s="235"/>
      <c r="K1102" s="46"/>
      <c r="L1102" s="47"/>
      <c r="M1102" s="335"/>
    </row>
    <row r="1103" spans="1:13" x14ac:dyDescent="0.3">
      <c r="A1103" s="55"/>
      <c r="I1103" s="235"/>
      <c r="J1103" s="235"/>
      <c r="K1103" s="46"/>
      <c r="L1103" s="47"/>
      <c r="M1103" s="335"/>
    </row>
    <row r="1104" spans="1:13" x14ac:dyDescent="0.3">
      <c r="A1104" s="55"/>
      <c r="I1104" s="235"/>
      <c r="J1104" s="235"/>
      <c r="K1104" s="46"/>
      <c r="L1104" s="47"/>
      <c r="M1104" s="335"/>
    </row>
    <row r="1105" spans="1:13" x14ac:dyDescent="0.3">
      <c r="A1105" s="55"/>
      <c r="I1105" s="235"/>
      <c r="J1105" s="235"/>
      <c r="K1105" s="46"/>
      <c r="L1105" s="47"/>
      <c r="M1105" s="335"/>
    </row>
    <row r="1106" spans="1:13" x14ac:dyDescent="0.3">
      <c r="A1106" s="55"/>
      <c r="I1106" s="235"/>
      <c r="J1106" s="235"/>
      <c r="K1106" s="46"/>
      <c r="L1106" s="47"/>
      <c r="M1106" s="335"/>
    </row>
    <row r="1107" spans="1:13" x14ac:dyDescent="0.3">
      <c r="A1107" s="55"/>
      <c r="I1107" s="235"/>
      <c r="J1107" s="235"/>
      <c r="K1107" s="46"/>
      <c r="L1107" s="47"/>
      <c r="M1107" s="335"/>
    </row>
    <row r="1108" spans="1:13" x14ac:dyDescent="0.3">
      <c r="A1108" s="55"/>
      <c r="I1108" s="235"/>
      <c r="J1108" s="235"/>
      <c r="K1108" s="46"/>
      <c r="L1108" s="47"/>
      <c r="M1108" s="335"/>
    </row>
    <row r="1109" spans="1:13" x14ac:dyDescent="0.3">
      <c r="A1109" s="55"/>
      <c r="I1109" s="235"/>
      <c r="J1109" s="235"/>
      <c r="K1109" s="46"/>
      <c r="L1109" s="47"/>
      <c r="M1109" s="335"/>
    </row>
    <row r="1110" spans="1:13" x14ac:dyDescent="0.3">
      <c r="A1110" s="55"/>
      <c r="I1110" s="235"/>
      <c r="J1110" s="235"/>
      <c r="K1110" s="46"/>
      <c r="L1110" s="47"/>
      <c r="M1110" s="335"/>
    </row>
    <row r="1111" spans="1:13" x14ac:dyDescent="0.3">
      <c r="A1111" s="55"/>
      <c r="I1111" s="235"/>
      <c r="J1111" s="235"/>
      <c r="K1111" s="46"/>
      <c r="L1111" s="47"/>
      <c r="M1111" s="335"/>
    </row>
    <row r="1112" spans="1:13" x14ac:dyDescent="0.3">
      <c r="A1112" s="55"/>
      <c r="I1112" s="235"/>
      <c r="J1112" s="235"/>
      <c r="K1112" s="46"/>
      <c r="L1112" s="47"/>
      <c r="M1112" s="335"/>
    </row>
    <row r="1113" spans="1:13" x14ac:dyDescent="0.3">
      <c r="A1113" s="55"/>
      <c r="I1113" s="235"/>
      <c r="J1113" s="235"/>
      <c r="K1113" s="46"/>
      <c r="L1113" s="47"/>
      <c r="M1113" s="335"/>
    </row>
    <row r="1114" spans="1:13" x14ac:dyDescent="0.3">
      <c r="A1114" s="55"/>
      <c r="I1114" s="235"/>
      <c r="J1114" s="235"/>
      <c r="K1114" s="46"/>
      <c r="L1114" s="47"/>
      <c r="M1114" s="335"/>
    </row>
    <row r="1115" spans="1:13" x14ac:dyDescent="0.3">
      <c r="A1115" s="55"/>
      <c r="I1115" s="235"/>
      <c r="J1115" s="235"/>
      <c r="K1115" s="46"/>
      <c r="L1115" s="47"/>
      <c r="M1115" s="335"/>
    </row>
    <row r="1116" spans="1:13" x14ac:dyDescent="0.3">
      <c r="A1116" s="55"/>
      <c r="I1116" s="235"/>
      <c r="J1116" s="235"/>
      <c r="K1116" s="46"/>
      <c r="L1116" s="47"/>
      <c r="M1116" s="335"/>
    </row>
    <row r="1117" spans="1:13" x14ac:dyDescent="0.3">
      <c r="A1117" s="55"/>
      <c r="I1117" s="235"/>
      <c r="J1117" s="235"/>
      <c r="K1117" s="46"/>
      <c r="L1117" s="47"/>
      <c r="M1117" s="335"/>
    </row>
    <row r="1118" spans="1:13" x14ac:dyDescent="0.3">
      <c r="A1118" s="55"/>
      <c r="I1118" s="235"/>
      <c r="J1118" s="235"/>
      <c r="K1118" s="46"/>
      <c r="L1118" s="47"/>
      <c r="M1118" s="335"/>
    </row>
    <row r="1119" spans="1:13" x14ac:dyDescent="0.3">
      <c r="A1119" s="55"/>
      <c r="I1119" s="235"/>
      <c r="J1119" s="235"/>
      <c r="K1119" s="46"/>
      <c r="L1119" s="47"/>
      <c r="M1119" s="335"/>
    </row>
    <row r="1120" spans="1:13" x14ac:dyDescent="0.3">
      <c r="A1120" s="55"/>
      <c r="I1120" s="235"/>
      <c r="J1120" s="235"/>
      <c r="K1120" s="46"/>
      <c r="L1120" s="47"/>
      <c r="M1120" s="335"/>
    </row>
    <row r="1121" spans="1:13" x14ac:dyDescent="0.3">
      <c r="A1121" s="55"/>
      <c r="I1121" s="235"/>
      <c r="J1121" s="235"/>
      <c r="K1121" s="46"/>
      <c r="L1121" s="47"/>
      <c r="M1121" s="335"/>
    </row>
    <row r="1122" spans="1:13" x14ac:dyDescent="0.3">
      <c r="A1122" s="55"/>
      <c r="I1122" s="235"/>
      <c r="J1122" s="235"/>
      <c r="K1122" s="46"/>
      <c r="L1122" s="47"/>
      <c r="M1122" s="335"/>
    </row>
    <row r="1123" spans="1:13" x14ac:dyDescent="0.3">
      <c r="A1123" s="55"/>
      <c r="I1123" s="235"/>
      <c r="J1123" s="235"/>
      <c r="K1123" s="46"/>
      <c r="L1123" s="47"/>
      <c r="M1123" s="335"/>
    </row>
    <row r="1124" spans="1:13" x14ac:dyDescent="0.3">
      <c r="A1124" s="55"/>
      <c r="I1124" s="235"/>
      <c r="J1124" s="235"/>
      <c r="K1124" s="46"/>
      <c r="L1124" s="47"/>
      <c r="M1124" s="335"/>
    </row>
    <row r="1125" spans="1:13" x14ac:dyDescent="0.3">
      <c r="A1125" s="55"/>
      <c r="I1125" s="235"/>
      <c r="J1125" s="235"/>
      <c r="K1125" s="46"/>
      <c r="L1125" s="47"/>
      <c r="M1125" s="335"/>
    </row>
    <row r="1126" spans="1:13" x14ac:dyDescent="0.3">
      <c r="A1126" s="55"/>
      <c r="I1126" s="235"/>
      <c r="J1126" s="235"/>
      <c r="K1126" s="46"/>
      <c r="L1126" s="47"/>
      <c r="M1126" s="335"/>
    </row>
    <row r="1127" spans="1:13" x14ac:dyDescent="0.3">
      <c r="A1127" s="55"/>
      <c r="I1127" s="235"/>
      <c r="J1127" s="235"/>
      <c r="K1127" s="46"/>
      <c r="L1127" s="47"/>
      <c r="M1127" s="335"/>
    </row>
    <row r="1128" spans="1:13" x14ac:dyDescent="0.3">
      <c r="A1128" s="55"/>
      <c r="I1128" s="235"/>
      <c r="J1128" s="235"/>
      <c r="K1128" s="46"/>
      <c r="L1128" s="47"/>
      <c r="M1128" s="335"/>
    </row>
    <row r="1129" spans="1:13" x14ac:dyDescent="0.3">
      <c r="A1129" s="55"/>
      <c r="I1129" s="235"/>
      <c r="J1129" s="235"/>
      <c r="K1129" s="46"/>
      <c r="L1129" s="47"/>
      <c r="M1129" s="335"/>
    </row>
    <row r="1130" spans="1:13" x14ac:dyDescent="0.3">
      <c r="A1130" s="55"/>
      <c r="I1130" s="235"/>
      <c r="J1130" s="235"/>
      <c r="K1130" s="46"/>
      <c r="L1130" s="47"/>
      <c r="M1130" s="335"/>
    </row>
    <row r="1131" spans="1:13" x14ac:dyDescent="0.3">
      <c r="A1131" s="55"/>
      <c r="I1131" s="235"/>
      <c r="J1131" s="235"/>
      <c r="K1131" s="46"/>
      <c r="L1131" s="47"/>
      <c r="M1131" s="335"/>
    </row>
    <row r="1132" spans="1:13" x14ac:dyDescent="0.3">
      <c r="A1132" s="55"/>
      <c r="I1132" s="235"/>
      <c r="J1132" s="235"/>
      <c r="K1132" s="46"/>
      <c r="L1132" s="47"/>
      <c r="M1132" s="335"/>
    </row>
    <row r="1133" spans="1:13" x14ac:dyDescent="0.3">
      <c r="A1133" s="55"/>
      <c r="I1133" s="235"/>
      <c r="J1133" s="235"/>
      <c r="K1133" s="46"/>
      <c r="L1133" s="47"/>
      <c r="M1133" s="335"/>
    </row>
    <row r="1134" spans="1:13" x14ac:dyDescent="0.3">
      <c r="A1134" s="55"/>
      <c r="I1134" s="235"/>
      <c r="J1134" s="235"/>
      <c r="K1134" s="46"/>
      <c r="L1134" s="47"/>
      <c r="M1134" s="335"/>
    </row>
    <row r="1135" spans="1:13" x14ac:dyDescent="0.3">
      <c r="A1135" s="55"/>
      <c r="I1135" s="235"/>
      <c r="J1135" s="235"/>
      <c r="K1135" s="46"/>
      <c r="L1135" s="47"/>
      <c r="M1135" s="335"/>
    </row>
    <row r="1136" spans="1:13" x14ac:dyDescent="0.3">
      <c r="A1136" s="55"/>
      <c r="I1136" s="235"/>
      <c r="J1136" s="235"/>
      <c r="K1136" s="46"/>
      <c r="L1136" s="47"/>
      <c r="M1136" s="335"/>
    </row>
    <row r="1137" spans="1:13" x14ac:dyDescent="0.3">
      <c r="A1137" s="55"/>
      <c r="I1137" s="235"/>
      <c r="J1137" s="235"/>
      <c r="K1137" s="46"/>
      <c r="L1137" s="47"/>
      <c r="M1137" s="335"/>
    </row>
    <row r="1138" spans="1:13" x14ac:dyDescent="0.3">
      <c r="A1138" s="55"/>
      <c r="I1138" s="235"/>
      <c r="J1138" s="235"/>
      <c r="K1138" s="46"/>
      <c r="L1138" s="47"/>
      <c r="M1138" s="335"/>
    </row>
    <row r="1139" spans="1:13" x14ac:dyDescent="0.3">
      <c r="A1139" s="55"/>
      <c r="I1139" s="235"/>
      <c r="J1139" s="235"/>
      <c r="K1139" s="46"/>
      <c r="L1139" s="47"/>
      <c r="M1139" s="335"/>
    </row>
    <row r="1140" spans="1:13" x14ac:dyDescent="0.3">
      <c r="A1140" s="55"/>
      <c r="I1140" s="235"/>
      <c r="J1140" s="235"/>
      <c r="K1140" s="46"/>
      <c r="L1140" s="47"/>
      <c r="M1140" s="335"/>
    </row>
    <row r="1141" spans="1:13" x14ac:dyDescent="0.3">
      <c r="A1141" s="55"/>
      <c r="I1141" s="235"/>
      <c r="J1141" s="235"/>
      <c r="K1141" s="46"/>
      <c r="L1141" s="47"/>
      <c r="M1141" s="335"/>
    </row>
    <row r="1142" spans="1:13" x14ac:dyDescent="0.3">
      <c r="A1142" s="55"/>
      <c r="I1142" s="235"/>
      <c r="J1142" s="235"/>
      <c r="K1142" s="46"/>
      <c r="L1142" s="47"/>
      <c r="M1142" s="335"/>
    </row>
    <row r="1143" spans="1:13" x14ac:dyDescent="0.3">
      <c r="A1143" s="55"/>
      <c r="I1143" s="235"/>
      <c r="J1143" s="235"/>
      <c r="K1143" s="46"/>
      <c r="L1143" s="47"/>
      <c r="M1143" s="335"/>
    </row>
    <row r="1144" spans="1:13" x14ac:dyDescent="0.3">
      <c r="A1144" s="55"/>
      <c r="I1144" s="235"/>
      <c r="J1144" s="235"/>
      <c r="K1144" s="46"/>
      <c r="L1144" s="47"/>
      <c r="M1144" s="335"/>
    </row>
    <row r="1145" spans="1:13" x14ac:dyDescent="0.3">
      <c r="A1145" s="55"/>
      <c r="I1145" s="235"/>
      <c r="J1145" s="235"/>
      <c r="K1145" s="46"/>
      <c r="L1145" s="47"/>
      <c r="M1145" s="335"/>
    </row>
    <row r="1146" spans="1:13" x14ac:dyDescent="0.3">
      <c r="A1146" s="55"/>
      <c r="I1146" s="235"/>
      <c r="J1146" s="235"/>
      <c r="K1146" s="46"/>
      <c r="L1146" s="47"/>
      <c r="M1146" s="335"/>
    </row>
    <row r="1147" spans="1:13" x14ac:dyDescent="0.3">
      <c r="A1147" s="55"/>
      <c r="I1147" s="235"/>
      <c r="J1147" s="235"/>
      <c r="K1147" s="46"/>
      <c r="L1147" s="47"/>
      <c r="M1147" s="335"/>
    </row>
    <row r="1148" spans="1:13" x14ac:dyDescent="0.3">
      <c r="A1148" s="55"/>
      <c r="I1148" s="235"/>
      <c r="J1148" s="235"/>
      <c r="K1148" s="46"/>
      <c r="L1148" s="47"/>
      <c r="M1148" s="335"/>
    </row>
    <row r="1149" spans="1:13" x14ac:dyDescent="0.3">
      <c r="A1149" s="55"/>
      <c r="I1149" s="235"/>
      <c r="J1149" s="235"/>
      <c r="K1149" s="46"/>
      <c r="L1149" s="47"/>
      <c r="M1149" s="335"/>
    </row>
    <row r="1150" spans="1:13" x14ac:dyDescent="0.3">
      <c r="A1150" s="55"/>
      <c r="I1150" s="235"/>
      <c r="J1150" s="235"/>
      <c r="K1150" s="46"/>
      <c r="L1150" s="47"/>
      <c r="M1150" s="335"/>
    </row>
    <row r="1151" spans="1:13" x14ac:dyDescent="0.3">
      <c r="A1151" s="55"/>
      <c r="I1151" s="235"/>
      <c r="J1151" s="235"/>
      <c r="K1151" s="46"/>
      <c r="L1151" s="47"/>
      <c r="M1151" s="335"/>
    </row>
    <row r="1152" spans="1:13" x14ac:dyDescent="0.3">
      <c r="A1152" s="55"/>
      <c r="I1152" s="235"/>
      <c r="J1152" s="235"/>
      <c r="K1152" s="46"/>
      <c r="L1152" s="47"/>
      <c r="M1152" s="335"/>
    </row>
    <row r="1153" spans="1:13" x14ac:dyDescent="0.3">
      <c r="A1153" s="55"/>
      <c r="I1153" s="235"/>
      <c r="J1153" s="235"/>
      <c r="K1153" s="46"/>
      <c r="L1153" s="47"/>
      <c r="M1153" s="335"/>
    </row>
    <row r="1154" spans="1:13" x14ac:dyDescent="0.3">
      <c r="A1154" s="55"/>
      <c r="I1154" s="235"/>
      <c r="J1154" s="235"/>
      <c r="K1154" s="46"/>
      <c r="L1154" s="47"/>
      <c r="M1154" s="335"/>
    </row>
    <row r="1155" spans="1:13" x14ac:dyDescent="0.3">
      <c r="A1155" s="55"/>
      <c r="K1155" s="46"/>
      <c r="L1155" s="47"/>
      <c r="M1155" s="335"/>
    </row>
    <row r="1156" spans="1:13" x14ac:dyDescent="0.3">
      <c r="A1156" s="55"/>
      <c r="K1156" s="46"/>
      <c r="L1156" s="47"/>
      <c r="M1156" s="335"/>
    </row>
    <row r="1157" spans="1:13" x14ac:dyDescent="0.3">
      <c r="A1157" s="55"/>
      <c r="K1157" s="46"/>
      <c r="L1157" s="47"/>
      <c r="M1157" s="335"/>
    </row>
    <row r="1158" spans="1:13" x14ac:dyDescent="0.3">
      <c r="A1158" s="55"/>
      <c r="K1158" s="46"/>
      <c r="L1158" s="47"/>
      <c r="M1158" s="335"/>
    </row>
    <row r="1159" spans="1:13" x14ac:dyDescent="0.3">
      <c r="A1159" s="55"/>
      <c r="K1159" s="46"/>
      <c r="L1159" s="47"/>
      <c r="M1159" s="335"/>
    </row>
    <row r="1160" spans="1:13" x14ac:dyDescent="0.3">
      <c r="A1160" s="55"/>
      <c r="K1160" s="46"/>
      <c r="L1160" s="47"/>
      <c r="M1160" s="335"/>
    </row>
    <row r="1161" spans="1:13" x14ac:dyDescent="0.3">
      <c r="A1161" s="55"/>
      <c r="K1161" s="46"/>
      <c r="L1161" s="47"/>
      <c r="M1161" s="335"/>
    </row>
    <row r="1162" spans="1:13" x14ac:dyDescent="0.3">
      <c r="A1162" s="55"/>
      <c r="K1162" s="46"/>
      <c r="L1162" s="47"/>
      <c r="M1162" s="335"/>
    </row>
    <row r="1163" spans="1:13" x14ac:dyDescent="0.3">
      <c r="A1163" s="55"/>
      <c r="K1163" s="46"/>
      <c r="L1163" s="47"/>
      <c r="M1163" s="335"/>
    </row>
    <row r="1164" spans="1:13" x14ac:dyDescent="0.3">
      <c r="A1164" s="55"/>
      <c r="K1164" s="46"/>
      <c r="L1164" s="47"/>
      <c r="M1164" s="335"/>
    </row>
    <row r="1165" spans="1:13" x14ac:dyDescent="0.3">
      <c r="A1165" s="55"/>
      <c r="K1165" s="46"/>
      <c r="L1165" s="47"/>
      <c r="M1165" s="335"/>
    </row>
    <row r="1166" spans="1:13" x14ac:dyDescent="0.3">
      <c r="A1166" s="55"/>
      <c r="K1166" s="46"/>
      <c r="L1166" s="47"/>
      <c r="M1166" s="335"/>
    </row>
    <row r="1167" spans="1:13" x14ac:dyDescent="0.3">
      <c r="A1167" s="55"/>
      <c r="K1167" s="46"/>
      <c r="L1167" s="47"/>
      <c r="M1167" s="335"/>
    </row>
    <row r="1168" spans="1:13" x14ac:dyDescent="0.3">
      <c r="A1168" s="55"/>
      <c r="K1168" s="46"/>
      <c r="L1168" s="47"/>
      <c r="M1168" s="335"/>
    </row>
    <row r="1169" spans="1:13" x14ac:dyDescent="0.3">
      <c r="A1169" s="55"/>
      <c r="K1169" s="46"/>
      <c r="L1169" s="47"/>
      <c r="M1169" s="335"/>
    </row>
    <row r="1170" spans="1:13" x14ac:dyDescent="0.3">
      <c r="A1170" s="55"/>
      <c r="K1170" s="46"/>
      <c r="L1170" s="47"/>
      <c r="M1170" s="335"/>
    </row>
    <row r="1171" spans="1:13" x14ac:dyDescent="0.3">
      <c r="A1171" s="55"/>
      <c r="K1171" s="46"/>
      <c r="L1171" s="47"/>
      <c r="M1171" s="335"/>
    </row>
    <row r="1172" spans="1:13" x14ac:dyDescent="0.3">
      <c r="A1172" s="55"/>
      <c r="K1172" s="46"/>
      <c r="L1172" s="47"/>
      <c r="M1172" s="335"/>
    </row>
    <row r="1173" spans="1:13" x14ac:dyDescent="0.3">
      <c r="A1173" s="55"/>
      <c r="K1173" s="46"/>
      <c r="L1173" s="47"/>
      <c r="M1173" s="335"/>
    </row>
    <row r="1174" spans="1:13" x14ac:dyDescent="0.3">
      <c r="A1174" s="55"/>
      <c r="K1174" s="46"/>
      <c r="L1174" s="47"/>
      <c r="M1174" s="335"/>
    </row>
    <row r="1175" spans="1:13" x14ac:dyDescent="0.3">
      <c r="A1175" s="55"/>
      <c r="K1175" s="46"/>
      <c r="L1175" s="47"/>
      <c r="M1175" s="335"/>
    </row>
    <row r="1176" spans="1:13" x14ac:dyDescent="0.3">
      <c r="A1176" s="55"/>
      <c r="K1176" s="46"/>
      <c r="L1176" s="47"/>
      <c r="M1176" s="335"/>
    </row>
    <row r="1177" spans="1:13" x14ac:dyDescent="0.3">
      <c r="A1177" s="55"/>
      <c r="K1177" s="46"/>
      <c r="L1177" s="47"/>
      <c r="M1177" s="335"/>
    </row>
    <row r="1178" spans="1:13" x14ac:dyDescent="0.3">
      <c r="A1178" s="55"/>
      <c r="K1178" s="46"/>
      <c r="L1178" s="47"/>
      <c r="M1178" s="335"/>
    </row>
    <row r="1179" spans="1:13" x14ac:dyDescent="0.3">
      <c r="A1179" s="55"/>
      <c r="K1179" s="46"/>
      <c r="L1179" s="47"/>
      <c r="M1179" s="335"/>
    </row>
    <row r="1180" spans="1:13" x14ac:dyDescent="0.3">
      <c r="A1180" s="55"/>
      <c r="K1180" s="46"/>
      <c r="L1180" s="47"/>
      <c r="M1180" s="335"/>
    </row>
    <row r="1181" spans="1:13" x14ac:dyDescent="0.3">
      <c r="A1181" s="55"/>
      <c r="K1181" s="46"/>
      <c r="L1181" s="47"/>
      <c r="M1181" s="335"/>
    </row>
    <row r="1182" spans="1:13" x14ac:dyDescent="0.3">
      <c r="A1182" s="55"/>
      <c r="K1182" s="46"/>
      <c r="L1182" s="47"/>
      <c r="M1182" s="335"/>
    </row>
    <row r="1183" spans="1:13" x14ac:dyDescent="0.3">
      <c r="A1183" s="55"/>
      <c r="K1183" s="46"/>
      <c r="L1183" s="47"/>
      <c r="M1183" s="335"/>
    </row>
    <row r="1184" spans="1:13" x14ac:dyDescent="0.3">
      <c r="A1184" s="55"/>
      <c r="K1184" s="46"/>
      <c r="L1184" s="47"/>
      <c r="M1184" s="335"/>
    </row>
    <row r="1185" spans="1:13" x14ac:dyDescent="0.3">
      <c r="A1185" s="55"/>
      <c r="K1185" s="46"/>
      <c r="L1185" s="47"/>
      <c r="M1185" s="335"/>
    </row>
    <row r="1186" spans="1:13" x14ac:dyDescent="0.3">
      <c r="A1186" s="55"/>
      <c r="K1186" s="46"/>
      <c r="L1186" s="47"/>
      <c r="M1186" s="335"/>
    </row>
    <row r="1187" spans="1:13" x14ac:dyDescent="0.3">
      <c r="A1187" s="55"/>
      <c r="K1187" s="46"/>
      <c r="L1187" s="47"/>
      <c r="M1187" s="335"/>
    </row>
    <row r="1188" spans="1:13" x14ac:dyDescent="0.3">
      <c r="A1188" s="55"/>
      <c r="K1188" s="46"/>
      <c r="L1188" s="47"/>
      <c r="M1188" s="335"/>
    </row>
    <row r="1189" spans="1:13" x14ac:dyDescent="0.3">
      <c r="A1189" s="55"/>
      <c r="K1189" s="46"/>
      <c r="L1189" s="47"/>
      <c r="M1189" s="335"/>
    </row>
    <row r="1190" spans="1:13" x14ac:dyDescent="0.3">
      <c r="A1190" s="55"/>
      <c r="K1190" s="46"/>
      <c r="L1190" s="47"/>
      <c r="M1190" s="335"/>
    </row>
    <row r="1191" spans="1:13" x14ac:dyDescent="0.3">
      <c r="A1191" s="55"/>
      <c r="K1191" s="46"/>
      <c r="L1191" s="47"/>
      <c r="M1191" s="335"/>
    </row>
    <row r="1192" spans="1:13" x14ac:dyDescent="0.3">
      <c r="A1192" s="55"/>
      <c r="K1192" s="46"/>
      <c r="L1192" s="47"/>
      <c r="M1192" s="335"/>
    </row>
    <row r="1193" spans="1:13" x14ac:dyDescent="0.3">
      <c r="A1193" s="55"/>
      <c r="K1193" s="46"/>
      <c r="L1193" s="47"/>
      <c r="M1193" s="335"/>
    </row>
    <row r="1194" spans="1:13" x14ac:dyDescent="0.3">
      <c r="A1194" s="55"/>
      <c r="K1194" s="46"/>
      <c r="L1194" s="47"/>
      <c r="M1194" s="335"/>
    </row>
    <row r="1195" spans="1:13" x14ac:dyDescent="0.3">
      <c r="A1195" s="55"/>
      <c r="K1195" s="46"/>
      <c r="L1195" s="47"/>
      <c r="M1195" s="335"/>
    </row>
    <row r="1196" spans="1:13" x14ac:dyDescent="0.3">
      <c r="A1196" s="55"/>
      <c r="K1196" s="46"/>
      <c r="L1196" s="47"/>
      <c r="M1196" s="335"/>
    </row>
    <row r="1197" spans="1:13" x14ac:dyDescent="0.3">
      <c r="A1197" s="55"/>
      <c r="K1197" s="46"/>
      <c r="L1197" s="47"/>
      <c r="M1197" s="335"/>
    </row>
    <row r="1198" spans="1:13" x14ac:dyDescent="0.3">
      <c r="A1198" s="55"/>
      <c r="K1198" s="46"/>
      <c r="L1198" s="47"/>
      <c r="M1198" s="335"/>
    </row>
    <row r="1199" spans="1:13" x14ac:dyDescent="0.3">
      <c r="A1199" s="55"/>
      <c r="K1199" s="46"/>
      <c r="L1199" s="47"/>
      <c r="M1199" s="335"/>
    </row>
    <row r="1200" spans="1:13" x14ac:dyDescent="0.3">
      <c r="A1200" s="55"/>
      <c r="K1200" s="46"/>
      <c r="L1200" s="47"/>
      <c r="M1200" s="335"/>
    </row>
    <row r="1201" spans="1:13" x14ac:dyDescent="0.3">
      <c r="A1201" s="55"/>
      <c r="K1201" s="46"/>
      <c r="L1201" s="47"/>
      <c r="M1201" s="335"/>
    </row>
    <row r="1202" spans="1:13" x14ac:dyDescent="0.3">
      <c r="A1202" s="55"/>
      <c r="K1202" s="46"/>
      <c r="L1202" s="47"/>
      <c r="M1202" s="335"/>
    </row>
    <row r="1203" spans="1:13" x14ac:dyDescent="0.3">
      <c r="A1203" s="55"/>
      <c r="K1203" s="46"/>
      <c r="L1203" s="47"/>
      <c r="M1203" s="335"/>
    </row>
    <row r="1204" spans="1:13" x14ac:dyDescent="0.3">
      <c r="A1204" s="55"/>
      <c r="K1204" s="46"/>
      <c r="L1204" s="47"/>
      <c r="M1204" s="335"/>
    </row>
    <row r="1205" spans="1:13" x14ac:dyDescent="0.3">
      <c r="A1205" s="55"/>
      <c r="K1205" s="46"/>
      <c r="L1205" s="47"/>
      <c r="M1205" s="335"/>
    </row>
    <row r="1206" spans="1:13" x14ac:dyDescent="0.3">
      <c r="A1206" s="55"/>
      <c r="K1206" s="46"/>
      <c r="L1206" s="47"/>
      <c r="M1206" s="335"/>
    </row>
    <row r="1207" spans="1:13" x14ac:dyDescent="0.3">
      <c r="A1207" s="55"/>
      <c r="K1207" s="46"/>
      <c r="L1207" s="47"/>
      <c r="M1207" s="335"/>
    </row>
    <row r="1208" spans="1:13" x14ac:dyDescent="0.3">
      <c r="A1208" s="55"/>
      <c r="K1208" s="46"/>
      <c r="L1208" s="47"/>
      <c r="M1208" s="335"/>
    </row>
    <row r="1209" spans="1:13" x14ac:dyDescent="0.3">
      <c r="A1209" s="55"/>
      <c r="K1209" s="46"/>
      <c r="L1209" s="47"/>
      <c r="M1209" s="335"/>
    </row>
    <row r="1210" spans="1:13" x14ac:dyDescent="0.3">
      <c r="A1210" s="55"/>
      <c r="K1210" s="50"/>
      <c r="L1210" s="64"/>
      <c r="M1210" s="335"/>
    </row>
    <row r="1211" spans="1:13" x14ac:dyDescent="0.3">
      <c r="A1211" s="55"/>
      <c r="M1211" s="316"/>
    </row>
    <row r="1212" spans="1:13" x14ac:dyDescent="0.3">
      <c r="A1212" s="55"/>
      <c r="M1212" s="316"/>
    </row>
    <row r="1213" spans="1:13" x14ac:dyDescent="0.3">
      <c r="A1213" s="55"/>
      <c r="M1213" s="316"/>
    </row>
    <row r="1214" spans="1:13" x14ac:dyDescent="0.3">
      <c r="A1214" s="55"/>
      <c r="M1214" s="316"/>
    </row>
    <row r="1215" spans="1:13" x14ac:dyDescent="0.3">
      <c r="A1215" s="55"/>
      <c r="M1215" s="316"/>
    </row>
    <row r="1216" spans="1:13" x14ac:dyDescent="0.3">
      <c r="A1216" s="55"/>
      <c r="M1216" s="316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60" t="s">
        <v>122</v>
      </c>
      <c r="B1" s="360"/>
      <c r="C1" s="360"/>
      <c r="D1" s="360"/>
      <c r="E1" s="360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63" t="s">
        <v>124</v>
      </c>
      <c r="B1" s="363"/>
      <c r="C1" s="363"/>
      <c r="D1" s="363"/>
      <c r="E1" s="363"/>
      <c r="F1" s="363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217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61" t="s">
        <v>135</v>
      </c>
      <c r="B9" s="362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2021-10-09T20:33:07Z</dcterms:modified>
</cp:coreProperties>
</file>