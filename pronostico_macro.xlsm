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drawings/drawing12.xml" ContentType="application/vnd.openxmlformats-officedocument.drawing+xml"/>
  <Override PartName="/xl/ctrlProps/ctrlProp6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7" activeTab="7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ncaria" sheetId="15" r:id="rId8"/>
    <sheet name="Cuota nivelada bacaria 2" sheetId="17" r:id="rId9"/>
    <sheet name="Cuota nivelada sistema frances " sheetId="11" r:id="rId10"/>
    <sheet name="Cuota decreciente bancaria" sheetId="16" r:id="rId11"/>
    <sheet name="Cuota nivelada sistema aleman" sheetId="12" r:id="rId12"/>
    <sheet name="Metodo Promedio" sheetId="9" r:id="rId13"/>
    <sheet name="Calculo Tmar" sheetId="10" r:id="rId14"/>
    <sheet name="Graficas" sheetId="7" r:id="rId1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7" l="1"/>
  <c r="D7" i="17"/>
  <c r="D6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L12" i="17"/>
  <c r="K12" i="17"/>
  <c r="F12" i="17"/>
  <c r="E12" i="17"/>
  <c r="D12" i="17"/>
  <c r="B12" i="17"/>
  <c r="D5" i="17"/>
  <c r="D4" i="17"/>
  <c r="D8" i="15"/>
  <c r="D5" i="11"/>
  <c r="D4" i="11"/>
  <c r="D8" i="11"/>
  <c r="D7" i="11"/>
  <c r="D6" i="11"/>
  <c r="D7" i="15"/>
  <c r="D6" i="15"/>
  <c r="D5" i="15"/>
  <c r="K12" i="15"/>
  <c r="L12" i="15"/>
  <c r="L12" i="11"/>
  <c r="K12" i="11"/>
  <c r="G11" i="8" l="1"/>
  <c r="H11" i="8"/>
  <c r="I11" i="8"/>
  <c r="J11" i="8"/>
  <c r="K11" i="8" s="1"/>
  <c r="L11" i="8" s="1"/>
  <c r="M11" i="8" s="1"/>
  <c r="N11" i="8" s="1"/>
  <c r="F11" i="8"/>
  <c r="G10" i="8"/>
  <c r="H10" i="8" s="1"/>
  <c r="I10" i="8" s="1"/>
  <c r="J10" i="8" s="1"/>
  <c r="K10" i="8" s="1"/>
  <c r="L10" i="8" s="1"/>
  <c r="M10" i="8" s="1"/>
  <c r="N10" i="8" s="1"/>
  <c r="F10" i="8"/>
  <c r="AK9" i="8"/>
  <c r="E63" i="8"/>
  <c r="I2" i="8"/>
  <c r="E34" i="8"/>
  <c r="F17" i="8"/>
  <c r="G17" i="8"/>
  <c r="H17" i="8"/>
  <c r="I17" i="8"/>
  <c r="J17" i="8"/>
  <c r="K17" i="8"/>
  <c r="L17" i="8"/>
  <c r="M17" i="8"/>
  <c r="N17" i="8"/>
  <c r="E17" i="8"/>
  <c r="E16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E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F16" i="8"/>
  <c r="G16" i="8"/>
  <c r="H16" i="8"/>
  <c r="I16" i="8"/>
  <c r="J16" i="8"/>
  <c r="K16" i="8"/>
  <c r="L16" i="8"/>
  <c r="M16" i="8"/>
  <c r="N16" i="8"/>
  <c r="F12" i="8"/>
  <c r="G12" i="8"/>
  <c r="H12" i="8"/>
  <c r="I12" i="8"/>
  <c r="J12" i="8"/>
  <c r="K12" i="8"/>
  <c r="L12" i="8"/>
  <c r="M12" i="8"/>
  <c r="N12" i="8"/>
  <c r="E12" i="8"/>
  <c r="E9" i="8"/>
  <c r="D3" i="9"/>
  <c r="E43" i="8" l="1"/>
  <c r="O47" i="8"/>
  <c r="P47" i="8"/>
  <c r="Q47" i="8"/>
  <c r="R47" i="8"/>
  <c r="S47" i="8"/>
  <c r="T47" i="8"/>
  <c r="U47" i="8"/>
  <c r="E62" i="8" l="1"/>
  <c r="F13" i="8"/>
  <c r="G13" i="8"/>
  <c r="H13" i="8"/>
  <c r="I13" i="8"/>
  <c r="J13" i="8"/>
  <c r="K13" i="8"/>
  <c r="L13" i="8"/>
  <c r="M13" i="8"/>
  <c r="N13" i="8"/>
  <c r="E13" i="8"/>
  <c r="F14" i="8"/>
  <c r="G14" i="8"/>
  <c r="H14" i="8"/>
  <c r="I14" i="8"/>
  <c r="J14" i="8"/>
  <c r="K14" i="8"/>
  <c r="L14" i="8"/>
  <c r="M14" i="8"/>
  <c r="N14" i="8"/>
  <c r="E14" i="8"/>
  <c r="F34" i="8" l="1"/>
  <c r="D4" i="1"/>
  <c r="F43" i="8" l="1"/>
  <c r="F63" i="8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43" i="8" l="1"/>
  <c r="G63" i="8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D52" i="8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43" i="8" l="1"/>
  <c r="H63" i="8"/>
  <c r="I34" i="8"/>
  <c r="E56" i="8"/>
  <c r="I43" i="8" l="1"/>
  <c r="I63" i="8"/>
  <c r="J34" i="8"/>
  <c r="O57" i="8"/>
  <c r="P57" i="8"/>
  <c r="Q57" i="8"/>
  <c r="R57" i="8"/>
  <c r="S57" i="8"/>
  <c r="T57" i="8"/>
  <c r="U57" i="8"/>
  <c r="D57" i="8"/>
  <c r="D59" i="8" s="1"/>
  <c r="E58" i="8" s="1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43" i="8" l="1"/>
  <c r="J63" i="8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43" i="8" l="1"/>
  <c r="K63" i="8"/>
  <c r="L34" i="8"/>
  <c r="E64" i="8"/>
  <c r="D6" i="16"/>
  <c r="D5" i="16"/>
  <c r="F11" i="16"/>
  <c r="D8" i="16"/>
  <c r="D7" i="16"/>
  <c r="D4" i="16" s="1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F12" i="15"/>
  <c r="E12" i="15"/>
  <c r="D12" i="15"/>
  <c r="B12" i="15"/>
  <c r="D4" i="15"/>
  <c r="D6" i="12"/>
  <c r="L43" i="8" l="1"/>
  <c r="L63" i="8"/>
  <c r="E65" i="8"/>
  <c r="E66" i="8" s="1"/>
  <c r="E67" i="8" s="1"/>
  <c r="E47" i="8" s="1"/>
  <c r="M34" i="8"/>
  <c r="D8" i="12"/>
  <c r="M43" i="8" l="1"/>
  <c r="M63" i="8"/>
  <c r="N34" i="8"/>
  <c r="D7" i="12"/>
  <c r="D4" i="12" s="1"/>
  <c r="D5" i="12"/>
  <c r="N43" i="8" l="1"/>
  <c r="N63" i="8"/>
  <c r="G24" i="11" l="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H9" i="8"/>
  <c r="I9" i="8"/>
  <c r="J9" i="8"/>
  <c r="K9" i="8"/>
  <c r="L9" i="8"/>
  <c r="M9" i="8"/>
  <c r="N9" i="8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E8" i="10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E57" i="8" l="1"/>
  <c r="E59" i="8" s="1"/>
  <c r="F58" i="8" s="1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F8" i="10"/>
  <c r="K2" i="8" s="1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F57" i="8"/>
  <c r="J57" i="8"/>
  <c r="M57" i="8"/>
  <c r="I57" i="8"/>
  <c r="L57" i="8"/>
  <c r="E6" i="9"/>
  <c r="E3" i="9"/>
  <c r="E5" i="9"/>
  <c r="E17" i="6"/>
  <c r="E46" i="8" l="1"/>
  <c r="E49" i="8" s="1"/>
  <c r="E51" i="8" s="1"/>
  <c r="E52" i="8" s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H8" i="3" l="1"/>
  <c r="F46" i="8"/>
  <c r="F49" i="8" s="1"/>
  <c r="F51" i="8" s="1"/>
  <c r="F52" i="8" s="1"/>
  <c r="G2" i="8" s="1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G46" i="8" l="1"/>
  <c r="G49" i="8" s="1"/>
  <c r="G51" i="8" s="1"/>
  <c r="G52" i="8" s="1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H46" i="8" l="1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N58" i="8"/>
  <c r="N59" i="8" s="1"/>
  <c r="B28" i="5" a="1"/>
  <c r="B29" i="5" s="1"/>
  <c r="N46" i="8" l="1"/>
  <c r="N49" i="8" s="1"/>
  <c r="N51" i="8" s="1"/>
  <c r="N52" i="8" s="1"/>
  <c r="F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O46" i="8" l="1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F23" i="6"/>
  <c r="J23" i="6"/>
  <c r="L23" i="6"/>
  <c r="K23" i="6"/>
  <c r="I23" i="6"/>
  <c r="H23" i="6"/>
  <c r="G23" i="6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s="1"/>
  <c r="O6" i="6" l="1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<sst xmlns="http://schemas.openxmlformats.org/spreadsheetml/2006/main" count="444" uniqueCount="213">
  <si>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</si>
  <si>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</si>
  <si>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</si>
  <si>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</si>
  <si>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</si>
  <si>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</si>
  <si>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</si>
  <si>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</si>
  <si>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</si>
  <si>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</si>
  <si>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</si>
  <si>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</si>
  <si>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</si>
  <si>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</si>
  <si>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</si>
  <si>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</si>
  <si>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</si>
  <si>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</si>
  <si>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</si>
  <si>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</si>
  <si>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</si>
  <si>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</si>
  <si>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</si>
  <si>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</si>
  <si>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</si>
  <si>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</si>
  <si>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</si>
  <si>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</si>
  <si>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</si>
  <si>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</si>
  <si>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</si>
  <si>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</si>
  <si>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</si>
  <si>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</si>
  <si>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</si>
  <si>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</si>
  <si>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</si>
  <si>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</si>
  <si>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</si>
  <si>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</si>
  <si>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</si>
  <si>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</si>
  <si>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</si>
  <si>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</si>
  <si>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</si>
  <si>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</si>
  <si>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</si>
  <si>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</si>
  <si>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</si>
  <si>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</si>
  <si>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</si>
  <si>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</si>
  <si>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</si>
  <si>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</si>
  <si>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</si>
  <si>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</si>
  <si>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</si>
  <si>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</si>
  <si>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</si>
  <si>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</si>
  <si>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</si>
  <si>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</si>
  <si>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</si>
  <si>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</si>
  <si>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</si>
  <si>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</si>
  <si>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</si>
  <si>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</si>
  <si>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</si>
  <si>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</si>
  <si>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</si>
  <si>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</si>
  <si>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</si>
  <si>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</si>
  <si>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</si>
  <si>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</si>
  <si>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</si>
  <si>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</si>
  <si>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</si>
  <si>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</si>
  <si>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</si>
  <si>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</si>
  <si>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</si>
  <si>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</si>
  <si>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</si>
  <si>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</si>
  <si>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</si>
  <si>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</si>
  <si>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</si>
  <si>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</si>
  <si>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</si>
  <si>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</si>
  <si>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</si>
  <si>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</si>
  <si>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</si>
  <si>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</si>
  <si>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</si>
  <si>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</si>
  <si>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</si>
  <si>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</si>
  <si>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</si>
  <si>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</si>
  <si>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</si>
  <si>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</si>
  <si>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</si>
  <si>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</si>
  <si>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</si>
  <si>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</si>
  <si>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</si>
  <si>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</si>
  <si>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</si>
  <si>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</si>
  <si>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</si>
  <si>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</si>
  <si>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</si>
  <si>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</si>
  <si>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</si>
  <si>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</si>
  <si>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</si>
  <si>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</si>
  <si>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</si>
  <si>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</si>
  <si>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</si>
  <si>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</si>
  <si>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</si>
  <si>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</si>
  <si>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</si>
  <si>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</si>
  <si>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</si>
  <si>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</si>
  <si>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</si>
  <si>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</si>
  <si>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</si>
  <si>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</si>
  <si>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</si>
  <si>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</si>
  <si>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</si>
  <si>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</si>
  <si>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</si>
  <si>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</si>
  <si>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</si>
  <si>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</si>
  <si>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</si>
  <si>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</si>
  <si>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</si>
  <si>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</si>
  <si>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</si>
  <si>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</si>
  <si>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</si>
  <si>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</si>
  <si>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</si>
  <si>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</si>
  <si>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</si>
  <si>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</si>
  <si>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</si>
  <si>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</si>
  <si>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</si>
  <si>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</si>
  <si>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</si>
  <si>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</si>
  <si>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</si>
  <si>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</si>
  <si>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</si>
  <si>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 xml:space="preserve">Cuota Nivelada  Bancaria  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</si>
  <si>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</si>
  <si>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</si>
  <si>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</si>
  <si>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</si>
  <si>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</si>
  <si>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</si>
  <si>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</si>
  <si>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</si>
  <si>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</si>
  <si>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</si>
  <si>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</si>
  <si>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</si>
  <si>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</si>
  <si>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</si>
  <si>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</si>
  <si>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</si>
  <si>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</si>
  <si>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</si>
  <si>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</si>
  <si>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</si>
  <si>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</si>
  <si>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</si>
  <si>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</si>
  <si>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</si>
  <si>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</si>
  <si>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</si>
  <si>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</si>
  <si>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</si>
  <si>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</si>
  <si>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</si>
  <si>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</si>
  <si>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</si>
  <si>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</si>
  <si>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</si>
  <si>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</si>
  <si>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TELEFONO</t>
  </si>
  <si>
    <t>VEHICULOS</t>
  </si>
  <si>
    <t>Agua y Luz</t>
  </si>
  <si>
    <t>Vida util</t>
  </si>
  <si>
    <t>Mobiliario y equipo</t>
  </si>
  <si>
    <t>EQUIPO DE COMPUTO</t>
  </si>
  <si>
    <t>HERRAMIENTAS</t>
  </si>
  <si>
    <t>GTS INSTALACION</t>
  </si>
  <si>
    <t>GTS ORGANIZACIÓN</t>
  </si>
  <si>
    <t>GTS DE ADMINISTRACION</t>
  </si>
  <si>
    <t xml:space="preserve">ACCESORIOS Y UTILES </t>
  </si>
  <si>
    <t xml:space="preserve">PUBLICIDAD </t>
  </si>
  <si>
    <t>Capital</t>
  </si>
  <si>
    <t>Cuota Nivelada Bancaria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</si>
</sst>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8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3" borderId="10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0" fontId="2" fillId="9" borderId="3" xfId="0" applyFont="1" applyFill="1" applyBorder="1" applyAlignment="1"/>
    <xf numFmtId="0" fontId="2" fillId="9" borderId="2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44" fontId="0" fillId="3" borderId="6" xfId="0" applyNumberFormat="1" applyFill="1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4" xfId="2" applyFont="1" applyFill="1" applyBorder="1"/>
    <xf numFmtId="44" fontId="0" fillId="3" borderId="9" xfId="2" applyFont="1" applyFill="1" applyBorder="1"/>
    <xf numFmtId="44" fontId="0" fillId="3" borderId="16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32"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2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12296"/>
        <c:axId val="380217392"/>
      </c:scatterChart>
      <c:valAx>
        <c:axId val="380212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7392"/>
        <c:crosses val="autoZero"/>
        <c:crossBetween val="midCat"/>
      </c:valAx>
      <c:valAx>
        <c:axId val="38021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18960"/>
        <c:axId val="380222488"/>
      </c:scatterChart>
      <c:valAx>
        <c:axId val="38021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2488"/>
        <c:crosses val="autoZero"/>
        <c:crossBetween val="midCat"/>
      </c:valAx>
      <c:valAx>
        <c:axId val="38022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17784"/>
        <c:axId val="380212688"/>
      </c:scatterChart>
      <c:valAx>
        <c:axId val="38021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2688"/>
        <c:crosses val="autoZero"/>
        <c:crossBetween val="midCat"/>
      </c:valAx>
      <c:valAx>
        <c:axId val="38021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19744"/>
        <c:axId val="380220136"/>
      </c:scatterChart>
      <c:valAx>
        <c:axId val="38021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0136"/>
        <c:crosses val="autoZero"/>
        <c:crossBetween val="midCat"/>
      </c:valAx>
      <c:valAx>
        <c:axId val="38022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13080"/>
        <c:axId val="380218568"/>
      </c:scatterChart>
      <c:valAx>
        <c:axId val="38021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8568"/>
        <c:crosses val="autoZero"/>
        <c:crossBetween val="midCat"/>
      </c:valAx>
      <c:valAx>
        <c:axId val="38021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3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11120"/>
        <c:axId val="380211512"/>
      </c:scatterChart>
      <c:valAx>
        <c:axId val="38021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1512"/>
        <c:crosses val="autoZero"/>
        <c:crossBetween val="midCat"/>
      </c:valAx>
      <c:valAx>
        <c:axId val="38021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1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24840"/>
        <c:axId val="380226016"/>
      </c:scatterChart>
      <c:valAx>
        <c:axId val="38022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6016"/>
        <c:crosses val="autoZero"/>
        <c:crossBetween val="midCat"/>
      </c:valAx>
      <c:valAx>
        <c:axId val="3802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25624"/>
        <c:axId val="380223664"/>
      </c:scatterChart>
      <c:valAx>
        <c:axId val="38022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3664"/>
        <c:crosses val="autoZero"/>
        <c:crossBetween val="midCat"/>
      </c:valAx>
      <c:valAx>
        <c:axId val="38022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5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25232"/>
        <c:axId val="380226408"/>
      </c:scatterChart>
      <c:valAx>
        <c:axId val="38022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6408"/>
        <c:crosses val="autoZero"/>
        <c:crossBetween val="midCat"/>
      </c:valAx>
      <c:valAx>
        <c:axId val="38022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8022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07584"/>
        <c:axId val="477307976"/>
      </c:scatterChart>
      <c:valAx>
        <c:axId val="47730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7307976"/>
        <c:crosses val="autoZero"/>
        <c:crossBetween val="midCat"/>
      </c:valAx>
      <c:valAx>
        <c:axId val="47730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7730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pronistico </a:t>
          </a:r>
          <a:endParaRPr lang="en-US" sz="11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10.583333333333334</v>
      </c>
      <c r="I4" s="6">
        <f>(D4-H4)^2</f>
        <v>0.34027777777777846</v>
      </c>
      <c r="J4" s="6">
        <f>COUNTIF(C4:C18,"&gt;0")</f>
        <v>8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11.738095238095237</v>
      </c>
      <c r="I5" s="9">
        <f t="shared" ref="I5:I18" si="4">(D5-H5)^2</f>
        <v>6.8594104308390469E-2</v>
      </c>
      <c r="J5" s="9"/>
    </row>
    <row r="6" spans="3:12" x14ac:dyDescent="0.3">
      <c r="C6" s="8">
        <f>Pronosticos!J5</f>
        <v>3</v>
      </c>
      <c r="D6" s="9">
        <f>Pronosticos!K5</f>
        <v>13</v>
      </c>
      <c r="E6" s="10">
        <f t="shared" si="0"/>
        <v>39</v>
      </c>
      <c r="F6" s="10">
        <f t="shared" si="1"/>
        <v>9</v>
      </c>
      <c r="G6" s="10">
        <f t="shared" si="2"/>
        <v>169</v>
      </c>
      <c r="H6" s="10">
        <f t="shared" si="3"/>
        <v>12.892857142857142</v>
      </c>
      <c r="I6" s="9">
        <f t="shared" si="4"/>
        <v>1.1479591836734802E-2</v>
      </c>
      <c r="J6" s="9"/>
    </row>
    <row r="7" spans="3:12" x14ac:dyDescent="0.3">
      <c r="C7" s="8">
        <f>Pronosticos!J6</f>
        <v>4</v>
      </c>
      <c r="D7" s="9">
        <f>Pronosticos!K6</f>
        <v>15</v>
      </c>
      <c r="E7" s="10">
        <f t="shared" si="0"/>
        <v>60</v>
      </c>
      <c r="F7" s="10">
        <f t="shared" si="1"/>
        <v>16</v>
      </c>
      <c r="G7" s="10">
        <f t="shared" si="2"/>
        <v>225</v>
      </c>
      <c r="H7" s="10">
        <f t="shared" si="3"/>
        <v>14.047619047619047</v>
      </c>
      <c r="I7" s="9">
        <f t="shared" si="4"/>
        <v>0.90702947845805015</v>
      </c>
      <c r="J7" s="9"/>
    </row>
    <row r="8" spans="3:12" x14ac:dyDescent="0.3">
      <c r="C8" s="8">
        <f>Pronosticos!J7</f>
        <v>5</v>
      </c>
      <c r="D8" s="9">
        <f>Pronosticos!K7</f>
        <v>15</v>
      </c>
      <c r="E8" s="10">
        <f t="shared" si="0"/>
        <v>75</v>
      </c>
      <c r="F8" s="10">
        <f t="shared" si="1"/>
        <v>25</v>
      </c>
      <c r="G8" s="10">
        <f t="shared" si="2"/>
        <v>225</v>
      </c>
      <c r="H8" s="10">
        <f t="shared" si="3"/>
        <v>15.202380952380953</v>
      </c>
      <c r="I8" s="9">
        <f t="shared" si="4"/>
        <v>4.0958049886621384E-2</v>
      </c>
      <c r="J8" s="9"/>
    </row>
    <row r="9" spans="3:12" x14ac:dyDescent="0.3">
      <c r="C9" s="8">
        <f>Pronosticos!J8</f>
        <v>6</v>
      </c>
      <c r="D9" s="9">
        <f>Pronosticos!K8</f>
        <v>16</v>
      </c>
      <c r="E9" s="10">
        <f t="shared" si="0"/>
        <v>96</v>
      </c>
      <c r="F9" s="10">
        <f t="shared" si="1"/>
        <v>36</v>
      </c>
      <c r="G9" s="10">
        <f t="shared" si="2"/>
        <v>256</v>
      </c>
      <c r="H9" s="10">
        <f t="shared" si="3"/>
        <v>16.357142857142858</v>
      </c>
      <c r="I9" s="9">
        <f t="shared" si="4"/>
        <v>0.12755102040816363</v>
      </c>
      <c r="J9" s="9"/>
    </row>
    <row r="10" spans="3:12" x14ac:dyDescent="0.3">
      <c r="C10" s="8">
        <f>Pronosticos!J9</f>
        <v>7</v>
      </c>
      <c r="D10" s="9">
        <f>Pronosticos!K9</f>
        <v>17</v>
      </c>
      <c r="E10" s="10">
        <f t="shared" si="0"/>
        <v>119</v>
      </c>
      <c r="F10" s="10">
        <f t="shared" si="1"/>
        <v>49</v>
      </c>
      <c r="G10" s="10">
        <f t="shared" si="2"/>
        <v>289</v>
      </c>
      <c r="H10" s="10">
        <f t="shared" si="3"/>
        <v>17.511904761904759</v>
      </c>
      <c r="I10" s="9">
        <f t="shared" si="4"/>
        <v>0.26204648526076818</v>
      </c>
      <c r="J10" s="9"/>
    </row>
    <row r="11" spans="3:12" x14ac:dyDescent="0.3">
      <c r="C11" s="8">
        <f>Pronosticos!J10</f>
        <v>8</v>
      </c>
      <c r="D11" s="9">
        <f>Pronosticos!K10</f>
        <v>19</v>
      </c>
      <c r="E11" s="10">
        <f t="shared" si="0"/>
        <v>152</v>
      </c>
      <c r="F11" s="10">
        <f t="shared" si="1"/>
        <v>64</v>
      </c>
      <c r="G11" s="10">
        <f>D11^2</f>
        <v>361</v>
      </c>
      <c r="H11" s="10">
        <f t="shared" si="3"/>
        <v>18.666666666666664</v>
      </c>
      <c r="I11" s="9">
        <f t="shared" si="4"/>
        <v>0.11111111111111269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36</v>
      </c>
      <c r="D19" s="13">
        <f t="shared" si="5"/>
        <v>117</v>
      </c>
      <c r="E19" s="81">
        <f t="shared" si="5"/>
        <v>575</v>
      </c>
      <c r="F19" s="90">
        <f t="shared" si="5"/>
        <v>204</v>
      </c>
      <c r="G19" s="90">
        <f t="shared" si="5"/>
        <v>1769</v>
      </c>
      <c r="H19" s="90">
        <f t="shared" si="5"/>
        <v>117</v>
      </c>
      <c r="I19" s="82">
        <f t="shared" si="5"/>
        <v>1.8690476190476197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0.55812896046338312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117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36</v>
      </c>
      <c r="K26" s="8">
        <f>SUM(D4:D18)/$J$4</f>
        <v>14.625</v>
      </c>
      <c r="L26" s="23">
        <f>IF(D4&gt;0,(D4-$K$26)^2,0)</f>
        <v>21.390625</v>
      </c>
      <c r="M26" s="7">
        <f>(D4-H4)^2</f>
        <v>0.34027777777777846</v>
      </c>
      <c r="N26" s="23">
        <f>IF(H4&gt;0,(H4-$K$26)^2,0)</f>
        <v>16.335069444444439</v>
      </c>
    </row>
    <row r="27" spans="3:14" x14ac:dyDescent="0.3">
      <c r="C27" s="25" t="s">
        <v>20</v>
      </c>
      <c r="D27" s="26">
        <f>F19</f>
        <v>204</v>
      </c>
      <c r="K27" s="8"/>
      <c r="L27" s="26">
        <f t="shared" ref="L27:L40" si="6">IF(D5&gt;0,(D5-$K$26)^2,0)</f>
        <v>6.890625</v>
      </c>
      <c r="M27" s="10">
        <f t="shared" ref="M27:M40" si="7">(D5-H5)^2</f>
        <v>6.8594104308390469E-2</v>
      </c>
      <c r="N27" s="26">
        <f t="shared" ref="N27:N40" si="8">IF(H5&gt;0,(H5-$K$26)^2,0)</f>
        <v>8.3342191043083957</v>
      </c>
    </row>
    <row r="28" spans="3:14" x14ac:dyDescent="0.3">
      <c r="C28" s="25" t="s">
        <v>21</v>
      </c>
      <c r="D28" s="26">
        <f>G19</f>
        <v>1769</v>
      </c>
      <c r="K28" s="8"/>
      <c r="L28" s="26">
        <f t="shared" si="6"/>
        <v>2.640625</v>
      </c>
      <c r="M28" s="10">
        <f t="shared" si="7"/>
        <v>1.1479591836734802E-2</v>
      </c>
      <c r="N28" s="26">
        <f t="shared" si="8"/>
        <v>3.0003188775510221</v>
      </c>
    </row>
    <row r="29" spans="3:14" x14ac:dyDescent="0.3">
      <c r="C29" s="25" t="s">
        <v>22</v>
      </c>
      <c r="D29" s="26">
        <f>E19</f>
        <v>575</v>
      </c>
      <c r="K29" s="8"/>
      <c r="L29" s="26">
        <f t="shared" si="6"/>
        <v>0.140625</v>
      </c>
      <c r="M29" s="10">
        <f t="shared" si="7"/>
        <v>0.90702947845805015</v>
      </c>
      <c r="N29" s="26">
        <f t="shared" si="8"/>
        <v>0.3333687641723358</v>
      </c>
    </row>
    <row r="30" spans="3:14" x14ac:dyDescent="0.3">
      <c r="C30" s="25" t="s">
        <v>8</v>
      </c>
      <c r="D30" s="26">
        <f>J4</f>
        <v>8</v>
      </c>
      <c r="K30" s="8"/>
      <c r="L30" s="26">
        <f t="shared" si="6"/>
        <v>0.140625</v>
      </c>
      <c r="M30" s="10">
        <f t="shared" si="7"/>
        <v>4.0958049886621384E-2</v>
      </c>
      <c r="N30" s="26">
        <f t="shared" si="8"/>
        <v>0.3333687641723358</v>
      </c>
    </row>
    <row r="31" spans="3:14" x14ac:dyDescent="0.3">
      <c r="C31" s="27" t="s">
        <v>23</v>
      </c>
      <c r="D31" s="26">
        <f>((D30*D29)-(D26*D25))/((D30*D27)-(D26^2))</f>
        <v>1.1547619047619047</v>
      </c>
      <c r="K31" s="8"/>
      <c r="L31" s="26">
        <f t="shared" si="6"/>
        <v>1.890625</v>
      </c>
      <c r="M31" s="10">
        <f t="shared" si="7"/>
        <v>0.12755102040816363</v>
      </c>
      <c r="N31" s="26">
        <f t="shared" si="8"/>
        <v>3.0003188775510221</v>
      </c>
    </row>
    <row r="32" spans="3:14" x14ac:dyDescent="0.3">
      <c r="C32" s="28" t="s">
        <v>24</v>
      </c>
      <c r="D32" s="29">
        <f>(D25/D30)-((D31)*(D26/D30))</f>
        <v>9.4285714285714288</v>
      </c>
      <c r="K32" s="8"/>
      <c r="L32" s="26">
        <f t="shared" si="6"/>
        <v>5.640625</v>
      </c>
      <c r="M32" s="10">
        <f t="shared" si="7"/>
        <v>0.26204648526076818</v>
      </c>
      <c r="N32" s="26">
        <f t="shared" si="8"/>
        <v>8.3342191043083744</v>
      </c>
    </row>
    <row r="33" spans="3:14" x14ac:dyDescent="0.3">
      <c r="K33" s="8"/>
      <c r="L33" s="26">
        <f t="shared" si="6"/>
        <v>19.140625</v>
      </c>
      <c r="M33" s="10">
        <f t="shared" si="7"/>
        <v>0.11111111111111269</v>
      </c>
      <c r="N33" s="26">
        <f t="shared" si="8"/>
        <v>16.335069444444425</v>
      </c>
    </row>
    <row r="34" spans="3:14" x14ac:dyDescent="0.3">
      <c r="C34" s="30" t="s">
        <v>25</v>
      </c>
      <c r="D34" s="31">
        <f>SQRT(D35)</f>
        <v>0.98372020448275843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0.96770544070760001</v>
      </c>
      <c r="E35" s="113">
        <f>D35</f>
        <v>0.96770544070760001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57.875</v>
      </c>
      <c r="M41" s="33">
        <f>SUM(M26:M40)</f>
        <v>1.8690476190476197</v>
      </c>
      <c r="N41" s="82">
        <f>SUM(N26:N40)</f>
        <v>56.005952380952351</v>
      </c>
    </row>
    <row r="42" spans="3:14" x14ac:dyDescent="0.3">
      <c r="N42" s="34">
        <f>M41+N41</f>
        <v>57.874999999999972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B16" workbookViewId="0">
      <selection activeCell="Q22" sqref="Q22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10.79490762837443</v>
      </c>
      <c r="J3" s="63">
        <f>(D3-I3)^2</f>
        <v>0.63187813764786105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11.713112575595556</v>
      </c>
      <c r="J4" s="47">
        <f t="shared" ref="J4:J17" si="5">(D4-I4)^2</f>
        <v>8.2304394281415658E-2</v>
      </c>
    </row>
    <row r="5" spans="3:10" x14ac:dyDescent="0.3">
      <c r="C5" s="8">
        <f>Pronosticos!J5</f>
        <v>3</v>
      </c>
      <c r="D5" s="9">
        <f>Pronosticos!K5</f>
        <v>13</v>
      </c>
      <c r="E5" s="10">
        <f t="shared" si="0"/>
        <v>9</v>
      </c>
      <c r="F5" s="10">
        <f t="shared" si="1"/>
        <v>2.5649493574615367</v>
      </c>
      <c r="G5" s="10">
        <f t="shared" si="2"/>
        <v>7.6948480723846107</v>
      </c>
      <c r="H5" s="10">
        <f t="shared" si="3"/>
        <v>6.5789652063423505</v>
      </c>
      <c r="I5" s="26">
        <f t="shared" si="4"/>
        <v>12.709419193912531</v>
      </c>
      <c r="J5" s="47">
        <f t="shared" si="5"/>
        <v>8.4437204866443294E-2</v>
      </c>
    </row>
    <row r="6" spans="3:10" x14ac:dyDescent="0.3">
      <c r="C6" s="8">
        <f>Pronosticos!J6</f>
        <v>4</v>
      </c>
      <c r="D6" s="9">
        <f>Pronosticos!K6</f>
        <v>15</v>
      </c>
      <c r="E6" s="10">
        <f t="shared" si="0"/>
        <v>16</v>
      </c>
      <c r="F6" s="10">
        <f t="shared" si="1"/>
        <v>2.7080502011022101</v>
      </c>
      <c r="G6" s="10">
        <f t="shared" si="2"/>
        <v>10.83220080440884</v>
      </c>
      <c r="H6" s="10">
        <f t="shared" si="3"/>
        <v>7.3335358916897206</v>
      </c>
      <c r="I6" s="26">
        <f t="shared" si="4"/>
        <v>13.790470739873276</v>
      </c>
      <c r="J6" s="47">
        <f t="shared" si="5"/>
        <v>1.4629610311026993</v>
      </c>
    </row>
    <row r="7" spans="3:10" x14ac:dyDescent="0.3">
      <c r="C7" s="8">
        <f>Pronosticos!J7</f>
        <v>5</v>
      </c>
      <c r="D7" s="9">
        <f>Pronosticos!K7</f>
        <v>15</v>
      </c>
      <c r="E7" s="10">
        <f t="shared" si="0"/>
        <v>25</v>
      </c>
      <c r="F7" s="10">
        <f t="shared" si="1"/>
        <v>2.7080502011022101</v>
      </c>
      <c r="G7" s="10">
        <f t="shared" si="2"/>
        <v>13.540251005511051</v>
      </c>
      <c r="H7" s="10">
        <f t="shared" si="3"/>
        <v>7.3335358916897206</v>
      </c>
      <c r="I7" s="26">
        <f t="shared" si="4"/>
        <v>14.963475539337839</v>
      </c>
      <c r="J7" s="47">
        <f t="shared" si="5"/>
        <v>1.3340362266617363E-3</v>
      </c>
    </row>
    <row r="8" spans="3:10" x14ac:dyDescent="0.3">
      <c r="C8" s="8">
        <f>Pronosticos!J8</f>
        <v>6</v>
      </c>
      <c r="D8" s="9">
        <f>Pronosticos!K8</f>
        <v>16</v>
      </c>
      <c r="E8" s="10">
        <f t="shared" si="0"/>
        <v>36</v>
      </c>
      <c r="F8" s="10">
        <f t="shared" si="1"/>
        <v>2.7725887222397811</v>
      </c>
      <c r="G8" s="10">
        <f t="shared" si="2"/>
        <v>16.635532333438686</v>
      </c>
      <c r="H8" s="10">
        <f t="shared" si="3"/>
        <v>7.6872482226912222</v>
      </c>
      <c r="I8" s="26">
        <f t="shared" si="4"/>
        <v>16.236255051756078</v>
      </c>
      <c r="J8" s="47">
        <f t="shared" si="5"/>
        <v>5.5816449480267288E-2</v>
      </c>
    </row>
    <row r="9" spans="3:10" x14ac:dyDescent="0.3">
      <c r="C9" s="8">
        <f>Pronosticos!J9</f>
        <v>7</v>
      </c>
      <c r="D9" s="9">
        <f>Pronosticos!K9</f>
        <v>17</v>
      </c>
      <c r="E9" s="10">
        <f t="shared" si="0"/>
        <v>49</v>
      </c>
      <c r="F9" s="10">
        <f t="shared" si="1"/>
        <v>2.8332133440562162</v>
      </c>
      <c r="G9" s="10">
        <f t="shared" si="2"/>
        <v>19.832493408393514</v>
      </c>
      <c r="H9" s="10">
        <f t="shared" si="3"/>
        <v>8.0270978529382067</v>
      </c>
      <c r="I9" s="26">
        <f t="shared" si="4"/>
        <v>17.61729602274875</v>
      </c>
      <c r="J9" s="47">
        <f t="shared" si="5"/>
        <v>0.38105437970142536</v>
      </c>
    </row>
    <row r="10" spans="3:10" x14ac:dyDescent="0.3">
      <c r="C10" s="8">
        <f>Pronosticos!J10</f>
        <v>8</v>
      </c>
      <c r="D10" s="9">
        <f>Pronosticos!K10</f>
        <v>19</v>
      </c>
      <c r="E10" s="10">
        <f t="shared" si="0"/>
        <v>64</v>
      </c>
      <c r="F10" s="10">
        <f t="shared" si="1"/>
        <v>2.9444389791664403</v>
      </c>
      <c r="G10" s="10">
        <f t="shared" si="2"/>
        <v>23.555511833331522</v>
      </c>
      <c r="H10" s="10">
        <f t="shared" si="3"/>
        <v>8.6697209020347081</v>
      </c>
      <c r="I10" s="26">
        <f t="shared" si="4"/>
        <v>19.115807072739354</v>
      </c>
      <c r="J10" s="47">
        <f t="shared" si="5"/>
        <v>1.3411278096458101E-2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36</v>
      </c>
      <c r="D18" s="12">
        <f t="shared" si="6"/>
        <v>117</v>
      </c>
      <c r="E18" s="13">
        <f t="shared" si="6"/>
        <v>204</v>
      </c>
      <c r="F18" s="13">
        <f t="shared" si="6"/>
        <v>21.318782547910445</v>
      </c>
      <c r="G18" s="13">
        <f t="shared" si="6"/>
        <v>99.363235850038279</v>
      </c>
      <c r="H18" s="13">
        <f t="shared" si="6"/>
        <v>57.106763136024952</v>
      </c>
      <c r="I18" s="13">
        <f t="shared" si="6"/>
        <v>116.94074382433782</v>
      </c>
      <c r="J18" s="16">
        <f t="shared" si="6"/>
        <v>2.713196911403231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8</v>
      </c>
      <c r="E22" s="39"/>
      <c r="F22" s="23"/>
      <c r="G22" s="30" t="s">
        <v>25</v>
      </c>
      <c r="H22" s="23">
        <f>(F27-(F23*F26))/SQRT((F25-(F23^2))*(F28-(F26^2)))</f>
        <v>0.97333696891820765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36</v>
      </c>
      <c r="E23" s="39"/>
      <c r="F23" s="26">
        <f>D23/$D$22</f>
        <v>4.5</v>
      </c>
      <c r="G23" s="27" t="s">
        <v>26</v>
      </c>
      <c r="H23" s="41">
        <f>(H22^2)</f>
        <v>0.94738485506288395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117</v>
      </c>
      <c r="E24" s="39"/>
      <c r="F24" s="26">
        <f t="shared" ref="F24:F28" si="7">D24/$D$22</f>
        <v>14.625</v>
      </c>
      <c r="G24" s="28" t="s">
        <v>9</v>
      </c>
      <c r="H24" s="29">
        <f>SQRT(J18/(D22-2))</f>
        <v>0.67245779438851905</v>
      </c>
      <c r="K24" s="8">
        <f>AVERAGE(D3:D9)</f>
        <v>14</v>
      </c>
      <c r="L24" s="26"/>
      <c r="M24" s="26">
        <f>(D3-I3)^2</f>
        <v>0.63187813764786105</v>
      </c>
      <c r="N24" s="9"/>
    </row>
    <row r="25" spans="3:14" x14ac:dyDescent="0.3">
      <c r="C25" s="40" t="s">
        <v>20</v>
      </c>
      <c r="D25" s="26">
        <f>E18</f>
        <v>204</v>
      </c>
      <c r="E25" s="39"/>
      <c r="F25" s="26">
        <f t="shared" si="7"/>
        <v>25.5</v>
      </c>
      <c r="K25" s="8"/>
      <c r="L25" s="26"/>
      <c r="M25" s="26">
        <f t="shared" ref="M25:M38" si="8">(D4-I4)^2</f>
        <v>8.2304394281415658E-2</v>
      </c>
      <c r="N25" s="9"/>
    </row>
    <row r="26" spans="3:14" x14ac:dyDescent="0.3">
      <c r="C26" s="40" t="s">
        <v>43</v>
      </c>
      <c r="D26" s="26">
        <f>F18</f>
        <v>21.318782547910445</v>
      </c>
      <c r="E26" s="39"/>
      <c r="F26" s="26">
        <f t="shared" si="7"/>
        <v>2.6648478184888056</v>
      </c>
      <c r="K26" s="8"/>
      <c r="L26" s="26"/>
      <c r="M26" s="26">
        <f t="shared" si="8"/>
        <v>8.4437204866443294E-2</v>
      </c>
      <c r="N26" s="9"/>
    </row>
    <row r="27" spans="3:14" x14ac:dyDescent="0.3">
      <c r="C27" s="40" t="s">
        <v>44</v>
      </c>
      <c r="D27" s="26">
        <f>G18</f>
        <v>99.363235850038279</v>
      </c>
      <c r="E27" s="39"/>
      <c r="F27" s="26">
        <f t="shared" si="7"/>
        <v>12.420404481254785</v>
      </c>
      <c r="K27" s="8"/>
      <c r="L27" s="26"/>
      <c r="M27" s="26">
        <f t="shared" si="8"/>
        <v>1.4629610311026993</v>
      </c>
      <c r="N27" s="9"/>
    </row>
    <row r="28" spans="3:14" x14ac:dyDescent="0.3">
      <c r="C28" s="45" t="s">
        <v>45</v>
      </c>
      <c r="D28" s="29">
        <f>H18</f>
        <v>57.106763136024952</v>
      </c>
      <c r="E28" s="39"/>
      <c r="F28" s="29">
        <f t="shared" si="7"/>
        <v>7.138345392003119</v>
      </c>
      <c r="K28" s="46"/>
      <c r="L28" s="36"/>
      <c r="M28" s="26">
        <f t="shared" si="8"/>
        <v>1.3340362266617363E-3</v>
      </c>
      <c r="N28" s="47"/>
    </row>
    <row r="29" spans="3:14" x14ac:dyDescent="0.3">
      <c r="C29" s="48"/>
      <c r="K29" s="46"/>
      <c r="L29" s="36"/>
      <c r="M29" s="26">
        <f t="shared" si="8"/>
        <v>5.5816449480267288E-2</v>
      </c>
      <c r="N29" s="47"/>
    </row>
    <row r="30" spans="3:14" x14ac:dyDescent="0.3">
      <c r="C30" s="48"/>
      <c r="K30" s="46"/>
      <c r="L30" s="36"/>
      <c r="M30" s="26">
        <f t="shared" si="8"/>
        <v>0.38105437970142536</v>
      </c>
      <c r="N30" s="47"/>
    </row>
    <row r="31" spans="3:14" x14ac:dyDescent="0.3">
      <c r="C31" s="22" t="s">
        <v>24</v>
      </c>
      <c r="D31" s="23">
        <f>(F27-(F23*F26))/((F25)-(F23)^2)</f>
        <v>8.1636056772411383E-2</v>
      </c>
      <c r="K31" s="46"/>
      <c r="L31" s="36"/>
      <c r="M31" s="26">
        <f t="shared" si="8"/>
        <v>1.3411278096458101E-2</v>
      </c>
      <c r="N31" s="47"/>
    </row>
    <row r="32" spans="3:14" x14ac:dyDescent="0.3">
      <c r="C32" s="25" t="s">
        <v>23</v>
      </c>
      <c r="D32" s="26">
        <f>F26-(D31*F23)</f>
        <v>2.2974855630129545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9.9486818685520451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2.713196911403231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A10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9.3808725924219623</v>
      </c>
      <c r="J3" s="23">
        <f>(C3-I3)^2</f>
        <v>0.38331874681430167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12.123041939371378</v>
      </c>
      <c r="J4" s="26">
        <f t="shared" ref="J4:J17" si="6">(C4-I4)^2</f>
        <v>1.5139318844269799E-2</v>
      </c>
    </row>
    <row r="5" spans="2:10" x14ac:dyDescent="0.3">
      <c r="B5" s="8">
        <f>Pronosticos!J5</f>
        <v>3</v>
      </c>
      <c r="C5" s="10">
        <f>Pronosticos!K5</f>
        <v>13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13</v>
      </c>
      <c r="G5" s="10">
        <f t="shared" si="3"/>
        <v>169</v>
      </c>
      <c r="H5" s="10">
        <f t="shared" si="4"/>
        <v>14.281959752685427</v>
      </c>
      <c r="I5" s="8">
        <f t="shared" si="5"/>
        <v>13.727108177963807</v>
      </c>
      <c r="J5" s="26">
        <f t="shared" si="6"/>
        <v>0.52868630246184678</v>
      </c>
    </row>
    <row r="6" spans="2:10" x14ac:dyDescent="0.3">
      <c r="B6" s="8">
        <f>Pronosticos!J6</f>
        <v>4</v>
      </c>
      <c r="C6" s="10">
        <f>Pronosticos!K6</f>
        <v>15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15</v>
      </c>
      <c r="G6" s="10">
        <f t="shared" si="3"/>
        <v>225</v>
      </c>
      <c r="H6" s="10">
        <f t="shared" si="4"/>
        <v>20.794415416798358</v>
      </c>
      <c r="I6" s="8">
        <f t="shared" si="5"/>
        <v>14.865211286320793</v>
      </c>
      <c r="J6" s="26">
        <f t="shared" si="6"/>
        <v>1.8167997335295179E-2</v>
      </c>
    </row>
    <row r="7" spans="2:10" x14ac:dyDescent="0.3">
      <c r="B7" s="8">
        <f>Pronosticos!J7</f>
        <v>5</v>
      </c>
      <c r="C7" s="10">
        <f>Pronosticos!K7</f>
        <v>15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15</v>
      </c>
      <c r="G7" s="10">
        <f t="shared" si="3"/>
        <v>225</v>
      </c>
      <c r="H7" s="10">
        <f t="shared" si="4"/>
        <v>24.141568686511505</v>
      </c>
      <c r="I7" s="8">
        <f t="shared" si="5"/>
        <v>15.747992640042739</v>
      </c>
      <c r="J7" s="26">
        <f t="shared" si="6"/>
        <v>0.55949298955810622</v>
      </c>
    </row>
    <row r="8" spans="2:10" x14ac:dyDescent="0.3">
      <c r="B8" s="8">
        <f>Pronosticos!J8</f>
        <v>6</v>
      </c>
      <c r="C8" s="10">
        <f>Pronosticos!K8</f>
        <v>16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16</v>
      </c>
      <c r="G8" s="10">
        <f t="shared" si="3"/>
        <v>256</v>
      </c>
      <c r="H8" s="10">
        <f t="shared" si="4"/>
        <v>28.668151507648879</v>
      </c>
      <c r="I8" s="8">
        <f t="shared" si="5"/>
        <v>16.46927752491322</v>
      </c>
      <c r="J8" s="26">
        <f t="shared" si="6"/>
        <v>0.22022139538867819</v>
      </c>
    </row>
    <row r="9" spans="2:10" x14ac:dyDescent="0.3">
      <c r="B9" s="8">
        <f>Pronosticos!J9</f>
        <v>7</v>
      </c>
      <c r="C9" s="10">
        <f>Pronosticos!K9</f>
        <v>17</v>
      </c>
      <c r="D9" s="8">
        <f t="shared" si="0"/>
        <v>1.9459101490553132</v>
      </c>
      <c r="E9" s="10">
        <f t="shared" si="1"/>
        <v>3.7865663081964716</v>
      </c>
      <c r="F9" s="10">
        <f t="shared" si="2"/>
        <v>17</v>
      </c>
      <c r="G9" s="10">
        <f t="shared" si="3"/>
        <v>289</v>
      </c>
      <c r="H9" s="10">
        <f t="shared" si="4"/>
        <v>33.080472533940323</v>
      </c>
      <c r="I9" s="8">
        <f t="shared" si="5"/>
        <v>17.079115205695889</v>
      </c>
      <c r="J9" s="26">
        <f t="shared" si="6"/>
        <v>6.2592157723027628E-3</v>
      </c>
    </row>
    <row r="10" spans="2:10" x14ac:dyDescent="0.3">
      <c r="B10" s="8">
        <f>Pronosticos!J10</f>
        <v>8</v>
      </c>
      <c r="C10" s="10">
        <f>Pronosticos!K10</f>
        <v>19</v>
      </c>
      <c r="D10" s="8">
        <f t="shared" si="0"/>
        <v>2.0794415416798357</v>
      </c>
      <c r="E10" s="10">
        <f t="shared" si="1"/>
        <v>4.3240771252638117</v>
      </c>
      <c r="F10" s="10">
        <f t="shared" si="2"/>
        <v>19</v>
      </c>
      <c r="G10" s="10">
        <f t="shared" si="3"/>
        <v>361</v>
      </c>
      <c r="H10" s="10">
        <f t="shared" si="4"/>
        <v>39.509389291916882</v>
      </c>
      <c r="I10" s="8">
        <f t="shared" si="5"/>
        <v>17.607380633270207</v>
      </c>
      <c r="J10" s="26">
        <f t="shared" si="6"/>
        <v>1.9393887005908899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36</v>
      </c>
      <c r="C18" s="12">
        <f>SUM(C3:C17)</f>
        <v>117</v>
      </c>
      <c r="D18" s="13">
        <f t="shared" ref="D18:J18" si="7">SUM(D3:D17)</f>
        <v>10.604602902745251</v>
      </c>
      <c r="E18" s="13">
        <f t="shared" si="7"/>
        <v>17.520549853412508</v>
      </c>
      <c r="F18" s="13">
        <f t="shared" si="7"/>
        <v>117</v>
      </c>
      <c r="G18" s="13">
        <f t="shared" si="7"/>
        <v>1769</v>
      </c>
      <c r="H18" s="12">
        <f t="shared" si="7"/>
        <v>168.79372335622071</v>
      </c>
      <c r="I18" s="12">
        <f t="shared" si="7"/>
        <v>117</v>
      </c>
      <c r="J18" s="12">
        <f t="shared" si="7"/>
        <v>3.6706746667656907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117</v>
      </c>
      <c r="D24" s="26">
        <f>C24/$C$22</f>
        <v>14.625</v>
      </c>
    </row>
    <row r="25" spans="2:10" x14ac:dyDescent="0.3">
      <c r="B25" s="40" t="s">
        <v>55</v>
      </c>
      <c r="C25" s="26">
        <f>D18</f>
        <v>10.604602902745251</v>
      </c>
      <c r="D25" s="26">
        <f t="shared" ref="D25:D28" si="8">C25/$C$22</f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21</v>
      </c>
      <c r="C27" s="26">
        <f>G18</f>
        <v>1769</v>
      </c>
      <c r="D27" s="26">
        <f t="shared" si="8"/>
        <v>221.125</v>
      </c>
    </row>
    <row r="28" spans="2:10" x14ac:dyDescent="0.3">
      <c r="B28" s="45" t="s">
        <v>57</v>
      </c>
      <c r="C28" s="29">
        <f>H18</f>
        <v>168.79372335622071</v>
      </c>
      <c r="D28" s="29">
        <f t="shared" si="8"/>
        <v>21.099215419527589</v>
      </c>
    </row>
    <row r="32" spans="2:10" x14ac:dyDescent="0.3">
      <c r="B32" s="30" t="s">
        <v>24</v>
      </c>
      <c r="C32" s="23">
        <f>((D28)-(D25*D24))/(D26-(D25)^2)</f>
        <v>3.9561141181216484</v>
      </c>
    </row>
    <row r="33" spans="2:3" x14ac:dyDescent="0.3">
      <c r="B33" s="27" t="s">
        <v>23</v>
      </c>
      <c r="C33" s="26">
        <f>D24-(C32*D25)</f>
        <v>9.3808725924219623</v>
      </c>
    </row>
    <row r="34" spans="2:3" x14ac:dyDescent="0.3">
      <c r="B34" s="27" t="s">
        <v>25</v>
      </c>
      <c r="C34" s="26">
        <f>((D28)-(D25*D24))/SQRT((D26-(D25)^2)*(D27-(D24^2)))</f>
        <v>0.96776847215283412</v>
      </c>
    </row>
    <row r="35" spans="2:3" x14ac:dyDescent="0.3">
      <c r="B35" s="27" t="s">
        <v>26</v>
      </c>
      <c r="C35" s="41">
        <f>C34^2</f>
        <v>0.93657581569303083</v>
      </c>
    </row>
    <row r="36" spans="2:3" x14ac:dyDescent="0.3">
      <c r="B36" s="28" t="s">
        <v>9</v>
      </c>
      <c r="C36" s="37">
        <f>SQRT((J18)/(C22-2))</f>
        <v>0.78216309752353763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F1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9.8084882773909374</v>
      </c>
      <c r="J3" s="9">
        <f>IF(B3&gt;0,(C3-I3)^2,0)</f>
        <v>3.6676739896690527E-2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11.974599796209407</v>
      </c>
      <c r="J4" s="9">
        <f t="shared" ref="J4:J17" si="6">IF(B4&gt;0,(C4-I4)^2,0)</f>
        <v>6.4517035260364044E-4</v>
      </c>
    </row>
    <row r="5" spans="2:10" x14ac:dyDescent="0.3">
      <c r="B5" s="8">
        <f>Pronosticos!J5</f>
        <v>3</v>
      </c>
      <c r="C5" s="9">
        <f>Pronosticos!K5</f>
        <v>13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2.5649493574615367</v>
      </c>
      <c r="G5" s="10">
        <f t="shared" si="3"/>
        <v>6.5789652063423505</v>
      </c>
      <c r="H5" s="10">
        <f t="shared" si="4"/>
        <v>2.8178848839186164</v>
      </c>
      <c r="I5" s="26">
        <f t="shared" si="5"/>
        <v>13.457154309414745</v>
      </c>
      <c r="J5" s="9">
        <f t="shared" si="6"/>
        <v>0.20899006261647282</v>
      </c>
    </row>
    <row r="6" spans="2:10" x14ac:dyDescent="0.3">
      <c r="B6" s="8">
        <f>Pronosticos!J6</f>
        <v>4</v>
      </c>
      <c r="C6" s="9">
        <f>Pronosticos!K6</f>
        <v>15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2.7080502011022101</v>
      </c>
      <c r="G6" s="10">
        <f t="shared" si="3"/>
        <v>7.3335358916897206</v>
      </c>
      <c r="H6" s="10">
        <f t="shared" si="4"/>
        <v>3.7541547234175794</v>
      </c>
      <c r="I6" s="26">
        <f t="shared" si="5"/>
        <v>14.619076479899762</v>
      </c>
      <c r="J6" s="9">
        <f t="shared" si="6"/>
        <v>0.14510272816555617</v>
      </c>
    </row>
    <row r="7" spans="2:10" x14ac:dyDescent="0.3">
      <c r="B7" s="8">
        <f>Pronosticos!J7</f>
        <v>5</v>
      </c>
      <c r="C7" s="9">
        <f>Pronosticos!K7</f>
        <v>15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2.7080502011022101</v>
      </c>
      <c r="G7" s="10">
        <f t="shared" si="3"/>
        <v>7.3335358916897206</v>
      </c>
      <c r="H7" s="10">
        <f t="shared" si="4"/>
        <v>4.3584386624286866</v>
      </c>
      <c r="I7" s="26">
        <f t="shared" si="5"/>
        <v>15.58898655507323</v>
      </c>
      <c r="J7" s="9">
        <f t="shared" si="6"/>
        <v>0.34690516205703131</v>
      </c>
    </row>
    <row r="8" spans="2:10" x14ac:dyDescent="0.3">
      <c r="B8" s="8">
        <f>Pronosticos!J8</f>
        <v>6</v>
      </c>
      <c r="C8" s="9">
        <f>Pronosticos!K8</f>
        <v>16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2.7725887222397811</v>
      </c>
      <c r="G8" s="10">
        <f t="shared" si="3"/>
        <v>7.6872482226912222</v>
      </c>
      <c r="H8" s="10">
        <f t="shared" si="4"/>
        <v>4.9678120973480411</v>
      </c>
      <c r="I8" s="26">
        <f t="shared" si="5"/>
        <v>16.429039082660836</v>
      </c>
      <c r="J8" s="9">
        <f t="shared" si="6"/>
        <v>0.18407453445045158</v>
      </c>
    </row>
    <row r="9" spans="2:10" x14ac:dyDescent="0.3">
      <c r="B9" s="8">
        <f>Pronosticos!J9</f>
        <v>7</v>
      </c>
      <c r="C9" s="9">
        <f>Pronosticos!K9</f>
        <v>17</v>
      </c>
      <c r="D9" s="10">
        <f t="shared" si="0"/>
        <v>1.9459101490553132</v>
      </c>
      <c r="E9" s="10">
        <f t="shared" si="1"/>
        <v>3.7865663081964716</v>
      </c>
      <c r="F9" s="10">
        <f t="shared" si="2"/>
        <v>2.8332133440562162</v>
      </c>
      <c r="G9" s="10">
        <f t="shared" si="3"/>
        <v>8.0270978529382067</v>
      </c>
      <c r="H9" s="10">
        <f t="shared" si="4"/>
        <v>5.513178600637934</v>
      </c>
      <c r="I9" s="26">
        <f t="shared" si="5"/>
        <v>17.174513832031657</v>
      </c>
      <c r="J9" s="9">
        <f t="shared" si="6"/>
        <v>3.0455077570373409E-2</v>
      </c>
    </row>
    <row r="10" spans="2:10" x14ac:dyDescent="0.3">
      <c r="B10" s="8">
        <f>Pronosticos!J10</f>
        <v>8</v>
      </c>
      <c r="C10" s="9">
        <f>Pronosticos!K10</f>
        <v>19</v>
      </c>
      <c r="D10" s="10">
        <f t="shared" si="0"/>
        <v>2.0794415416798357</v>
      </c>
      <c r="E10" s="10">
        <f t="shared" si="1"/>
        <v>4.3240771252638117</v>
      </c>
      <c r="F10" s="10">
        <f t="shared" si="2"/>
        <v>2.9444389791664403</v>
      </c>
      <c r="G10" s="10">
        <f t="shared" si="3"/>
        <v>8.6697209020347081</v>
      </c>
      <c r="H10" s="10">
        <f t="shared" si="4"/>
        <v>6.1227887302200639</v>
      </c>
      <c r="I10" s="26">
        <f t="shared" si="5"/>
        <v>17.847560733746715</v>
      </c>
      <c r="J10" s="9">
        <f t="shared" si="6"/>
        <v>1.3281162624024108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36</v>
      </c>
      <c r="C18" s="16">
        <f t="shared" ref="C18:J18" si="7">SUM(C3:C17)</f>
        <v>117</v>
      </c>
      <c r="D18" s="14">
        <f t="shared" si="7"/>
        <v>10.604602902745251</v>
      </c>
      <c r="E18" s="15">
        <f t="shared" si="7"/>
        <v>17.520549853412508</v>
      </c>
      <c r="F18" s="15">
        <f t="shared" si="7"/>
        <v>21.318782547910445</v>
      </c>
      <c r="G18" s="15">
        <f t="shared" si="7"/>
        <v>57.106763136024952</v>
      </c>
      <c r="H18" s="15">
        <f t="shared" si="7"/>
        <v>29.256663736226137</v>
      </c>
      <c r="I18" s="13">
        <f t="shared" si="7"/>
        <v>116.8994190664273</v>
      </c>
      <c r="J18" s="16">
        <f t="shared" si="7"/>
        <v>2.2809657375115902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117</v>
      </c>
      <c r="D24" s="26">
        <f t="shared" ref="D24:D29" si="8">C24/$C$22</f>
        <v>14.625</v>
      </c>
    </row>
    <row r="25" spans="2:10" x14ac:dyDescent="0.3">
      <c r="B25" s="40" t="s">
        <v>55</v>
      </c>
      <c r="C25" s="26">
        <f>D18</f>
        <v>10.604602902745251</v>
      </c>
      <c r="D25" s="26">
        <f t="shared" si="8"/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61</v>
      </c>
      <c r="C27" s="26">
        <f>F18</f>
        <v>21.318782547910445</v>
      </c>
      <c r="D27" s="26">
        <f t="shared" si="8"/>
        <v>2.6648478184888056</v>
      </c>
    </row>
    <row r="28" spans="2:10" x14ac:dyDescent="0.3">
      <c r="B28" s="40" t="s">
        <v>62</v>
      </c>
      <c r="C28" s="26">
        <f>G18</f>
        <v>57.106763136024952</v>
      </c>
      <c r="D28" s="26">
        <f t="shared" si="8"/>
        <v>7.138345392003119</v>
      </c>
    </row>
    <row r="29" spans="2:10" x14ac:dyDescent="0.3">
      <c r="B29" s="45" t="s">
        <v>63</v>
      </c>
      <c r="C29" s="29">
        <f>H18</f>
        <v>29.256663736226137</v>
      </c>
      <c r="D29" s="29">
        <f t="shared" si="8"/>
        <v>3.6570829670282672</v>
      </c>
    </row>
    <row r="31" spans="2:10" x14ac:dyDescent="0.3">
      <c r="B31" s="22" t="s">
        <v>24</v>
      </c>
      <c r="C31" s="35">
        <f>((D29)-(D25*D27))/((D26)-(D25^2))</f>
        <v>0.28787473548975279</v>
      </c>
    </row>
    <row r="32" spans="2:10" x14ac:dyDescent="0.3">
      <c r="B32" s="25" t="s">
        <v>23</v>
      </c>
      <c r="C32" s="36">
        <f>D27-(C31*D25)</f>
        <v>2.2832481615385989</v>
      </c>
    </row>
    <row r="33" spans="2:3" x14ac:dyDescent="0.3">
      <c r="B33" s="25" t="s">
        <v>25</v>
      </c>
      <c r="C33" s="36">
        <f>((D29)-(D25*D27))/SQRT(((D26)-(D25^2))*(D28-(D27^2)))</f>
        <v>0.9856171856766186</v>
      </c>
    </row>
    <row r="34" spans="2:3" x14ac:dyDescent="0.3">
      <c r="B34" s="25" t="s">
        <v>26</v>
      </c>
      <c r="C34" s="57">
        <f>C33^2</f>
        <v>0.97144123670109805</v>
      </c>
    </row>
    <row r="35" spans="2:3" x14ac:dyDescent="0.3">
      <c r="B35" s="25" t="s">
        <v>9</v>
      </c>
      <c r="C35" s="36">
        <f>SQRT(J18/(C22-2))</f>
        <v>0.61657193923493769</v>
      </c>
    </row>
    <row r="36" spans="2:3" x14ac:dyDescent="0.3">
      <c r="B36" s="49" t="s">
        <v>47</v>
      </c>
      <c r="C36" s="37">
        <f>EXP(C32)</f>
        <v>9.8084882773909374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13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10.375000000000082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11.708333333333471</v>
      </c>
      <c r="K4" s="5">
        <f>IF(C3&gt;0,(C3-$N$4)^2,0)</f>
        <v>21.390625</v>
      </c>
      <c r="L4" s="7">
        <f>IF(C3&gt;0,(C3-I3)^2,0)</f>
        <v>0.14062500000006128</v>
      </c>
      <c r="M4" s="6">
        <f>IF(I3&gt;0,(I3-$N$4)^2,0)</f>
        <v>18.062499999999304</v>
      </c>
      <c r="N4" s="63">
        <f>SUM(C3:C17)/G22</f>
        <v>14.625</v>
      </c>
    </row>
    <row r="5" spans="2:14" x14ac:dyDescent="0.3">
      <c r="B5" s="8">
        <f>Pronosticos!J5</f>
        <v>3</v>
      </c>
      <c r="C5" s="10">
        <f>Pronosticos!K5</f>
        <v>13</v>
      </c>
      <c r="D5" s="8">
        <f t="shared" si="0"/>
        <v>39</v>
      </c>
      <c r="E5" s="10">
        <f t="shared" si="1"/>
        <v>9</v>
      </c>
      <c r="F5" s="10">
        <f t="shared" si="2"/>
        <v>117</v>
      </c>
      <c r="G5" s="10">
        <f t="shared" si="3"/>
        <v>27</v>
      </c>
      <c r="H5" s="9">
        <f t="shared" si="4"/>
        <v>81</v>
      </c>
      <c r="I5" s="9">
        <f t="shared" si="5"/>
        <v>12.982142857143057</v>
      </c>
      <c r="K5" s="8">
        <f t="shared" ref="K5:K17" si="6">IF(C4&gt;0,(C4-$N$4)^2,0)</f>
        <v>6.890625</v>
      </c>
      <c r="L5" s="10">
        <f t="shared" ref="L5:L17" si="7">IF(C4&gt;0,(C4-I4)^2,0)</f>
        <v>8.5069444444364317E-2</v>
      </c>
      <c r="M5" s="9">
        <f t="shared" ref="M5:M17" si="8">IF(I4&gt;0,(I4-$N$4)^2,0)</f>
        <v>8.5069444444436435</v>
      </c>
      <c r="N5" s="47"/>
    </row>
    <row r="6" spans="2:14" x14ac:dyDescent="0.3">
      <c r="B6" s="8">
        <f>Pronosticos!J6</f>
        <v>4</v>
      </c>
      <c r="C6" s="10">
        <f>Pronosticos!K6</f>
        <v>15</v>
      </c>
      <c r="D6" s="8">
        <f t="shared" si="0"/>
        <v>60</v>
      </c>
      <c r="E6" s="10">
        <f t="shared" si="1"/>
        <v>16</v>
      </c>
      <c r="F6" s="10">
        <f t="shared" si="2"/>
        <v>240</v>
      </c>
      <c r="G6" s="10">
        <f t="shared" si="3"/>
        <v>64</v>
      </c>
      <c r="H6" s="9">
        <f t="shared" si="4"/>
        <v>256</v>
      </c>
      <c r="I6" s="9">
        <f t="shared" si="5"/>
        <v>14.196428571428839</v>
      </c>
      <c r="K6" s="8">
        <f t="shared" si="6"/>
        <v>2.640625</v>
      </c>
      <c r="L6" s="10">
        <f t="shared" si="7"/>
        <v>3.188775510132846E-4</v>
      </c>
      <c r="M6" s="9">
        <f t="shared" si="8"/>
        <v>2.6989795918360793</v>
      </c>
      <c r="N6" s="47"/>
    </row>
    <row r="7" spans="2:14" x14ac:dyDescent="0.3">
      <c r="B7" s="8">
        <f>Pronosticos!J7</f>
        <v>5</v>
      </c>
      <c r="C7" s="10">
        <f>Pronosticos!K7</f>
        <v>15</v>
      </c>
      <c r="D7" s="8">
        <f t="shared" si="0"/>
        <v>75</v>
      </c>
      <c r="E7" s="10">
        <f t="shared" si="1"/>
        <v>25</v>
      </c>
      <c r="F7" s="10">
        <f t="shared" si="2"/>
        <v>375</v>
      </c>
      <c r="G7" s="10">
        <f t="shared" si="3"/>
        <v>125</v>
      </c>
      <c r="H7" s="9">
        <f t="shared" si="4"/>
        <v>625</v>
      </c>
      <c r="I7" s="9">
        <f t="shared" si="5"/>
        <v>15.351190476190819</v>
      </c>
      <c r="K7" s="8">
        <f t="shared" si="6"/>
        <v>0.140625</v>
      </c>
      <c r="L7" s="10">
        <f t="shared" si="7"/>
        <v>0.64572704081589583</v>
      </c>
      <c r="M7" s="9">
        <f t="shared" si="8"/>
        <v>0.18367346938752541</v>
      </c>
      <c r="N7" s="47"/>
    </row>
    <row r="8" spans="2:14" x14ac:dyDescent="0.3">
      <c r="B8" s="8">
        <f>Pronosticos!J8</f>
        <v>6</v>
      </c>
      <c r="C8" s="10">
        <f>Pronosticos!K8</f>
        <v>16</v>
      </c>
      <c r="D8" s="8">
        <f t="shared" si="0"/>
        <v>96</v>
      </c>
      <c r="E8" s="10">
        <f t="shared" si="1"/>
        <v>36</v>
      </c>
      <c r="F8" s="10">
        <f t="shared" si="2"/>
        <v>576</v>
      </c>
      <c r="G8" s="10">
        <f t="shared" si="3"/>
        <v>216</v>
      </c>
      <c r="H8" s="9">
        <f t="shared" si="4"/>
        <v>1296</v>
      </c>
      <c r="I8" s="9">
        <f t="shared" si="5"/>
        <v>16.446428571428996</v>
      </c>
      <c r="K8" s="8">
        <f t="shared" si="6"/>
        <v>0.140625</v>
      </c>
      <c r="L8" s="10">
        <f t="shared" si="7"/>
        <v>0.12333475056713429</v>
      </c>
      <c r="M8" s="9">
        <f t="shared" si="8"/>
        <v>0.52735260771024861</v>
      </c>
      <c r="N8" s="47"/>
    </row>
    <row r="9" spans="2:14" x14ac:dyDescent="0.3">
      <c r="B9" s="8">
        <f>Pronosticos!J9</f>
        <v>7</v>
      </c>
      <c r="C9" s="10">
        <f>Pronosticos!K9</f>
        <v>17</v>
      </c>
      <c r="D9" s="8">
        <f t="shared" si="0"/>
        <v>119</v>
      </c>
      <c r="E9" s="10">
        <f t="shared" si="1"/>
        <v>49</v>
      </c>
      <c r="F9" s="10">
        <f t="shared" si="2"/>
        <v>833</v>
      </c>
      <c r="G9" s="10">
        <f t="shared" si="3"/>
        <v>343</v>
      </c>
      <c r="H9" s="9">
        <f t="shared" si="4"/>
        <v>2401</v>
      </c>
      <c r="I9" s="9">
        <f t="shared" si="5"/>
        <v>17.482142857143369</v>
      </c>
      <c r="K9" s="8">
        <f t="shared" si="6"/>
        <v>1.890625</v>
      </c>
      <c r="L9" s="10">
        <f t="shared" si="7"/>
        <v>0.19929846938813395</v>
      </c>
      <c r="M9" s="9">
        <f t="shared" si="8"/>
        <v>3.3176020408178721</v>
      </c>
      <c r="N9" s="47"/>
    </row>
    <row r="10" spans="2:14" x14ac:dyDescent="0.3">
      <c r="B10" s="8">
        <f>Pronosticos!J10</f>
        <v>8</v>
      </c>
      <c r="C10" s="10">
        <f>Pronosticos!K10</f>
        <v>19</v>
      </c>
      <c r="D10" s="8">
        <f t="shared" si="0"/>
        <v>152</v>
      </c>
      <c r="E10" s="10">
        <f t="shared" si="1"/>
        <v>64</v>
      </c>
      <c r="F10" s="10">
        <f t="shared" si="2"/>
        <v>1216</v>
      </c>
      <c r="G10" s="10">
        <f t="shared" si="3"/>
        <v>512</v>
      </c>
      <c r="H10" s="9">
        <f t="shared" si="4"/>
        <v>4096</v>
      </c>
      <c r="I10" s="9">
        <f t="shared" si="5"/>
        <v>18.45833333333394</v>
      </c>
      <c r="K10" s="8">
        <f t="shared" si="6"/>
        <v>5.640625</v>
      </c>
      <c r="L10" s="10">
        <f t="shared" si="7"/>
        <v>0.23246173469437137</v>
      </c>
      <c r="M10" s="9">
        <f t="shared" si="8"/>
        <v>8.1632653061253748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19.140625</v>
      </c>
      <c r="L11" s="10">
        <f t="shared" si="7"/>
        <v>0.29340277777712093</v>
      </c>
      <c r="M11" s="9">
        <f t="shared" si="8"/>
        <v>14.694444444449093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36</v>
      </c>
      <c r="C18" s="16">
        <f t="shared" ref="C18:I18" si="9">SUM(C3:C17)</f>
        <v>117</v>
      </c>
      <c r="D18" s="11">
        <f t="shared" si="9"/>
        <v>575</v>
      </c>
      <c r="E18" s="13">
        <f t="shared" si="9"/>
        <v>204</v>
      </c>
      <c r="F18" s="13">
        <f t="shared" si="9"/>
        <v>3415</v>
      </c>
      <c r="G18" s="13">
        <f t="shared" si="9"/>
        <v>1296</v>
      </c>
      <c r="H18" s="12">
        <f t="shared" si="9"/>
        <v>8772</v>
      </c>
      <c r="I18" s="16">
        <f t="shared" si="9"/>
        <v>117.00000000000257</v>
      </c>
      <c r="K18" s="11">
        <f>SUM(K4:K17)</f>
        <v>57.875</v>
      </c>
      <c r="L18" s="13">
        <f t="shared" ref="L18:M18" si="10">SUM(L4:L17)</f>
        <v>1.7202380952380951</v>
      </c>
      <c r="M18" s="12">
        <f t="shared" si="10"/>
        <v>56.154761904769146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8</v>
      </c>
      <c r="C22" s="33">
        <f>B18</f>
        <v>36</v>
      </c>
      <c r="D22" s="33">
        <f>E18</f>
        <v>204</v>
      </c>
      <c r="E22" s="33">
        <f>C18</f>
        <v>117</v>
      </c>
      <c r="G22" s="33">
        <f>COUNTIF(B3:B17,"&gt;0")</f>
        <v>8</v>
      </c>
      <c r="K22" s="1"/>
      <c r="L22" s="1"/>
    </row>
    <row r="23" spans="2:14" x14ac:dyDescent="0.3">
      <c r="B23" s="33">
        <f>B18</f>
        <v>36</v>
      </c>
      <c r="C23" s="33">
        <f>E18</f>
        <v>204</v>
      </c>
      <c r="D23" s="33">
        <f>G18</f>
        <v>1296</v>
      </c>
      <c r="E23" s="33">
        <f>D18</f>
        <v>575</v>
      </c>
      <c r="K23" s="1"/>
      <c r="L23" s="1"/>
    </row>
    <row r="24" spans="2:14" x14ac:dyDescent="0.3">
      <c r="B24" s="33">
        <f>E18</f>
        <v>204</v>
      </c>
      <c r="C24" s="33">
        <f>G18</f>
        <v>1296</v>
      </c>
      <c r="D24" s="33">
        <f>H18</f>
        <v>8772</v>
      </c>
      <c r="E24" s="33">
        <f>F18</f>
        <v>3415</v>
      </c>
      <c r="K24" s="1"/>
      <c r="L24" s="1"/>
    </row>
    <row r="25" spans="2:14" x14ac:dyDescent="0.3">
      <c r="K25" s="1"/>
      <c r="L25" s="1"/>
    </row>
    <row r="26" spans="2:14" x14ac:dyDescent="0.3">
      <c r="B26" s="318" t="s">
        <v>75</v>
      </c>
      <c r="C26" s="318"/>
      <c r="D26" s="318"/>
      <c r="K26" s="1"/>
      <c r="L26" s="1"/>
    </row>
    <row r="27" spans="2:14" x14ac:dyDescent="0.3">
      <c r="B27" s="319"/>
      <c r="C27" s="319"/>
      <c r="D27" s="319"/>
      <c r="G27" s="55"/>
      <c r="K27" s="1"/>
      <c r="L27" s="1"/>
    </row>
    <row r="28" spans="2:14" x14ac:dyDescent="0.3">
      <c r="B28" s="67">
        <f t="array" ref="B28:D30">MINVERSE(B22:D24)</f>
        <v>1.9464285714285854</v>
      </c>
      <c r="C28" s="67">
        <v>-0.9107142857142938</v>
      </c>
      <c r="D28" s="67">
        <v>8.9285714285715162E-2</v>
      </c>
      <c r="G28" s="55"/>
      <c r="K28" s="1"/>
      <c r="L28" s="1"/>
    </row>
    <row r="29" spans="2:14" x14ac:dyDescent="0.3">
      <c r="B29" s="67">
        <v>-0.91071428571429303</v>
      </c>
      <c r="C29" s="67">
        <v>0.50595238095238515</v>
      </c>
      <c r="D29" s="67">
        <v>-5.3571428571429019E-2</v>
      </c>
    </row>
    <row r="30" spans="2:14" x14ac:dyDescent="0.3">
      <c r="B30" s="67">
        <v>8.9285714285715051E-2</v>
      </c>
      <c r="C30" s="67">
        <v>-5.3571428571428999E-2</v>
      </c>
      <c r="D30" s="67">
        <v>5.9523809523809989E-3</v>
      </c>
    </row>
    <row r="31" spans="2:14" x14ac:dyDescent="0.3">
      <c r="B31" s="320" t="s">
        <v>76</v>
      </c>
      <c r="C31" s="321"/>
    </row>
    <row r="32" spans="2:14" x14ac:dyDescent="0.3">
      <c r="B32" s="68" t="s">
        <v>74</v>
      </c>
      <c r="C32" s="23">
        <f t="array" ref="C32:C34">MMULT(B28:D30,E22:E24)</f>
        <v>8.9821428571428896</v>
      </c>
    </row>
    <row r="33" spans="2:3" x14ac:dyDescent="0.3">
      <c r="B33" s="69" t="s">
        <v>24</v>
      </c>
      <c r="C33" s="26">
        <v>1.4226190476190936</v>
      </c>
    </row>
    <row r="34" spans="2:3" x14ac:dyDescent="0.3">
      <c r="B34" s="70" t="s">
        <v>23</v>
      </c>
      <c r="C34" s="29">
        <v>-2.9761904761901548E-2</v>
      </c>
    </row>
    <row r="36" spans="2:3" x14ac:dyDescent="0.3">
      <c r="B36" s="30" t="s">
        <v>25</v>
      </c>
      <c r="C36" s="35">
        <f>SQRT(M18/K18)</f>
        <v>0.98502622481907776</v>
      </c>
    </row>
    <row r="37" spans="2:3" x14ac:dyDescent="0.3">
      <c r="B37" s="27" t="s">
        <v>26</v>
      </c>
      <c r="C37" s="71">
        <f>C36^2</f>
        <v>0.97027666358132436</v>
      </c>
    </row>
    <row r="38" spans="2:3" x14ac:dyDescent="0.3">
      <c r="B38" s="28" t="s">
        <v>9</v>
      </c>
      <c r="C38" s="37">
        <f>SQRT(L18/(G22-2))</f>
        <v>0.53544967009640521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8</v>
      </c>
      <c r="K2" s="95">
        <f>SUM(K3:K17)</f>
        <v>117</v>
      </c>
      <c r="L2" s="92" t="s">
        <v>84</v>
      </c>
    </row>
    <row r="3" spans="1:17" x14ac:dyDescent="0.3">
      <c r="B3" s="74" t="s">
        <v>23</v>
      </c>
      <c r="C3" s="115">
        <f>MLineal!D31</f>
        <v>1.1547619047619047</v>
      </c>
      <c r="D3" s="116">
        <f>MPolinimial!C34</f>
        <v>-2.9761904761901548E-2</v>
      </c>
      <c r="E3" s="117">
        <f>MExponencial!D32</f>
        <v>2.2974855630129545</v>
      </c>
      <c r="F3" s="117">
        <f>MPontencial!C32</f>
        <v>2.2832481615385989</v>
      </c>
      <c r="G3" s="118">
        <f>MLogaritmica!C33</f>
        <v>9.3808725924219623</v>
      </c>
      <c r="I3" s="23"/>
      <c r="J3" s="23">
        <v>1</v>
      </c>
      <c r="K3" s="84">
        <v>10</v>
      </c>
      <c r="L3" s="33">
        <f>J2+1</f>
        <v>9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9.4285714285714288</v>
      </c>
      <c r="D4" s="120">
        <f>MPolinimial!C33</f>
        <v>1.4226190476190936</v>
      </c>
      <c r="E4" s="120">
        <f>MExponencial!D31</f>
        <v>8.1636056772411383E-2</v>
      </c>
      <c r="F4" s="120">
        <f>MPontencial!C31</f>
        <v>0.28787473548975279</v>
      </c>
      <c r="G4" s="121">
        <f>MLogaritmica!C32</f>
        <v>3.9561141181216484</v>
      </c>
      <c r="I4" s="26"/>
      <c r="J4" s="26">
        <v>2</v>
      </c>
      <c r="K4" s="85">
        <v>12</v>
      </c>
      <c r="N4" s="30" t="s">
        <v>78</v>
      </c>
      <c r="O4" s="8">
        <f>C10</f>
        <v>19.821428571428569</v>
      </c>
      <c r="P4" s="10">
        <f>O4-(E17*(C9/SQRT(J2)))</f>
        <v>19.495836733934357</v>
      </c>
      <c r="Q4" s="9">
        <f>C10+(E17*(C9/SQRT(J2)))</f>
        <v>20.147020408922781</v>
      </c>
    </row>
    <row r="5" spans="1:17" x14ac:dyDescent="0.3">
      <c r="A5" s="142"/>
      <c r="B5" s="75" t="s">
        <v>74</v>
      </c>
      <c r="C5" s="119"/>
      <c r="D5" s="120">
        <f>MPolinimial!C32</f>
        <v>8.9821428571428896</v>
      </c>
      <c r="E5" s="120"/>
      <c r="F5" s="120"/>
      <c r="G5" s="121"/>
      <c r="I5" s="26"/>
      <c r="J5" s="26">
        <v>3</v>
      </c>
      <c r="K5" s="85">
        <v>13</v>
      </c>
      <c r="N5" s="27" t="s">
        <v>79</v>
      </c>
      <c r="O5" s="123">
        <f>D10</f>
        <v>19.375000000000707</v>
      </c>
      <c r="P5" s="10">
        <f>D10-(E17*(D9/SQRT(J2)))</f>
        <v>19.062638423515562</v>
      </c>
      <c r="Q5" s="9">
        <f>D10+(E17*(D9/SQRT(J2)))</f>
        <v>19.687361576485852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9.9486818685520451</v>
      </c>
      <c r="F6" s="15">
        <f>MPontencial!C36</f>
        <v>9.8084882773909374</v>
      </c>
      <c r="G6" s="16"/>
      <c r="I6" s="26"/>
      <c r="J6" s="26">
        <v>4</v>
      </c>
      <c r="K6" s="85">
        <v>15</v>
      </c>
      <c r="N6" s="27" t="s">
        <v>96</v>
      </c>
      <c r="O6" s="8">
        <f>E10</f>
        <v>20.742081882454752</v>
      </c>
      <c r="P6" s="10">
        <f>E10-(E17*(E9/SQRT(J2)))</f>
        <v>20.349794822613809</v>
      </c>
      <c r="Q6" s="9">
        <f>E10+(E17*(E9/SQRT(J2)))</f>
        <v>21.134368942295694</v>
      </c>
    </row>
    <row r="7" spans="1:17" x14ac:dyDescent="0.3">
      <c r="A7" s="144" t="s">
        <v>91</v>
      </c>
      <c r="B7" s="75" t="s">
        <v>25</v>
      </c>
      <c r="C7" s="105">
        <f>MLineal!D34</f>
        <v>0.98372020448275843</v>
      </c>
      <c r="D7" s="106">
        <f>MPolinimial!C36</f>
        <v>0.98502622481907776</v>
      </c>
      <c r="E7" s="106">
        <f>MExponencial!H22</f>
        <v>0.97333696891820765</v>
      </c>
      <c r="F7" s="106">
        <f>MPontencial!C33</f>
        <v>0.9856171856766186</v>
      </c>
      <c r="G7" s="107">
        <f>MLogaritmica!C34</f>
        <v>0.96776847215283412</v>
      </c>
      <c r="I7" s="26"/>
      <c r="J7" s="26">
        <v>5</v>
      </c>
      <c r="K7" s="85">
        <v>15</v>
      </c>
      <c r="N7" s="27" t="s">
        <v>97</v>
      </c>
      <c r="O7" s="8">
        <f>F10</f>
        <v>18.463090028341373</v>
      </c>
      <c r="P7" s="10">
        <f>F10-(E17*(F9/SQRT(J2)))</f>
        <v>18.103404713900421</v>
      </c>
      <c r="Q7" s="9">
        <f>F10+(E17*(F9/SQRT(J2)))</f>
        <v>18.822775342782325</v>
      </c>
    </row>
    <row r="8" spans="1:17" x14ac:dyDescent="0.3">
      <c r="A8" s="144" t="s">
        <v>90</v>
      </c>
      <c r="B8" s="75" t="s">
        <v>26</v>
      </c>
      <c r="C8" s="77">
        <f>MLineal!E35</f>
        <v>0.96770544070760001</v>
      </c>
      <c r="D8" s="78">
        <f>MPolinimial!C37</f>
        <v>0.97027666358132436</v>
      </c>
      <c r="E8" s="78">
        <f>MExponencial!H23</f>
        <v>0.94738485506288395</v>
      </c>
      <c r="F8" s="78">
        <f>MPontencial!C34</f>
        <v>0.97144123670109805</v>
      </c>
      <c r="G8" s="79">
        <f>MLogaritmica!C35</f>
        <v>0.93657581569303083</v>
      </c>
      <c r="I8" s="26"/>
      <c r="J8" s="26">
        <v>6</v>
      </c>
      <c r="K8" s="85">
        <v>16</v>
      </c>
      <c r="N8" s="28" t="s">
        <v>98</v>
      </c>
      <c r="O8" s="11">
        <f>G10</f>
        <v>18.073343763505655</v>
      </c>
      <c r="P8" s="13">
        <f>G10-(E17*(G9/SQRT(J2)))</f>
        <v>17.617058678547121</v>
      </c>
      <c r="Q8" s="12">
        <f>G10+(E17*(G9/SQRT(J2)))</f>
        <v>18.529628848464188</v>
      </c>
    </row>
    <row r="9" spans="1:17" x14ac:dyDescent="0.3">
      <c r="A9" s="142"/>
      <c r="B9" s="76" t="s">
        <v>9</v>
      </c>
      <c r="C9" s="11">
        <f>MLineal!H24</f>
        <v>0.55812896046338312</v>
      </c>
      <c r="D9" s="13">
        <f>MPolinimial!C38</f>
        <v>0.53544967009640521</v>
      </c>
      <c r="E9" s="13">
        <f>MExponencial!H24</f>
        <v>0.67245779438851905</v>
      </c>
      <c r="F9" s="13">
        <f>MPontencial!C35</f>
        <v>0.61657193923493769</v>
      </c>
      <c r="G9" s="12">
        <f>MLogaritmica!C36</f>
        <v>0.78216309752353763</v>
      </c>
      <c r="I9" s="26"/>
      <c r="J9" s="26">
        <v>7</v>
      </c>
      <c r="K9" s="85">
        <v>17</v>
      </c>
    </row>
    <row r="10" spans="1:17" x14ac:dyDescent="0.3">
      <c r="A10" s="143">
        <v>0.9</v>
      </c>
      <c r="B10" s="75" t="s">
        <v>33</v>
      </c>
      <c r="C10" s="99">
        <f>(C3*L3)+C4</f>
        <v>19.821428571428569</v>
      </c>
      <c r="D10" s="110">
        <f>(D3*(L3^2))+(D4*L3)+D5</f>
        <v>19.375000000000707</v>
      </c>
      <c r="E10" s="100">
        <f>(E6)*EXP(L3*E4)</f>
        <v>20.742081882454752</v>
      </c>
      <c r="F10" s="100">
        <f>(F6)*(L3^F4)</f>
        <v>18.463090028341373</v>
      </c>
      <c r="G10" s="101">
        <f>(G4*LN(L3))+G3</f>
        <v>18.073343763505655</v>
      </c>
      <c r="I10" s="26"/>
      <c r="J10" s="26">
        <v>8</v>
      </c>
      <c r="K10" s="85">
        <v>19</v>
      </c>
    </row>
    <row r="11" spans="1:17" x14ac:dyDescent="0.3">
      <c r="A11" s="143">
        <v>0.95</v>
      </c>
      <c r="B11" s="75" t="s">
        <v>26</v>
      </c>
      <c r="C11" s="102">
        <f>MAX(C8:G8)</f>
        <v>0.97144123670109805</v>
      </c>
      <c r="D11" s="63" t="str">
        <f>IF(C11=C8, "Lineal", IF(C11=D8,"Polinomial", IF(C11=E8,"Exponencial",IF(C11=F8,"Potencial",IF(C11=G8,"Logaritmico","")))))</f>
        <v>Potencial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0.53544967009640521</v>
      </c>
      <c r="D12" s="64" t="str">
        <f>IF(C12=C9, "Lineal", IF(C12=D9,"Polinomial", IF(C12=E9,"Exponencial",IF(C12=F9,"Potencial",IF(C12=G9,"Logaritmico","")))))</f>
        <v>Polinomial</v>
      </c>
      <c r="E12" s="133">
        <f>IF(D15=C2,P4,IF(D15=D2,P5,IF(D15=E2,P6,IF(D15=F2,P7,IF(D15=G2,P8,0)))))</f>
        <v>19.062638423515562</v>
      </c>
      <c r="F12" s="135">
        <f>IF(D15=C2,O4,IF(D15=D2,O5,IF(D15=E2,O6,IF(D15=F2,O7,IF(D15=G2,O8,0)))))</f>
        <v>19.375000000000707</v>
      </c>
      <c r="G12" s="134">
        <f>IF(D15=C2,Q4,IF(D15=D2,Q5,IF(D15=E2,Q6,IF(D15=F2,Q7,IF(D15=G2,Q8,0)))))</f>
        <v>19.687361576485852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15">
        <v>-0.03</v>
      </c>
      <c r="I18" s="67"/>
      <c r="J18" s="33">
        <f>SUM(J3:J17)</f>
        <v>36</v>
      </c>
      <c r="K18" s="83">
        <f>SUM(K3:K17)</f>
        <v>117</v>
      </c>
    </row>
    <row r="19" spans="2:12" x14ac:dyDescent="0.3">
      <c r="C19" s="132" t="s">
        <v>9</v>
      </c>
      <c r="D19" s="67">
        <f>IF(D15=C2,C9,IF(D15=D2,D9,IF(D15=E2,E9,IF(D15=F2,F9,IF(D15=G2,G9,"")))))</f>
        <v>0.53544967009640521</v>
      </c>
    </row>
    <row r="21" spans="2:12" x14ac:dyDescent="0.3">
      <c r="K21" s="66" t="s">
        <v>35</v>
      </c>
      <c r="L21" s="146">
        <f>SUM(C24:L24)</f>
        <v>215.39330699382066</v>
      </c>
    </row>
    <row r="22" spans="2:12" x14ac:dyDescent="0.3">
      <c r="C22" s="124">
        <f>L3</f>
        <v>9</v>
      </c>
      <c r="D22" s="125">
        <f>C22+1</f>
        <v>10</v>
      </c>
      <c r="E22" s="125">
        <f t="shared" ref="E22:L22" si="0">D22+1</f>
        <v>11</v>
      </c>
      <c r="F22" s="125">
        <f t="shared" si="0"/>
        <v>12</v>
      </c>
      <c r="G22" s="125">
        <f t="shared" si="0"/>
        <v>13</v>
      </c>
      <c r="H22" s="125">
        <f t="shared" si="0"/>
        <v>14</v>
      </c>
      <c r="I22" s="125">
        <f t="shared" si="0"/>
        <v>15</v>
      </c>
      <c r="J22" s="125">
        <f t="shared" si="0"/>
        <v>16</v>
      </c>
      <c r="K22" s="125">
        <f t="shared" si="0"/>
        <v>17</v>
      </c>
      <c r="L22" s="126">
        <f t="shared" si="0"/>
        <v>18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19.375000000000707</v>
      </c>
      <c r="D23" s="130">
        <f>IF($D$15=$C$2,($C$3*D22)+$C$4,IF($D$15=$D$2,($D$3*(D22^2))+($D$4*D22)+$D$5,IF($D$15=$E$2,($E$6*(EXP(D22*$E$4))),IF($D$15=$F$2,($F$6*(D22^$F$4)),IF($D$15=$G$2,($G$4*(LN(D22)))+$G$3,0)))))</f>
        <v>20.232142857143671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21.029761904762832</v>
      </c>
      <c r="F23" s="130">
        <f t="shared" si="1"/>
        <v>21.76785714285819</v>
      </c>
      <c r="G23" s="130">
        <f t="shared" si="1"/>
        <v>22.446428571429745</v>
      </c>
      <c r="H23" s="130">
        <f t="shared" si="1"/>
        <v>23.065476190477497</v>
      </c>
      <c r="I23" s="130">
        <f t="shared" si="1"/>
        <v>23.625000000001446</v>
      </c>
      <c r="J23" s="130">
        <f t="shared" si="1"/>
        <v>24.125000000001592</v>
      </c>
      <c r="K23" s="130">
        <f t="shared" si="1"/>
        <v>24.565476190477934</v>
      </c>
      <c r="L23" s="131">
        <f t="shared" si="1"/>
        <v>24.946428571430474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18.490759270810095</v>
      </c>
      <c r="D24" s="170">
        <f t="shared" ref="D24:L24" si="2">IF($B$24=$A$6,D30,IF($B$24=$A$8,D32,D23))*(1+$D$18)</f>
        <v>19.322187842238769</v>
      </c>
      <c r="E24" s="170">
        <f t="shared" si="2"/>
        <v>20.095878318429357</v>
      </c>
      <c r="F24" s="170">
        <f t="shared" si="2"/>
        <v>20.811830699381854</v>
      </c>
      <c r="G24" s="170">
        <f t="shared" si="2"/>
        <v>21.470044985096262</v>
      </c>
      <c r="H24" s="170">
        <f t="shared" si="2"/>
        <v>22.07052117557258</v>
      </c>
      <c r="I24" s="170">
        <f t="shared" si="2"/>
        <v>22.613259270810811</v>
      </c>
      <c r="J24" s="170">
        <f t="shared" si="2"/>
        <v>23.098259270810953</v>
      </c>
      <c r="K24" s="170">
        <f t="shared" si="2"/>
        <v>23.525521175573004</v>
      </c>
      <c r="L24" s="171">
        <f t="shared" si="2"/>
        <v>23.89504498509697</v>
      </c>
    </row>
    <row r="27" spans="2:12" x14ac:dyDescent="0.3">
      <c r="B27" s="136" t="s">
        <v>101</v>
      </c>
      <c r="C27" s="137">
        <f>LOOKUP(2,1/(K3:K17&lt;&gt;""),K3:K17)</f>
        <v>19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19.062638423515562</v>
      </c>
      <c r="D30" s="145">
        <f t="shared" ref="D30:L30" si="3">D23-($E$17*($D$19/SQRT($J$2)))</f>
        <v>19.919781280658526</v>
      </c>
      <c r="E30" s="145">
        <f t="shared" si="3"/>
        <v>20.717400328277687</v>
      </c>
      <c r="F30" s="145">
        <f t="shared" si="3"/>
        <v>21.455495566373045</v>
      </c>
      <c r="G30" s="145">
        <f t="shared" si="3"/>
        <v>22.1340669949446</v>
      </c>
      <c r="H30" s="145">
        <f t="shared" si="3"/>
        <v>22.753114613992352</v>
      </c>
      <c r="I30" s="145">
        <f t="shared" si="3"/>
        <v>23.312638423516301</v>
      </c>
      <c r="J30" s="145">
        <f t="shared" si="3"/>
        <v>23.812638423516447</v>
      </c>
      <c r="K30" s="145">
        <f t="shared" si="3"/>
        <v>24.253114613992789</v>
      </c>
      <c r="L30" s="145">
        <f t="shared" si="3"/>
        <v>24.634066994945329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19.687361576485852</v>
      </c>
      <c r="D32" s="145">
        <f t="shared" ref="D32:L32" si="4">D23+($E$17*($D$19/SQRT($J$2)))</f>
        <v>20.544504433628816</v>
      </c>
      <c r="E32" s="145">
        <f t="shared" si="4"/>
        <v>21.342123481247977</v>
      </c>
      <c r="F32" s="145">
        <f t="shared" si="4"/>
        <v>22.080218719343335</v>
      </c>
      <c r="G32" s="145">
        <f t="shared" si="4"/>
        <v>22.75879014791489</v>
      </c>
      <c r="H32" s="145">
        <f t="shared" si="4"/>
        <v>23.377837766962642</v>
      </c>
      <c r="I32" s="145">
        <f t="shared" si="4"/>
        <v>23.937361576486591</v>
      </c>
      <c r="J32" s="145">
        <f t="shared" si="4"/>
        <v>24.437361576486737</v>
      </c>
      <c r="K32" s="145">
        <f t="shared" si="4"/>
        <v>24.877837766963079</v>
      </c>
      <c r="L32" s="145">
        <f t="shared" si="4"/>
        <v>25.258790147915619</v>
      </c>
    </row>
  </sheetData>
  <conditionalFormatting sqref="C24">
    <cfRule type="cellIs" dxfId="31" priority="2" operator="lessThan">
      <formula>$C$27</formula>
    </cfRule>
    <cfRule type="cellIs" dxfId="30" priority="3" operator="lessThan">
      <formula>$K$6</formula>
    </cfRule>
    <cfRule type="cellIs" dxfId="29" priority="4" operator="lessThan">
      <formula>42.17</formula>
    </cfRule>
  </conditionalFormatting>
  <conditionalFormatting sqref="C24">
    <cfRule type="cellIs" dxfId="28" priority="1" operator="greaterThan">
      <formula>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topLeftCell="A22" workbookViewId="0">
      <selection activeCell="P14" sqref="P14"/>
    </sheetView>
  </sheetViews>
  <sheetFormatPr baseColWidth="10" defaultRowHeight="14.4" x14ac:dyDescent="0.3"/>
  <cols>
    <col min="2" max="2" width="22.554687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23" t="s">
        <v>102</v>
      </c>
      <c r="B1" s="324"/>
      <c r="C1" s="162"/>
      <c r="D1" s="162"/>
      <c r="E1" s="303" t="s">
        <v>107</v>
      </c>
      <c r="F1" s="303" t="s">
        <v>108</v>
      </c>
      <c r="G1" s="303" t="s">
        <v>198</v>
      </c>
      <c r="H1" s="303" t="s">
        <v>109</v>
      </c>
      <c r="I1" s="303" t="s">
        <v>110</v>
      </c>
      <c r="J1" s="303" t="s">
        <v>111</v>
      </c>
      <c r="K1" s="303" t="s">
        <v>112</v>
      </c>
      <c r="L1" s="303" t="s">
        <v>202</v>
      </c>
      <c r="M1" s="55"/>
      <c r="N1" s="55"/>
      <c r="O1" s="288"/>
      <c r="P1" s="288"/>
      <c r="Q1" s="288"/>
      <c r="R1" s="288"/>
      <c r="S1" s="55"/>
      <c r="T1" s="55"/>
      <c r="U1" s="55"/>
    </row>
    <row r="2" spans="1:37" x14ac:dyDescent="0.3">
      <c r="A2" s="322" t="s">
        <v>103</v>
      </c>
      <c r="B2" s="322"/>
      <c r="C2" s="55"/>
      <c r="D2" s="55"/>
      <c r="E2" s="302">
        <f>IF(L2=1,SUM(D52:E52),IF(L2=2,SUM(D52:F52),IF(L2=3,SUM(D52:G52),IF(L2=4,SUM(D52:H52),IF(L2=5,SUM(D52:I52),IF(L2=6,SUM(D52:J52),IF(L2=7,SUM(D52:K52),IF(L2=8,SUM(D52:L52),IF(L2=9,SUM(D52:M52),IF(L2=10,SUM(D52:N52),""))))))))))</f>
        <v>2733.5582546511341</v>
      </c>
      <c r="F2" s="304">
        <f>IF(L2=1,IRR(D52:E52),IF(L2=2,IRR(D52:F52),IF(L2=3,IRR(D52:G52),IF(L2=4,IRR(D52:H52),IF(L2=5,IRR(D52:I52),IF(L2=6,IRR(D52:J52),IF(L2=7,IRR(D52:K52),IF(L2=8,IRR(D52:L52),IF(L2=9,IRR(D52:M52),IF(L2=10,IRR(D52:N52),""))))))))))</f>
        <v>0.63946663660684755</v>
      </c>
      <c r="G2" s="303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2</v>
      </c>
      <c r="H2" s="303" t="str">
        <f>IF(G2="No existe","No Aceptado",IF(E2&lt;0,"No Aceptado",IF(F2&lt;0%,"No Aceptado","Aceptado")))</f>
        <v>Aceptado</v>
      </c>
      <c r="I2" s="302">
        <f>SUM(D36:D42)</f>
        <v>575</v>
      </c>
      <c r="J2" s="303" t="s">
        <v>54</v>
      </c>
      <c r="K2" s="304">
        <f>'Calculo Tmar'!F8</f>
        <v>0.15126875000000001</v>
      </c>
      <c r="L2" s="303">
        <v>10</v>
      </c>
      <c r="M2" s="55"/>
      <c r="N2" s="55"/>
      <c r="O2" s="294"/>
      <c r="P2" s="294"/>
      <c r="Q2" s="294"/>
      <c r="R2" s="294"/>
      <c r="S2" s="294"/>
      <c r="T2" s="294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94"/>
      <c r="P3" s="294"/>
      <c r="Q3" s="294"/>
      <c r="R3" s="294"/>
      <c r="S3" s="294"/>
      <c r="T3" s="294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1478.5469608203146</v>
      </c>
      <c r="F4" s="176">
        <v>1730.1779132012671</v>
      </c>
      <c r="G4" s="176">
        <v>2006.7379781363322</v>
      </c>
      <c r="H4" s="176">
        <v>2308.2271556255105</v>
      </c>
      <c r="I4" s="176">
        <v>2634.6454456688011</v>
      </c>
      <c r="J4" s="176">
        <v>2985.9928482662049</v>
      </c>
      <c r="K4" s="176">
        <v>3362.2693634177213</v>
      </c>
      <c r="L4" s="176">
        <v>3763.4749911233507</v>
      </c>
      <c r="M4" s="176">
        <v>4189.6097313830924</v>
      </c>
      <c r="N4" s="176">
        <v>4640.6735841969476</v>
      </c>
      <c r="O4" s="294"/>
      <c r="P4" s="294"/>
      <c r="Q4" s="294"/>
      <c r="R4" s="294"/>
      <c r="S4" s="294"/>
      <c r="T4" s="294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594.61904761905157</v>
      </c>
      <c r="F5" s="179">
        <v>720.89047619048051</v>
      </c>
      <c r="G5" s="179">
        <v>860.3718614718664</v>
      </c>
      <c r="H5" s="179">
        <v>1013.063203463209</v>
      </c>
      <c r="I5" s="179">
        <v>1178.9645021645085</v>
      </c>
      <c r="J5" s="179">
        <v>1358.0757575757648</v>
      </c>
      <c r="K5" s="179">
        <v>1550.396969696978</v>
      </c>
      <c r="L5" s="179">
        <v>1755.9281385281479</v>
      </c>
      <c r="M5" s="179">
        <v>1974.6692640692745</v>
      </c>
      <c r="N5" s="179">
        <v>2206.6203463203583</v>
      </c>
      <c r="O5" s="294"/>
      <c r="P5" s="294"/>
      <c r="Q5" s="295" t="s">
        <v>138</v>
      </c>
      <c r="R5" s="294"/>
      <c r="S5" s="294"/>
      <c r="T5" s="294"/>
      <c r="U5" s="55"/>
      <c r="V5" s="55"/>
    </row>
    <row r="6" spans="1:37" ht="15" thickTop="1" x14ac:dyDescent="0.3">
      <c r="A6" s="164">
        <v>0.45</v>
      </c>
      <c r="B6" s="55" t="s">
        <v>115</v>
      </c>
      <c r="C6" s="10" t="s">
        <v>138</v>
      </c>
      <c r="D6" s="55"/>
      <c r="E6" s="180">
        <f>E5*$A$6</f>
        <v>267.57857142857324</v>
      </c>
      <c r="F6" s="180">
        <f t="shared" ref="F6:N6" si="1">F5*$A$6</f>
        <v>324.40071428571622</v>
      </c>
      <c r="G6" s="180">
        <f t="shared" si="1"/>
        <v>387.16733766233989</v>
      </c>
      <c r="H6" s="180">
        <f t="shared" si="1"/>
        <v>455.87844155844408</v>
      </c>
      <c r="I6" s="180">
        <f t="shared" si="1"/>
        <v>530.53402597402885</v>
      </c>
      <c r="J6" s="180">
        <f t="shared" si="1"/>
        <v>611.1340909090942</v>
      </c>
      <c r="K6" s="180">
        <f t="shared" si="1"/>
        <v>697.67863636364007</v>
      </c>
      <c r="L6" s="180">
        <f t="shared" si="1"/>
        <v>790.16766233766657</v>
      </c>
      <c r="M6" s="180">
        <f t="shared" si="1"/>
        <v>888.6011688311736</v>
      </c>
      <c r="N6" s="180">
        <f t="shared" si="1"/>
        <v>992.97915584416126</v>
      </c>
      <c r="O6" s="294"/>
      <c r="P6" s="294"/>
      <c r="Q6" s="295" t="s">
        <v>54</v>
      </c>
      <c r="R6" s="294"/>
      <c r="S6" s="294"/>
      <c r="T6" s="294"/>
      <c r="U6" s="55"/>
      <c r="V6" s="55"/>
    </row>
    <row r="7" spans="1:37" x14ac:dyDescent="0.3">
      <c r="A7" s="164">
        <v>0.4</v>
      </c>
      <c r="B7" s="55" t="s">
        <v>116</v>
      </c>
      <c r="C7" s="192" t="s">
        <v>138</v>
      </c>
      <c r="D7" s="55"/>
      <c r="E7" s="180">
        <f>E5*$A$7</f>
        <v>237.84761904762064</v>
      </c>
      <c r="F7" s="180">
        <f t="shared" ref="F7:N7" si="2">F5*$A$7</f>
        <v>288.35619047619224</v>
      </c>
      <c r="G7" s="180">
        <f t="shared" si="2"/>
        <v>344.14874458874658</v>
      </c>
      <c r="H7" s="180">
        <f t="shared" si="2"/>
        <v>405.22528138528361</v>
      </c>
      <c r="I7" s="180">
        <f t="shared" si="2"/>
        <v>471.58580086580344</v>
      </c>
      <c r="J7" s="180">
        <f t="shared" si="2"/>
        <v>543.23030303030589</v>
      </c>
      <c r="K7" s="180">
        <f t="shared" si="2"/>
        <v>620.15878787879126</v>
      </c>
      <c r="L7" s="180">
        <f t="shared" si="2"/>
        <v>702.3712554112592</v>
      </c>
      <c r="M7" s="180">
        <f t="shared" si="2"/>
        <v>789.86770562770982</v>
      </c>
      <c r="N7" s="180">
        <f t="shared" si="2"/>
        <v>882.64813852814336</v>
      </c>
      <c r="O7" s="294"/>
      <c r="P7" s="294"/>
      <c r="Q7" s="294"/>
      <c r="R7" s="294"/>
      <c r="S7" s="294"/>
      <c r="T7" s="294"/>
      <c r="U7" s="55"/>
      <c r="V7" s="55"/>
    </row>
    <row r="8" spans="1:37" ht="15" thickBot="1" x14ac:dyDescent="0.35">
      <c r="A8" s="181">
        <v>0.15</v>
      </c>
      <c r="B8" s="182" t="s">
        <v>117</v>
      </c>
      <c r="C8" s="178" t="s">
        <v>138</v>
      </c>
      <c r="D8" s="182"/>
      <c r="E8" s="183">
        <f>E5*$A$8</f>
        <v>89.192857142857733</v>
      </c>
      <c r="F8" s="183">
        <f t="shared" ref="F8:N8" si="3">F5*$A$8</f>
        <v>108.13357142857207</v>
      </c>
      <c r="G8" s="183">
        <f t="shared" si="3"/>
        <v>129.05577922077995</v>
      </c>
      <c r="H8" s="183">
        <f t="shared" si="3"/>
        <v>151.95948051948133</v>
      </c>
      <c r="I8" s="183">
        <f t="shared" si="3"/>
        <v>176.84467532467627</v>
      </c>
      <c r="J8" s="183">
        <f t="shared" si="3"/>
        <v>203.71136363636472</v>
      </c>
      <c r="K8" s="183">
        <f t="shared" si="3"/>
        <v>232.55954545454668</v>
      </c>
      <c r="L8" s="183">
        <f t="shared" si="3"/>
        <v>263.38922077922217</v>
      </c>
      <c r="M8" s="183">
        <f t="shared" si="3"/>
        <v>296.20038961039114</v>
      </c>
      <c r="N8" s="183">
        <f t="shared" si="3"/>
        <v>330.99305194805373</v>
      </c>
      <c r="O8" s="294"/>
      <c r="P8" s="294"/>
      <c r="Q8" s="294"/>
      <c r="R8" s="294"/>
      <c r="S8" s="294"/>
      <c r="T8" s="294"/>
      <c r="U8" s="55"/>
      <c r="V8" s="55"/>
    </row>
    <row r="9" spans="1:37" ht="15" thickTop="1" x14ac:dyDescent="0.3">
      <c r="A9" s="184"/>
      <c r="B9" s="185" t="s">
        <v>118</v>
      </c>
      <c r="C9" s="186"/>
      <c r="D9" s="298"/>
      <c r="E9" s="187">
        <f>E4-E5</f>
        <v>883.92791320126298</v>
      </c>
      <c r="F9" s="187">
        <f t="shared" ref="F9:N9" si="4">F4-F5</f>
        <v>1009.2874370107866</v>
      </c>
      <c r="G9" s="187">
        <f t="shared" si="4"/>
        <v>1146.3661166644658</v>
      </c>
      <c r="H9" s="187">
        <f t="shared" si="4"/>
        <v>1295.1639521623015</v>
      </c>
      <c r="I9" s="187">
        <f t="shared" si="4"/>
        <v>1455.6809435042926</v>
      </c>
      <c r="J9" s="187">
        <f t="shared" si="4"/>
        <v>1627.9170906904401</v>
      </c>
      <c r="K9" s="187">
        <f t="shared" si="4"/>
        <v>1811.8723937207433</v>
      </c>
      <c r="L9" s="187">
        <f t="shared" si="4"/>
        <v>2007.5468525952028</v>
      </c>
      <c r="M9" s="187">
        <f t="shared" si="4"/>
        <v>2214.9404673138179</v>
      </c>
      <c r="N9" s="188">
        <f t="shared" si="4"/>
        <v>2434.0532378765893</v>
      </c>
      <c r="O9" s="294"/>
      <c r="P9" s="294"/>
      <c r="Q9" s="294"/>
      <c r="R9" s="294"/>
      <c r="S9" s="294"/>
      <c r="T9" s="294"/>
      <c r="U9" s="55"/>
      <c r="V9" s="55"/>
      <c r="AI9" s="255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50.578000000000003</v>
      </c>
      <c r="F10" s="176">
        <f>E10*(1+$A$10)</f>
        <v>55.63580000000001</v>
      </c>
      <c r="G10" s="176">
        <f t="shared" ref="G10:N10" si="5">F10*(1+$A$10)</f>
        <v>61.199380000000019</v>
      </c>
      <c r="H10" s="176">
        <f t="shared" si="5"/>
        <v>67.319318000000024</v>
      </c>
      <c r="I10" s="176">
        <f t="shared" si="5"/>
        <v>74.051249800000036</v>
      </c>
      <c r="J10" s="176">
        <f t="shared" si="5"/>
        <v>81.456374780000047</v>
      </c>
      <c r="K10" s="176">
        <f t="shared" si="5"/>
        <v>89.602012258000059</v>
      </c>
      <c r="L10" s="176">
        <f t="shared" si="5"/>
        <v>98.562213483800079</v>
      </c>
      <c r="M10" s="176">
        <f t="shared" si="5"/>
        <v>108.4184348321801</v>
      </c>
      <c r="N10" s="176">
        <f t="shared" si="5"/>
        <v>119.26027831539811</v>
      </c>
      <c r="O10" s="294"/>
      <c r="P10" s="294"/>
      <c r="Q10" s="294"/>
      <c r="R10" s="294"/>
      <c r="S10" s="294"/>
      <c r="T10" s="294"/>
      <c r="U10" s="55"/>
      <c r="V10" s="55"/>
    </row>
    <row r="11" spans="1:37" x14ac:dyDescent="0.3">
      <c r="A11" s="164">
        <v>0.05</v>
      </c>
      <c r="B11" s="55" t="s">
        <v>120</v>
      </c>
      <c r="C11" s="10" t="s">
        <v>54</v>
      </c>
      <c r="D11" s="55"/>
      <c r="E11" s="189">
        <v>68.299875</v>
      </c>
      <c r="F11" s="189">
        <f>E11*(1+$A$11)</f>
        <v>71.714868750000008</v>
      </c>
      <c r="G11" s="189">
        <f t="shared" ref="G11:N11" si="6">F11*(1+$A$11)</f>
        <v>75.300612187500008</v>
      </c>
      <c r="H11" s="189">
        <f t="shared" si="6"/>
        <v>79.065642796875011</v>
      </c>
      <c r="I11" s="189">
        <f t="shared" si="6"/>
        <v>83.018924936718761</v>
      </c>
      <c r="J11" s="189">
        <f t="shared" si="6"/>
        <v>87.169871183554704</v>
      </c>
      <c r="K11" s="189">
        <f t="shared" si="6"/>
        <v>91.52836474273245</v>
      </c>
      <c r="L11" s="189">
        <f t="shared" si="6"/>
        <v>96.104782979869071</v>
      </c>
      <c r="M11" s="189">
        <f t="shared" si="6"/>
        <v>100.91002212886254</v>
      </c>
      <c r="N11" s="189">
        <f t="shared" si="6"/>
        <v>105.95552323530566</v>
      </c>
      <c r="O11" s="294"/>
      <c r="P11" s="294"/>
      <c r="Q11" s="294"/>
      <c r="R11" s="294"/>
      <c r="S11" s="294"/>
      <c r="T11" s="294"/>
      <c r="U11" s="55"/>
      <c r="V11" s="55"/>
    </row>
    <row r="12" spans="1:37" x14ac:dyDescent="0.3">
      <c r="A12" s="164">
        <v>0.02</v>
      </c>
      <c r="B12" s="55" t="s">
        <v>121</v>
      </c>
      <c r="C12" s="10" t="s">
        <v>138</v>
      </c>
      <c r="D12" s="55"/>
      <c r="E12" s="180">
        <f>E4*$A$12*0.6</f>
        <v>17.742563529843775</v>
      </c>
      <c r="F12" s="180">
        <f t="shared" ref="F12:N12" si="7">F4*$A$12*0.6</f>
        <v>20.762134958415206</v>
      </c>
      <c r="G12" s="180">
        <f t="shared" si="7"/>
        <v>24.080855737635986</v>
      </c>
      <c r="H12" s="180">
        <f t="shared" si="7"/>
        <v>27.698725867506123</v>
      </c>
      <c r="I12" s="180">
        <f t="shared" si="7"/>
        <v>31.615745348025612</v>
      </c>
      <c r="J12" s="180">
        <f t="shared" si="7"/>
        <v>35.831914179194456</v>
      </c>
      <c r="K12" s="180">
        <f t="shared" si="7"/>
        <v>40.347232361012651</v>
      </c>
      <c r="L12" s="180">
        <f t="shared" si="7"/>
        <v>45.161699893480204</v>
      </c>
      <c r="M12" s="180">
        <f t="shared" si="7"/>
        <v>50.275316776597101</v>
      </c>
      <c r="N12" s="180">
        <f t="shared" si="7"/>
        <v>55.688083010363371</v>
      </c>
      <c r="O12" s="294"/>
      <c r="P12" s="294"/>
      <c r="Q12" s="294"/>
      <c r="R12" s="294"/>
      <c r="S12" s="294"/>
      <c r="T12" s="294"/>
      <c r="U12" s="55"/>
      <c r="V12" s="55"/>
    </row>
    <row r="13" spans="1:37" x14ac:dyDescent="0.3">
      <c r="A13" s="165">
        <v>1.4999999999999999E-2</v>
      </c>
      <c r="B13" s="287" t="s">
        <v>201</v>
      </c>
      <c r="C13" s="263" t="s">
        <v>138</v>
      </c>
      <c r="D13" s="55"/>
      <c r="E13" s="180">
        <f>E4*$A$13</f>
        <v>22.178204412304716</v>
      </c>
      <c r="F13" s="180">
        <f t="shared" ref="F13:N13" si="8">F4*$A$13</f>
        <v>25.952668698019004</v>
      </c>
      <c r="G13" s="180">
        <f t="shared" si="8"/>
        <v>30.101069672044982</v>
      </c>
      <c r="H13" s="180">
        <f t="shared" si="8"/>
        <v>34.623407334382655</v>
      </c>
      <c r="I13" s="180">
        <f t="shared" si="8"/>
        <v>39.519681685032019</v>
      </c>
      <c r="J13" s="180">
        <f t="shared" si="8"/>
        <v>44.78989272399307</v>
      </c>
      <c r="K13" s="180">
        <f t="shared" si="8"/>
        <v>50.434040451265815</v>
      </c>
      <c r="L13" s="180">
        <f t="shared" si="8"/>
        <v>56.452124866850262</v>
      </c>
      <c r="M13" s="180">
        <f t="shared" si="8"/>
        <v>62.844145970746382</v>
      </c>
      <c r="N13" s="180">
        <f t="shared" si="8"/>
        <v>69.610103762954211</v>
      </c>
      <c r="O13" s="294"/>
      <c r="P13" s="294"/>
      <c r="Q13" s="294"/>
      <c r="R13" s="294"/>
      <c r="S13" s="294"/>
      <c r="T13" s="294"/>
      <c r="U13" s="55"/>
      <c r="V13" s="55"/>
    </row>
    <row r="14" spans="1:37" x14ac:dyDescent="0.3">
      <c r="A14" s="164">
        <v>0.1</v>
      </c>
      <c r="B14" s="287" t="s">
        <v>169</v>
      </c>
      <c r="C14" s="263" t="s">
        <v>138</v>
      </c>
      <c r="D14" s="55"/>
      <c r="E14" s="176">
        <f>$A$14*E5</f>
        <v>59.46190476190516</v>
      </c>
      <c r="F14" s="176">
        <f t="shared" ref="F14:N14" si="9">$A$14*F5</f>
        <v>72.08904761904806</v>
      </c>
      <c r="G14" s="176">
        <f t="shared" si="9"/>
        <v>86.037186147186645</v>
      </c>
      <c r="H14" s="176">
        <f t="shared" si="9"/>
        <v>101.3063203463209</v>
      </c>
      <c r="I14" s="176">
        <f t="shared" si="9"/>
        <v>117.89645021645086</v>
      </c>
      <c r="J14" s="176">
        <f t="shared" si="9"/>
        <v>135.80757575757647</v>
      </c>
      <c r="K14" s="176">
        <f t="shared" si="9"/>
        <v>155.03969696969781</v>
      </c>
      <c r="L14" s="176">
        <f t="shared" si="9"/>
        <v>175.5928138528148</v>
      </c>
      <c r="M14" s="176">
        <f t="shared" si="9"/>
        <v>197.46692640692746</v>
      </c>
      <c r="N14" s="176">
        <f t="shared" si="9"/>
        <v>220.66203463203584</v>
      </c>
      <c r="O14" s="294"/>
      <c r="P14" s="294"/>
      <c r="Q14" s="294"/>
      <c r="R14" s="294"/>
      <c r="S14" s="294"/>
      <c r="T14" s="294"/>
      <c r="U14" s="55"/>
      <c r="V14" s="55"/>
    </row>
    <row r="15" spans="1:37" x14ac:dyDescent="0.3">
      <c r="A15" s="309"/>
      <c r="B15" s="294" t="s">
        <v>199</v>
      </c>
      <c r="C15" s="263" t="s">
        <v>138</v>
      </c>
      <c r="D15" s="294"/>
      <c r="E15" s="307">
        <v>18.490759270810095</v>
      </c>
      <c r="F15" s="307">
        <v>19.322187842238769</v>
      </c>
      <c r="G15" s="307">
        <v>20.095878318429357</v>
      </c>
      <c r="H15" s="307">
        <v>20.811830699381854</v>
      </c>
      <c r="I15" s="307">
        <v>21.470044985096262</v>
      </c>
      <c r="J15" s="307">
        <v>22.07052117557258</v>
      </c>
      <c r="K15" s="307">
        <v>22.613259270810811</v>
      </c>
      <c r="L15" s="307">
        <v>23.098259270810953</v>
      </c>
      <c r="M15" s="307">
        <v>23.525521175573004</v>
      </c>
      <c r="N15" s="307">
        <v>23.89504498509697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11">
        <v>0.02</v>
      </c>
      <c r="B16" s="294" t="s">
        <v>208</v>
      </c>
      <c r="C16" s="263" t="s">
        <v>138</v>
      </c>
      <c r="D16" s="294"/>
      <c r="E16" s="307">
        <f>$A$16*E4</f>
        <v>29.570939216406291</v>
      </c>
      <c r="F16" s="307">
        <f t="shared" ref="F16:N16" si="10">$A$16*F4</f>
        <v>34.603558264025345</v>
      </c>
      <c r="G16" s="307">
        <f t="shared" si="10"/>
        <v>40.134759562726643</v>
      </c>
      <c r="H16" s="307">
        <f t="shared" si="10"/>
        <v>46.164543112510209</v>
      </c>
      <c r="I16" s="307">
        <f t="shared" si="10"/>
        <v>52.692908913376023</v>
      </c>
      <c r="J16" s="307">
        <f t="shared" si="10"/>
        <v>59.719856965324098</v>
      </c>
      <c r="K16" s="307">
        <f t="shared" si="10"/>
        <v>67.24538726835442</v>
      </c>
      <c r="L16" s="307">
        <f t="shared" si="10"/>
        <v>75.269499822467012</v>
      </c>
      <c r="M16" s="307">
        <f t="shared" si="10"/>
        <v>83.792194627661843</v>
      </c>
      <c r="N16" s="307">
        <f t="shared" si="10"/>
        <v>92.813471683938957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09">
        <v>0.01</v>
      </c>
      <c r="B17" s="294" t="s">
        <v>209</v>
      </c>
      <c r="C17" s="263" t="s">
        <v>138</v>
      </c>
      <c r="D17" s="294"/>
      <c r="E17" s="307">
        <f>$A$17*E4</f>
        <v>14.785469608203146</v>
      </c>
      <c r="F17" s="307">
        <f t="shared" ref="F17:N17" si="11">$A$17*F4</f>
        <v>17.301779132012673</v>
      </c>
      <c r="G17" s="307">
        <f t="shared" si="11"/>
        <v>20.067379781363321</v>
      </c>
      <c r="H17" s="307">
        <f t="shared" si="11"/>
        <v>23.082271556255105</v>
      </c>
      <c r="I17" s="307">
        <f t="shared" si="11"/>
        <v>26.346454456688011</v>
      </c>
      <c r="J17" s="307">
        <f t="shared" si="11"/>
        <v>29.859928482662049</v>
      </c>
      <c r="K17" s="307">
        <f t="shared" si="11"/>
        <v>33.62269363417721</v>
      </c>
      <c r="L17" s="307">
        <f t="shared" si="11"/>
        <v>37.634749911233506</v>
      </c>
      <c r="M17" s="307">
        <f t="shared" si="11"/>
        <v>41.896097313830921</v>
      </c>
      <c r="N17" s="307">
        <f t="shared" si="11"/>
        <v>46.406735841969478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09"/>
      <c r="B18" s="294" t="s">
        <v>210</v>
      </c>
      <c r="C18" s="263" t="s">
        <v>138</v>
      </c>
      <c r="D18" s="294"/>
      <c r="E18" s="307">
        <v>5</v>
      </c>
      <c r="F18" s="307">
        <v>5</v>
      </c>
      <c r="G18" s="307">
        <v>5</v>
      </c>
      <c r="H18" s="307">
        <v>5</v>
      </c>
      <c r="I18" s="307">
        <v>5</v>
      </c>
      <c r="J18" s="307">
        <v>5</v>
      </c>
      <c r="K18" s="307">
        <v>5</v>
      </c>
      <c r="L18" s="307">
        <v>5</v>
      </c>
      <c r="M18" s="307">
        <v>5</v>
      </c>
      <c r="N18" s="307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09"/>
      <c r="B19" s="294"/>
      <c r="C19" s="263" t="s">
        <v>138</v>
      </c>
      <c r="D19" s="294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09"/>
      <c r="B20" s="294"/>
      <c r="C20" s="263" t="s">
        <v>138</v>
      </c>
      <c r="D20" s="294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09"/>
      <c r="B21" s="294"/>
      <c r="C21" s="263" t="s">
        <v>138</v>
      </c>
      <c r="D21" s="294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09"/>
      <c r="B22" s="294"/>
      <c r="C22" s="263" t="s">
        <v>138</v>
      </c>
      <c r="D22" s="294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09"/>
      <c r="B23" s="294"/>
      <c r="C23" s="263" t="s">
        <v>138</v>
      </c>
      <c r="D23" s="294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09"/>
      <c r="B24" s="294"/>
      <c r="C24" s="263" t="s">
        <v>138</v>
      </c>
      <c r="D24" s="294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09"/>
      <c r="B25" s="294"/>
      <c r="C25" s="263" t="s">
        <v>138</v>
      </c>
      <c r="D25" s="294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09"/>
      <c r="B26" s="294"/>
      <c r="C26" s="263" t="s">
        <v>138</v>
      </c>
      <c r="D26" s="294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09"/>
      <c r="B27" s="294"/>
      <c r="C27" s="263" t="s">
        <v>138</v>
      </c>
      <c r="D27" s="294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09"/>
      <c r="B28" s="294"/>
      <c r="C28" s="263" t="s">
        <v>138</v>
      </c>
      <c r="D28" s="294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09"/>
      <c r="B29" s="294"/>
      <c r="C29" s="263" t="s">
        <v>138</v>
      </c>
      <c r="D29" s="294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09"/>
      <c r="B30" s="294"/>
      <c r="C30" s="263" t="s">
        <v>138</v>
      </c>
      <c r="D30" s="294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09"/>
      <c r="B31" s="294"/>
      <c r="C31" s="263" t="s">
        <v>138</v>
      </c>
      <c r="D31" s="294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09"/>
      <c r="B32" s="294"/>
      <c r="C32" s="263" t="s">
        <v>138</v>
      </c>
      <c r="D32" s="294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10"/>
      <c r="B33" s="296"/>
      <c r="C33" s="263" t="s">
        <v>138</v>
      </c>
      <c r="D33" s="296"/>
      <c r="E33" s="308"/>
      <c r="F33" s="308"/>
      <c r="G33" s="308"/>
      <c r="H33" s="308"/>
      <c r="I33" s="308"/>
      <c r="J33" s="308"/>
      <c r="K33" s="308"/>
      <c r="L33" s="308"/>
      <c r="M33" s="308"/>
      <c r="N33" s="308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165</v>
      </c>
      <c r="C34" s="283" t="s">
        <v>54</v>
      </c>
      <c r="D34" s="285"/>
      <c r="E34" s="193">
        <f>IF($C$7=$Q$6,IF($C$11=$Q$6,(E7+E11)*0.1267,""),IF($C$7=$Q$5,IF($C$11=$Q$6,E11*0.1267,""),""))</f>
        <v>8.653594162500001</v>
      </c>
      <c r="F34" s="193">
        <f t="shared" ref="F34:U34" si="12">IF($C$7=$Q$6,IF($C$11=$Q$6,(F7+F11)*0.1267,""),IF($C$7=$Q$5,IF($C$11=$Q$6,F11*0.1267,""),""))</f>
        <v>9.0862738706250017</v>
      </c>
      <c r="G34" s="193">
        <f t="shared" si="12"/>
        <v>9.540587564156251</v>
      </c>
      <c r="H34" s="193">
        <f t="shared" si="12"/>
        <v>10.017616942364064</v>
      </c>
      <c r="I34" s="193">
        <f t="shared" si="12"/>
        <v>10.518497789482268</v>
      </c>
      <c r="J34" s="193">
        <f t="shared" si="12"/>
        <v>11.044422678956382</v>
      </c>
      <c r="K34" s="193">
        <f t="shared" si="12"/>
        <v>11.596643812904203</v>
      </c>
      <c r="L34" s="193">
        <f t="shared" si="12"/>
        <v>12.176476003549412</v>
      </c>
      <c r="M34" s="193">
        <f t="shared" si="12"/>
        <v>12.785299803726884</v>
      </c>
      <c r="N34" s="193">
        <f t="shared" si="12"/>
        <v>13.424564793913229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166</v>
      </c>
      <c r="C35" s="282" t="s">
        <v>54</v>
      </c>
      <c r="D35" s="284"/>
      <c r="E35" s="190">
        <v>0</v>
      </c>
      <c r="F35" s="190">
        <v>0</v>
      </c>
      <c r="G35" s="190">
        <v>0</v>
      </c>
      <c r="H35" s="190">
        <v>0</v>
      </c>
      <c r="I35" s="190">
        <v>0</v>
      </c>
      <c r="J35" s="190">
        <v>0</v>
      </c>
      <c r="K35" s="190">
        <v>0</v>
      </c>
      <c r="L35" s="190">
        <v>0</v>
      </c>
      <c r="M35" s="190">
        <v>0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6">
        <v>0</v>
      </c>
      <c r="W35" s="236">
        <v>0</v>
      </c>
      <c r="X35" s="236">
        <v>0</v>
      </c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</row>
    <row r="36" spans="1:104" ht="15" thickTop="1" x14ac:dyDescent="0.3">
      <c r="A36" s="166">
        <v>0.2</v>
      </c>
      <c r="B36" s="55" t="s">
        <v>167</v>
      </c>
      <c r="C36" s="286" t="s">
        <v>138</v>
      </c>
      <c r="D36" s="289">
        <v>400</v>
      </c>
      <c r="E36" s="176">
        <v>80</v>
      </c>
      <c r="F36" s="176">
        <v>80</v>
      </c>
      <c r="G36" s="176">
        <v>80</v>
      </c>
      <c r="H36" s="176">
        <v>80</v>
      </c>
      <c r="I36" s="176">
        <v>80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203</v>
      </c>
      <c r="C37" s="286" t="s">
        <v>138</v>
      </c>
      <c r="D37" s="289">
        <v>45</v>
      </c>
      <c r="E37" s="313">
        <v>9</v>
      </c>
      <c r="F37" s="313">
        <v>9</v>
      </c>
      <c r="G37" s="313">
        <v>9</v>
      </c>
      <c r="H37" s="176">
        <v>9</v>
      </c>
      <c r="I37" s="176">
        <v>9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200</v>
      </c>
      <c r="C38" s="286" t="s">
        <v>138</v>
      </c>
      <c r="D38" s="289">
        <v>65</v>
      </c>
      <c r="E38" s="176">
        <v>13</v>
      </c>
      <c r="F38" s="176">
        <v>13</v>
      </c>
      <c r="G38" s="176">
        <v>13</v>
      </c>
      <c r="H38" s="176">
        <v>13</v>
      </c>
      <c r="I38" s="176">
        <v>13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0.33329999999999999</v>
      </c>
      <c r="B39" s="55" t="s">
        <v>204</v>
      </c>
      <c r="C39" s="286" t="s">
        <v>138</v>
      </c>
      <c r="D39" s="289">
        <v>25</v>
      </c>
      <c r="E39" s="176">
        <v>8.3324999999999996</v>
      </c>
      <c r="F39" s="176">
        <v>8.3324999999999996</v>
      </c>
      <c r="G39" s="176">
        <v>8.3324999999999996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205</v>
      </c>
      <c r="C40" s="286" t="s">
        <v>138</v>
      </c>
      <c r="D40" s="289">
        <v>10</v>
      </c>
      <c r="E40" s="176">
        <v>2.5</v>
      </c>
      <c r="F40" s="176">
        <v>2.5</v>
      </c>
      <c r="G40" s="176">
        <v>2.5</v>
      </c>
      <c r="H40" s="176">
        <v>2.5</v>
      </c>
      <c r="I40" s="316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0.2</v>
      </c>
      <c r="B41" s="55" t="s">
        <v>206</v>
      </c>
      <c r="C41" s="286" t="s">
        <v>138</v>
      </c>
      <c r="D41" s="289">
        <v>20</v>
      </c>
      <c r="E41" s="176">
        <v>4</v>
      </c>
      <c r="F41" s="176">
        <v>4</v>
      </c>
      <c r="G41" s="176">
        <v>4</v>
      </c>
      <c r="H41" s="176">
        <v>4</v>
      </c>
      <c r="I41" s="176">
        <v>4</v>
      </c>
      <c r="J41" s="176">
        <v>0</v>
      </c>
      <c r="K41" s="176">
        <v>0</v>
      </c>
      <c r="L41" s="176">
        <v>0</v>
      </c>
      <c r="M41" s="176">
        <v>0</v>
      </c>
      <c r="N41" s="176">
        <v>0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0.2</v>
      </c>
      <c r="B42" s="55" t="s">
        <v>207</v>
      </c>
      <c r="C42" s="312" t="s">
        <v>138</v>
      </c>
      <c r="D42" s="290">
        <v>10</v>
      </c>
      <c r="E42" s="176">
        <v>2</v>
      </c>
      <c r="F42" s="176">
        <v>2</v>
      </c>
      <c r="G42" s="176">
        <v>2</v>
      </c>
      <c r="H42" s="176">
        <v>2</v>
      </c>
      <c r="I42" s="176">
        <v>2</v>
      </c>
      <c r="J42" s="176">
        <v>0</v>
      </c>
      <c r="K42" s="176">
        <v>0</v>
      </c>
      <c r="L42" s="176">
        <v>0</v>
      </c>
      <c r="M42" s="176">
        <v>0</v>
      </c>
      <c r="N42" s="176">
        <v>0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93" t="s">
        <v>168</v>
      </c>
      <c r="C43" s="163"/>
      <c r="D43" s="297">
        <v>575</v>
      </c>
      <c r="E43" s="297">
        <f>E9-SUM(E10:E42)</f>
        <v>470.33410323928985</v>
      </c>
      <c r="F43" s="297">
        <f t="shared" ref="F43:U43" si="13">F9-SUM(F10:F42)</f>
        <v>558.98661787640253</v>
      </c>
      <c r="G43" s="297">
        <f t="shared" si="13"/>
        <v>655.97590769342264</v>
      </c>
      <c r="H43" s="297">
        <f t="shared" si="13"/>
        <v>769.57427550670559</v>
      </c>
      <c r="I43" s="297">
        <f t="shared" si="13"/>
        <v>885.5509853734228</v>
      </c>
      <c r="J43" s="297">
        <f t="shared" si="13"/>
        <v>1115.1667327636062</v>
      </c>
      <c r="K43" s="297">
        <f t="shared" si="13"/>
        <v>1244.8430629517877</v>
      </c>
      <c r="L43" s="297">
        <f t="shared" si="13"/>
        <v>1382.4942325103275</v>
      </c>
      <c r="M43" s="297">
        <f t="shared" si="13"/>
        <v>1528.0265082777119</v>
      </c>
      <c r="N43" s="297">
        <f t="shared" si="13"/>
        <v>1681.3373976156136</v>
      </c>
      <c r="O43" s="297">
        <f t="shared" si="13"/>
        <v>0</v>
      </c>
      <c r="P43" s="297">
        <f t="shared" si="13"/>
        <v>0</v>
      </c>
      <c r="Q43" s="297">
        <f t="shared" si="13"/>
        <v>0</v>
      </c>
      <c r="R43" s="297">
        <f t="shared" si="13"/>
        <v>0</v>
      </c>
      <c r="S43" s="297">
        <f t="shared" si="13"/>
        <v>0</v>
      </c>
      <c r="T43" s="297">
        <f t="shared" si="13"/>
        <v>0</v>
      </c>
      <c r="U43" s="297">
        <f t="shared" si="13"/>
        <v>0</v>
      </c>
    </row>
    <row r="44" spans="1:104" x14ac:dyDescent="0.3">
      <c r="A44" s="55"/>
      <c r="B44" s="292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25" t="s">
        <v>170</v>
      </c>
      <c r="B45" s="326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171</v>
      </c>
      <c r="C46" s="55"/>
      <c r="D46" s="180"/>
      <c r="E46" s="176">
        <f>IF(E59&lt;0,0,E59)</f>
        <v>10.934408688214759</v>
      </c>
      <c r="F46" s="176">
        <f t="shared" ref="F46:U46" si="14">IF(F59&lt;0,0,F59)</f>
        <v>91.03443125964327</v>
      </c>
      <c r="G46" s="176">
        <f t="shared" si="14"/>
        <v>103.15795289340943</v>
      </c>
      <c r="H46" s="176">
        <f t="shared" si="14"/>
        <v>116.29890422951334</v>
      </c>
      <c r="I46" s="176">
        <f t="shared" si="14"/>
        <v>130.45060897195486</v>
      </c>
      <c r="J46" s="176">
        <f t="shared" si="14"/>
        <v>145.60572319513406</v>
      </c>
      <c r="K46" s="176">
        <f t="shared" si="14"/>
        <v>161.75616858089089</v>
      </c>
      <c r="L46" s="176">
        <f t="shared" si="14"/>
        <v>178.89305897924953</v>
      </c>
      <c r="M46" s="176">
        <f t="shared" si="14"/>
        <v>197.00661962523606</v>
      </c>
      <c r="N46" s="176">
        <f t="shared" si="14"/>
        <v>216.0860982773799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172</v>
      </c>
      <c r="C47" s="287"/>
      <c r="E47" s="180">
        <f>IF(E67&lt;0,0,E67)</f>
        <v>103.49828725742204</v>
      </c>
      <c r="F47" s="180">
        <f t="shared" ref="F47:U47" si="15">IF(F67&lt;0,0,F67)</f>
        <v>121.11245392408871</v>
      </c>
      <c r="G47" s="180">
        <f t="shared" si="15"/>
        <v>140.47165846954326</v>
      </c>
      <c r="H47" s="180">
        <f t="shared" si="15"/>
        <v>161.57590089378576</v>
      </c>
      <c r="I47" s="180">
        <f t="shared" si="15"/>
        <v>184.42518119681608</v>
      </c>
      <c r="J47" s="180">
        <f t="shared" si="15"/>
        <v>209.01949937863435</v>
      </c>
      <c r="K47" s="180">
        <f t="shared" si="15"/>
        <v>235.3588554392405</v>
      </c>
      <c r="L47" s="180">
        <f t="shared" si="15"/>
        <v>263.44324937863456</v>
      </c>
      <c r="M47" s="180">
        <f t="shared" si="15"/>
        <v>293.27268119681651</v>
      </c>
      <c r="N47" s="180">
        <f t="shared" si="15"/>
        <v>324.84715089378636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173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93" t="s">
        <v>175</v>
      </c>
      <c r="C49" s="163"/>
      <c r="D49" s="163"/>
      <c r="E49" s="297">
        <f>E43-E47-E46</f>
        <v>355.90140729365305</v>
      </c>
      <c r="F49" s="297">
        <f t="shared" ref="F49:N49" si="16">F43-F47-F46</f>
        <v>346.83973269267057</v>
      </c>
      <c r="G49" s="297">
        <f t="shared" si="16"/>
        <v>412.34629633046995</v>
      </c>
      <c r="H49" s="297">
        <f t="shared" si="16"/>
        <v>491.69947038340649</v>
      </c>
      <c r="I49" s="297">
        <f>I43-I47-I46</f>
        <v>570.6751952046518</v>
      </c>
      <c r="J49" s="297">
        <f t="shared" si="16"/>
        <v>760.54151018983782</v>
      </c>
      <c r="K49" s="297">
        <f t="shared" si="16"/>
        <v>847.72803893165633</v>
      </c>
      <c r="L49" s="297">
        <f t="shared" si="16"/>
        <v>940.15792415244334</v>
      </c>
      <c r="M49" s="297">
        <f t="shared" si="16"/>
        <v>1037.7472074556595</v>
      </c>
      <c r="N49" s="297">
        <f t="shared" si="16"/>
        <v>1140.4041484444472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176</v>
      </c>
      <c r="C50" s="55"/>
      <c r="D50" s="55"/>
      <c r="E50" s="180">
        <f>SUM(E36:E42)</f>
        <v>118.8325</v>
      </c>
      <c r="F50" s="180">
        <f t="shared" ref="F50:U50" si="17">SUM(F36:F42)</f>
        <v>118.8325</v>
      </c>
      <c r="G50" s="180">
        <f t="shared" si="17"/>
        <v>118.8325</v>
      </c>
      <c r="H50" s="180">
        <f t="shared" si="17"/>
        <v>110.5</v>
      </c>
      <c r="I50" s="180">
        <f t="shared" si="17"/>
        <v>108</v>
      </c>
      <c r="J50" s="180">
        <f t="shared" si="17"/>
        <v>0</v>
      </c>
      <c r="K50" s="180">
        <f t="shared" si="17"/>
        <v>0</v>
      </c>
      <c r="L50" s="180">
        <f t="shared" si="17"/>
        <v>0</v>
      </c>
      <c r="M50" s="180">
        <f t="shared" si="17"/>
        <v>0</v>
      </c>
      <c r="N50" s="180">
        <f t="shared" si="17"/>
        <v>0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177</v>
      </c>
      <c r="C51" s="55"/>
      <c r="D51" s="55"/>
      <c r="E51" s="180">
        <f>E50+E49</f>
        <v>474.73390729365303</v>
      </c>
      <c r="F51" s="180">
        <f t="shared" ref="F51:U51" si="18">F50+F49</f>
        <v>465.67223269267055</v>
      </c>
      <c r="G51" s="180">
        <f t="shared" si="18"/>
        <v>531.17879633046994</v>
      </c>
      <c r="H51" s="180">
        <f t="shared" si="18"/>
        <v>602.19947038340649</v>
      </c>
      <c r="I51" s="180">
        <f t="shared" si="18"/>
        <v>678.6751952046518</v>
      </c>
      <c r="J51" s="180">
        <f t="shared" si="18"/>
        <v>760.54151018983782</v>
      </c>
      <c r="K51" s="180">
        <f t="shared" si="18"/>
        <v>847.72803893165633</v>
      </c>
      <c r="L51" s="180">
        <f t="shared" si="18"/>
        <v>940.15792415244334</v>
      </c>
      <c r="M51" s="180">
        <f t="shared" si="18"/>
        <v>1037.7472074556595</v>
      </c>
      <c r="N51" s="180">
        <f t="shared" si="18"/>
        <v>1140.4041484444472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91"/>
      <c r="B52" s="293" t="s">
        <v>174</v>
      </c>
      <c r="C52" s="293"/>
      <c r="D52" s="305">
        <f>I2*-1</f>
        <v>-575</v>
      </c>
      <c r="E52" s="306">
        <f>E51*((1+$K$2)^(-E53))</f>
        <v>412.35715578456637</v>
      </c>
      <c r="F52" s="306">
        <f t="shared" ref="F52:N52" si="19">F51*((1+$K$2)^(-F53))</f>
        <v>351.33944402053129</v>
      </c>
      <c r="G52" s="306">
        <f t="shared" si="19"/>
        <v>348.10525659422052</v>
      </c>
      <c r="H52" s="306">
        <f t="shared" si="19"/>
        <v>342.79423053779504</v>
      </c>
      <c r="I52" s="306">
        <f t="shared" si="19"/>
        <v>335.56634283344135</v>
      </c>
      <c r="J52" s="306">
        <f t="shared" si="19"/>
        <v>326.63492907139101</v>
      </c>
      <c r="K52" s="306">
        <f t="shared" si="19"/>
        <v>316.24198942797045</v>
      </c>
      <c r="L52" s="306">
        <f t="shared" si="19"/>
        <v>304.64010758964923</v>
      </c>
      <c r="M52" s="306">
        <f t="shared" si="19"/>
        <v>292.07953346806408</v>
      </c>
      <c r="N52" s="306">
        <f t="shared" si="19"/>
        <v>278.79926532350436</v>
      </c>
      <c r="O52" s="306">
        <f t="shared" ref="O52" si="20">O51*((1+$K$2)^(-O53))</f>
        <v>0</v>
      </c>
      <c r="P52" s="306">
        <f t="shared" ref="P52" si="21">P51*((1+$K$2)^(-P53))</f>
        <v>0</v>
      </c>
      <c r="Q52" s="306">
        <f t="shared" ref="Q52" si="22">Q51*((1+$K$2)^(-Q53))</f>
        <v>0</v>
      </c>
      <c r="R52" s="306">
        <f t="shared" ref="R52" si="23">R51*((1+$K$2)^(-R53))</f>
        <v>0</v>
      </c>
      <c r="S52" s="306">
        <f t="shared" ref="S52" si="24">S51*((1+$K$2)^(-S53))</f>
        <v>0</v>
      </c>
      <c r="T52" s="306">
        <f t="shared" ref="T52" si="25">T51*((1+$K$2)^(-T53))</f>
        <v>0</v>
      </c>
      <c r="U52" s="306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178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179</v>
      </c>
      <c r="C55" s="50" t="s">
        <v>184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180</v>
      </c>
      <c r="C56" s="55"/>
      <c r="D56" s="55"/>
      <c r="E56" s="180">
        <f t="shared" ref="E56:U56" si="28">0.12*E4</f>
        <v>177.42563529843773</v>
      </c>
      <c r="F56" s="180">
        <f t="shared" si="28"/>
        <v>207.62134958415203</v>
      </c>
      <c r="G56" s="180">
        <f t="shared" si="28"/>
        <v>240.80855737635986</v>
      </c>
      <c r="H56" s="180">
        <f t="shared" si="28"/>
        <v>276.98725867506124</v>
      </c>
      <c r="I56" s="180">
        <f t="shared" si="28"/>
        <v>316.15745348025615</v>
      </c>
      <c r="J56" s="180">
        <f t="shared" si="28"/>
        <v>358.31914179194456</v>
      </c>
      <c r="K56" s="180">
        <f t="shared" si="28"/>
        <v>403.47232361012652</v>
      </c>
      <c r="L56" s="180">
        <f t="shared" si="28"/>
        <v>451.6169989348021</v>
      </c>
      <c r="M56" s="180">
        <f t="shared" si="28"/>
        <v>502.75316776597106</v>
      </c>
      <c r="N56" s="180">
        <f t="shared" si="28"/>
        <v>556.88083010363368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192</v>
      </c>
      <c r="B57" s="55" t="s">
        <v>181</v>
      </c>
      <c r="C57" s="55"/>
      <c r="D57" s="180">
        <f>D43*0.12</f>
        <v>69</v>
      </c>
      <c r="E57" s="176">
        <f t="shared" ref="E57:U57" si="29">SUMIF($C$6:$C$33,$Q$5,E6:E33)*0.12</f>
        <v>97.491226610222967</v>
      </c>
      <c r="F57" s="176">
        <f t="shared" si="29"/>
        <v>116.58691832450876</v>
      </c>
      <c r="G57" s="176">
        <f t="shared" si="29"/>
        <v>137.65060448295043</v>
      </c>
      <c r="H57" s="176">
        <f t="shared" si="29"/>
        <v>160.6883544455479</v>
      </c>
      <c r="I57" s="176">
        <f t="shared" si="29"/>
        <v>185.70684450830129</v>
      </c>
      <c r="J57" s="176">
        <f t="shared" si="29"/>
        <v>212.7134185968105</v>
      </c>
      <c r="K57" s="176">
        <f t="shared" si="29"/>
        <v>241.71615502923564</v>
      </c>
      <c r="L57" s="176">
        <f t="shared" si="29"/>
        <v>272.72393995555257</v>
      </c>
      <c r="M57" s="176">
        <f t="shared" si="29"/>
        <v>305.746548140735</v>
      </c>
      <c r="N57" s="176">
        <f t="shared" si="29"/>
        <v>340.79473182625378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193</v>
      </c>
      <c r="B58" s="327" t="s">
        <v>182</v>
      </c>
      <c r="C58" s="327"/>
      <c r="D58" s="55"/>
      <c r="E58" s="176">
        <f>IF(D59&lt;0,-D59,0)</f>
        <v>69</v>
      </c>
      <c r="F58" s="176">
        <f t="shared" ref="F58:U58" si="30">IF(E59&lt;0,-E59,0)</f>
        <v>0</v>
      </c>
      <c r="G58" s="176">
        <f t="shared" si="30"/>
        <v>0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194</v>
      </c>
      <c r="B59" s="162" t="s">
        <v>183</v>
      </c>
      <c r="C59" s="163"/>
      <c r="D59" s="297">
        <f>D56-D57-D58</f>
        <v>-69</v>
      </c>
      <c r="E59" s="297">
        <f t="shared" ref="E59:U59" si="31">E56-E57-E58</f>
        <v>10.934408688214759</v>
      </c>
      <c r="F59" s="297">
        <f t="shared" si="31"/>
        <v>91.03443125964327</v>
      </c>
      <c r="G59" s="297">
        <f t="shared" si="31"/>
        <v>103.15795289340943</v>
      </c>
      <c r="H59" s="297">
        <f t="shared" si="31"/>
        <v>116.29890422951334</v>
      </c>
      <c r="I59" s="297">
        <f t="shared" si="31"/>
        <v>130.45060897195486</v>
      </c>
      <c r="J59" s="297">
        <f t="shared" si="31"/>
        <v>145.60572319513406</v>
      </c>
      <c r="K59" s="297">
        <f t="shared" si="31"/>
        <v>161.75616858089089</v>
      </c>
      <c r="L59" s="297">
        <f t="shared" si="31"/>
        <v>178.89305897924953</v>
      </c>
      <c r="M59" s="297">
        <f t="shared" si="31"/>
        <v>197.00661962523606</v>
      </c>
      <c r="N59" s="297">
        <f t="shared" si="31"/>
        <v>216.0860982773799</v>
      </c>
      <c r="O59" s="297">
        <f t="shared" si="31"/>
        <v>0</v>
      </c>
      <c r="P59" s="297">
        <f t="shared" si="31"/>
        <v>0</v>
      </c>
      <c r="Q59" s="297">
        <f t="shared" si="31"/>
        <v>0</v>
      </c>
      <c r="R59" s="297">
        <f t="shared" si="31"/>
        <v>0</v>
      </c>
      <c r="S59" s="297">
        <f t="shared" si="31"/>
        <v>0</v>
      </c>
      <c r="T59" s="297">
        <f t="shared" si="31"/>
        <v>0</v>
      </c>
      <c r="U59" s="297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185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191</v>
      </c>
      <c r="E62" s="180">
        <f t="shared" ref="E62:U62" si="32">E4</f>
        <v>1478.5469608203146</v>
      </c>
      <c r="F62" s="180">
        <f t="shared" si="32"/>
        <v>1730.1779132012671</v>
      </c>
      <c r="G62" s="180">
        <f t="shared" si="32"/>
        <v>2006.7379781363322</v>
      </c>
      <c r="H62" s="180">
        <f t="shared" si="32"/>
        <v>2308.2271556255105</v>
      </c>
      <c r="I62" s="180">
        <f t="shared" si="32"/>
        <v>2634.6454456688011</v>
      </c>
      <c r="J62" s="180">
        <f t="shared" si="32"/>
        <v>2985.9928482662049</v>
      </c>
      <c r="K62" s="180">
        <f t="shared" si="32"/>
        <v>3362.2693634177213</v>
      </c>
      <c r="L62" s="180">
        <f t="shared" si="32"/>
        <v>3763.4749911233507</v>
      </c>
      <c r="M62" s="180">
        <f t="shared" si="32"/>
        <v>4189.6097313830924</v>
      </c>
      <c r="N62" s="180">
        <f t="shared" si="32"/>
        <v>4640.6735841969476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27" t="s">
        <v>186</v>
      </c>
      <c r="C63" s="327"/>
      <c r="D63" s="55" t="s">
        <v>191</v>
      </c>
      <c r="E63" s="180">
        <f>E5+SUM(E10:E42)</f>
        <v>1008.2128575810248</v>
      </c>
      <c r="F63" s="180">
        <f t="shared" ref="F63:N63" si="33">F5+SUM(F10:F42)</f>
        <v>1171.1912953248645</v>
      </c>
      <c r="G63" s="180">
        <f t="shared" si="33"/>
        <v>1350.7620704429096</v>
      </c>
      <c r="H63" s="180">
        <f t="shared" si="33"/>
        <v>1538.6528801188049</v>
      </c>
      <c r="I63" s="180">
        <f t="shared" si="33"/>
        <v>1749.0944602953782</v>
      </c>
      <c r="J63" s="180">
        <f t="shared" si="33"/>
        <v>1870.8261155025987</v>
      </c>
      <c r="K63" s="180">
        <f t="shared" si="33"/>
        <v>2117.4263004659333</v>
      </c>
      <c r="L63" s="180">
        <f t="shared" si="33"/>
        <v>2380.9807586130232</v>
      </c>
      <c r="M63" s="180">
        <f t="shared" si="33"/>
        <v>2661.5832231053805</v>
      </c>
      <c r="N63" s="180">
        <f t="shared" si="33"/>
        <v>2959.336186581334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187</v>
      </c>
      <c r="C64" s="163"/>
      <c r="D64" s="163"/>
      <c r="E64" s="297">
        <f>E62-E63</f>
        <v>470.33410323928979</v>
      </c>
      <c r="F64" s="297">
        <f t="shared" ref="F64:N64" si="35">F62-F63</f>
        <v>558.98661787640253</v>
      </c>
      <c r="G64" s="297">
        <f t="shared" si="35"/>
        <v>655.97590769342264</v>
      </c>
      <c r="H64" s="297">
        <f t="shared" si="35"/>
        <v>769.57427550670559</v>
      </c>
      <c r="I64" s="297">
        <f t="shared" si="35"/>
        <v>885.55098537342292</v>
      </c>
      <c r="J64" s="297">
        <f t="shared" si="35"/>
        <v>1115.1667327636062</v>
      </c>
      <c r="K64" s="297">
        <f t="shared" si="35"/>
        <v>1244.8430629517879</v>
      </c>
      <c r="L64" s="297">
        <f t="shared" si="35"/>
        <v>1382.4942325103275</v>
      </c>
      <c r="M64" s="297">
        <f t="shared" si="35"/>
        <v>1528.0265082777119</v>
      </c>
      <c r="N64" s="297">
        <f t="shared" si="35"/>
        <v>1681.3373976156136</v>
      </c>
      <c r="O64" s="297">
        <f t="shared" ref="O64" si="36">O62-O63</f>
        <v>0</v>
      </c>
      <c r="P64" s="297">
        <f t="shared" ref="P64" si="37">P62-P63</f>
        <v>0</v>
      </c>
      <c r="Q64" s="297" t="e">
        <f t="shared" ref="Q64" si="38">Q62-Q63</f>
        <v>#VALUE!</v>
      </c>
      <c r="R64" s="297">
        <f t="shared" ref="R64" si="39">R62-R63</f>
        <v>0</v>
      </c>
      <c r="S64" s="297">
        <f t="shared" ref="S64" si="40">S62-S63</f>
        <v>0</v>
      </c>
      <c r="T64" s="297">
        <f t="shared" ref="T64" si="41">T62-T63</f>
        <v>0</v>
      </c>
      <c r="U64" s="297">
        <f t="shared" ref="U64" si="42">U62-U63</f>
        <v>0</v>
      </c>
    </row>
    <row r="65" spans="1:21" x14ac:dyDescent="0.3">
      <c r="A65" s="55"/>
      <c r="B65" s="55" t="s">
        <v>188</v>
      </c>
      <c r="C65" s="55"/>
      <c r="D65" s="55"/>
      <c r="E65" s="299">
        <f>E64/E62</f>
        <v>0.31810562376614882</v>
      </c>
      <c r="F65" s="299">
        <f t="shared" ref="F65:N65" si="43">F64/F62</f>
        <v>0.32308042636039425</v>
      </c>
      <c r="G65" s="299">
        <f t="shared" si="43"/>
        <v>0.3268866762080373</v>
      </c>
      <c r="H65" s="299">
        <f t="shared" si="43"/>
        <v>0.33340491365034536</v>
      </c>
      <c r="I65" s="299">
        <f t="shared" si="43"/>
        <v>0.33611770677880604</v>
      </c>
      <c r="J65" s="299">
        <f t="shared" si="43"/>
        <v>0.37346597578461038</v>
      </c>
      <c r="K65" s="299">
        <f t="shared" si="43"/>
        <v>0.37023894530758666</v>
      </c>
      <c r="L65" s="299">
        <f t="shared" si="43"/>
        <v>0.3673451360168784</v>
      </c>
      <c r="M65" s="299">
        <f t="shared" si="43"/>
        <v>0.36471810174387603</v>
      </c>
      <c r="N65" s="299">
        <f t="shared" si="43"/>
        <v>0.3623046023622804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189</v>
      </c>
      <c r="C66" s="55"/>
      <c r="D66" s="55"/>
      <c r="E66" s="164">
        <f>IF(E65&gt;=28%,7%,25%)</f>
        <v>7.0000000000000007E-2</v>
      </c>
      <c r="F66" s="164">
        <f t="shared" ref="F66:N66" si="44">IF(F65&gt;=28%,7%,25%)</f>
        <v>7.0000000000000007E-2</v>
      </c>
      <c r="G66" s="164">
        <f t="shared" si="44"/>
        <v>7.0000000000000007E-2</v>
      </c>
      <c r="H66" s="164">
        <f t="shared" si="44"/>
        <v>7.0000000000000007E-2</v>
      </c>
      <c r="I66" s="164">
        <f t="shared" si="44"/>
        <v>7.0000000000000007E-2</v>
      </c>
      <c r="J66" s="164">
        <f t="shared" si="44"/>
        <v>7.0000000000000007E-2</v>
      </c>
      <c r="K66" s="164">
        <f t="shared" si="44"/>
        <v>7.0000000000000007E-2</v>
      </c>
      <c r="L66" s="164">
        <f t="shared" si="44"/>
        <v>7.0000000000000007E-2</v>
      </c>
      <c r="M66" s="164">
        <f t="shared" si="44"/>
        <v>7.0000000000000007E-2</v>
      </c>
      <c r="N66" s="164">
        <f t="shared" si="44"/>
        <v>7.0000000000000007E-2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190</v>
      </c>
      <c r="C67" s="163"/>
      <c r="D67" s="163"/>
      <c r="E67" s="297">
        <f>IF(E66=25%,E64*0.25,E62*0.07)</f>
        <v>103.49828725742204</v>
      </c>
      <c r="F67" s="297">
        <f t="shared" ref="F67:N67" si="45">IF(F66=25%,F64*0.25,F62*0.07)</f>
        <v>121.11245392408871</v>
      </c>
      <c r="G67" s="297">
        <f t="shared" si="45"/>
        <v>140.47165846954326</v>
      </c>
      <c r="H67" s="297">
        <f t="shared" si="45"/>
        <v>161.57590089378576</v>
      </c>
      <c r="I67" s="297">
        <f t="shared" si="45"/>
        <v>184.42518119681608</v>
      </c>
      <c r="J67" s="297">
        <f t="shared" si="45"/>
        <v>209.01949937863435</v>
      </c>
      <c r="K67" s="297">
        <f t="shared" si="45"/>
        <v>235.3588554392405</v>
      </c>
      <c r="L67" s="297">
        <f t="shared" si="45"/>
        <v>263.44324937863456</v>
      </c>
      <c r="M67" s="297">
        <f t="shared" si="45"/>
        <v>293.27268119681651</v>
      </c>
      <c r="N67" s="297">
        <f t="shared" si="45"/>
        <v>324.84715089378636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300" t="s">
        <v>195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301" t="s">
        <v>173</v>
      </c>
      <c r="C70" s="301" t="s">
        <v>196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197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7" priority="8">
      <formula>D59&lt;0</formula>
    </cfRule>
  </conditionalFormatting>
  <conditionalFormatting sqref="E36:U36">
    <cfRule type="expression" dxfId="26" priority="23">
      <formula>AND(SUM($E$36:$U$36)&lt;&gt;$D$36,$C$36=$Q$5)</formula>
    </cfRule>
  </conditionalFormatting>
  <conditionalFormatting sqref="E37:U37">
    <cfRule type="expression" dxfId="25" priority="24">
      <formula>AND($C$37=$Q$5,SUM($E$37:$U$37)&lt;&gt;$D$37)</formula>
    </cfRule>
  </conditionalFormatting>
  <conditionalFormatting sqref="E38:U38">
    <cfRule type="expression" dxfId="24" priority="25">
      <formula>AND($C$38=$Q$5,SUM($E$38:$U$38)&lt;&gt;$D$38)</formula>
    </cfRule>
  </conditionalFormatting>
  <conditionalFormatting sqref="E39:U39">
    <cfRule type="expression" dxfId="23" priority="26">
      <formula>AND($C$39=$Q$5,SUM($E$39:$U$39)&lt;&gt;$D$39)</formula>
    </cfRule>
  </conditionalFormatting>
  <conditionalFormatting sqref="E40:U42">
    <cfRule type="expression" dxfId="22" priority="27">
      <formula>AND($C40=$Q$5,SUM($E40:$U40)&lt;&gt;$D40)</formula>
    </cfRule>
  </conditionalFormatting>
  <conditionalFormatting sqref="D6:D33">
    <cfRule type="expression" dxfId="21" priority="7">
      <formula>D6</formula>
    </cfRule>
  </conditionalFormatting>
  <conditionalFormatting sqref="C6:C42">
    <cfRule type="expression" dxfId="20" priority="5">
      <formula>$C6=$Q$6</formula>
    </cfRule>
    <cfRule type="expression" dxfId="19" priority="6">
      <formula>$C6=$Q$5</formula>
    </cfRule>
  </conditionalFormatting>
  <conditionalFormatting sqref="E2:H2">
    <cfRule type="expression" dxfId="18" priority="3">
      <formula>$H$2&lt;&gt;"Aceptado"</formula>
    </cfRule>
    <cfRule type="expression" dxfId="17" priority="4">
      <formula>$H$2="Aceptado"</formula>
    </cfRule>
  </conditionalFormatting>
  <conditionalFormatting sqref="E43:U43">
    <cfRule type="expression" dxfId="16" priority="2">
      <formula>E43&lt;0</formula>
    </cfRule>
  </conditionalFormatting>
  <conditionalFormatting sqref="E49:U49">
    <cfRule type="expression" dxfId="15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I1076"/>
  <sheetViews>
    <sheetView tabSelected="1" topLeftCell="B1" zoomScaleNormal="100" workbookViewId="0">
      <selection activeCell="L13" sqref="L13:L17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28" t="s">
        <v>163</v>
      </c>
      <c r="B1" s="328"/>
      <c r="C1" s="328"/>
      <c r="D1" s="328"/>
    </row>
    <row r="2" spans="1:35" x14ac:dyDescent="0.3">
      <c r="A2" s="328"/>
      <c r="B2" s="328"/>
      <c r="C2" s="328"/>
      <c r="D2" s="328"/>
    </row>
    <row r="3" spans="1:35" ht="15" thickBot="1" x14ac:dyDescent="0.35">
      <c r="A3" s="197" t="s">
        <v>47</v>
      </c>
      <c r="B3" s="195">
        <v>500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75">
        <f>PMT((B7/B4),(B4*B5),(-B3))</f>
        <v>6.6396763528114526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G7" s="244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29"/>
      <c r="I10" s="329"/>
      <c r="J10" s="329"/>
      <c r="K10" s="329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H11" s="268" t="s">
        <v>161</v>
      </c>
      <c r="I11" s="206" t="s">
        <v>152</v>
      </c>
      <c r="J11" s="206" t="s">
        <v>157</v>
      </c>
      <c r="K11" s="269" t="s">
        <v>152</v>
      </c>
      <c r="L11" s="269" t="s">
        <v>146</v>
      </c>
      <c r="M11" s="270"/>
      <c r="N11" s="335"/>
      <c r="O11" s="337" t="s">
        <v>146</v>
      </c>
      <c r="P11" s="339">
        <v>47.57</v>
      </c>
      <c r="Q11" s="339">
        <v>45.92</v>
      </c>
      <c r="R11" s="339">
        <v>42.12</v>
      </c>
      <c r="S11" s="339">
        <v>37.97</v>
      </c>
      <c r="T11" s="339">
        <v>33.46</v>
      </c>
      <c r="U11" s="339">
        <v>28.53</v>
      </c>
      <c r="V11" s="339">
        <v>23.17</v>
      </c>
      <c r="W11" s="339">
        <v>17.32</v>
      </c>
      <c r="X11" s="339">
        <v>10.94</v>
      </c>
      <c r="Y11" s="339">
        <v>3.99</v>
      </c>
      <c r="Z11" s="338"/>
      <c r="AA11" s="338"/>
      <c r="AB11" s="338"/>
      <c r="AC11" s="338"/>
      <c r="AD11" s="338"/>
      <c r="AE11" s="338"/>
      <c r="AF11" s="338"/>
      <c r="AG11" s="338"/>
      <c r="AH11" s="338"/>
      <c r="AI11" s="338"/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H12" s="5" t="s">
        <v>155</v>
      </c>
      <c r="I12" s="277">
        <v>500</v>
      </c>
      <c r="J12" s="277">
        <v>127.21680000000001</v>
      </c>
      <c r="K12" s="317">
        <f>SUM(K13:K762)</f>
        <v>0</v>
      </c>
      <c r="L12" s="317">
        <f>SUM(L13:L651)</f>
        <v>127.21000000000001</v>
      </c>
      <c r="M12" s="63"/>
      <c r="N12" s="336"/>
      <c r="O12" s="337" t="s">
        <v>152</v>
      </c>
      <c r="P12" s="338">
        <v>0</v>
      </c>
      <c r="Q12" s="338">
        <v>42.24</v>
      </c>
      <c r="R12" s="338">
        <v>46.04</v>
      </c>
      <c r="S12" s="338">
        <v>50.22</v>
      </c>
      <c r="T12" s="338">
        <v>54.7</v>
      </c>
      <c r="U12" s="338">
        <v>59.63</v>
      </c>
      <c r="V12" s="338">
        <v>64.98</v>
      </c>
      <c r="W12" s="338">
        <v>70.849999999999994</v>
      </c>
      <c r="X12" s="338">
        <v>77.209999999999994</v>
      </c>
      <c r="Y12" s="338">
        <v>84.14</v>
      </c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H13" s="8">
        <v>1</v>
      </c>
      <c r="I13" s="243">
        <v>0</v>
      </c>
      <c r="J13" s="243">
        <v>42.500399999999999</v>
      </c>
      <c r="K13" s="193"/>
      <c r="L13" s="193">
        <v>28.33</v>
      </c>
      <c r="M13" s="233"/>
      <c r="N13" s="335"/>
      <c r="O13" s="314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H14" s="8">
        <v>2</v>
      </c>
      <c r="I14" s="243">
        <v>38.65</v>
      </c>
      <c r="J14" s="243">
        <v>41.017299999999999</v>
      </c>
      <c r="K14" s="193"/>
      <c r="L14" s="193">
        <v>41.88</v>
      </c>
      <c r="M14" s="233"/>
      <c r="N14" s="335"/>
      <c r="O14" s="345" t="s">
        <v>146</v>
      </c>
      <c r="P14" s="339">
        <v>2</v>
      </c>
      <c r="Q14" s="338"/>
      <c r="R14" s="338"/>
      <c r="S14" s="338"/>
      <c r="T14" s="338"/>
      <c r="U14" s="338"/>
      <c r="V14" s="338"/>
      <c r="W14" s="338"/>
      <c r="X14" s="338"/>
      <c r="Y14" s="338"/>
      <c r="Z14" s="338"/>
      <c r="AA14" s="338"/>
      <c r="AB14" s="338"/>
      <c r="AC14" s="338"/>
      <c r="AD14" s="338"/>
      <c r="AE14" s="338"/>
      <c r="AF14" s="338"/>
      <c r="AG14" s="338"/>
      <c r="AH14" s="338"/>
      <c r="AI14" s="338"/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H15" s="8">
        <v>3</v>
      </c>
      <c r="I15" s="243">
        <v>198.56</v>
      </c>
      <c r="J15" s="243">
        <v>31.111699999999999</v>
      </c>
      <c r="K15" s="193"/>
      <c r="L15" s="193">
        <v>36.64</v>
      </c>
      <c r="M15" s="233"/>
      <c r="N15" s="335"/>
      <c r="O15" s="345" t="s">
        <v>152</v>
      </c>
      <c r="P15" s="338">
        <v>0</v>
      </c>
      <c r="Q15" s="338">
        <v>0</v>
      </c>
      <c r="R15" s="338">
        <v>0</v>
      </c>
      <c r="S15" s="338">
        <v>0</v>
      </c>
      <c r="T15" s="338">
        <v>0</v>
      </c>
      <c r="U15" s="338">
        <v>0</v>
      </c>
      <c r="V15" s="338">
        <v>0</v>
      </c>
      <c r="W15" s="338">
        <v>0</v>
      </c>
      <c r="X15" s="338">
        <v>0</v>
      </c>
      <c r="Y15" s="338">
        <v>0</v>
      </c>
      <c r="Z15" s="338"/>
      <c r="AA15" s="338"/>
      <c r="AB15" s="338"/>
      <c r="AC15" s="338"/>
      <c r="AD15" s="338"/>
      <c r="AE15" s="338"/>
      <c r="AF15" s="338"/>
      <c r="AG15" s="338"/>
      <c r="AH15" s="338"/>
      <c r="AI15" s="338"/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H16" s="8">
        <v>4</v>
      </c>
      <c r="I16" s="243">
        <v>218.35</v>
      </c>
      <c r="J16" s="243">
        <v>11.335699999999999</v>
      </c>
      <c r="K16" s="193"/>
      <c r="L16" s="193">
        <v>17.41</v>
      </c>
      <c r="M16" s="233"/>
      <c r="N16" s="336"/>
      <c r="O16" s="336"/>
      <c r="P16" s="336"/>
      <c r="Q16" s="336"/>
      <c r="R16" s="336"/>
    </row>
    <row r="17" spans="1:18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/>
      <c r="F17" s="214">
        <v>500</v>
      </c>
      <c r="H17" s="8">
        <v>5</v>
      </c>
      <c r="I17" s="243">
        <v>44.44</v>
      </c>
      <c r="J17" s="243">
        <v>1.2517</v>
      </c>
      <c r="K17" s="193"/>
      <c r="L17" s="193">
        <v>2.95</v>
      </c>
      <c r="M17" s="233"/>
      <c r="N17" s="335"/>
      <c r="O17" s="335"/>
      <c r="P17" s="335"/>
      <c r="Q17" s="335"/>
      <c r="R17" s="335"/>
    </row>
    <row r="18" spans="1:18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H18" s="8">
        <v>6</v>
      </c>
      <c r="I18" s="243">
        <v>0</v>
      </c>
      <c r="J18" s="243">
        <v>0</v>
      </c>
      <c r="K18" s="193"/>
      <c r="L18" s="193"/>
      <c r="M18" s="233"/>
    </row>
    <row r="19" spans="1:18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H19" s="8">
        <v>7</v>
      </c>
      <c r="I19" s="243">
        <v>0</v>
      </c>
      <c r="J19" s="243">
        <v>0</v>
      </c>
      <c r="K19" s="193"/>
      <c r="L19" s="193"/>
      <c r="M19" s="233"/>
    </row>
    <row r="20" spans="1:18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H20" s="8">
        <v>8</v>
      </c>
      <c r="I20" s="243">
        <v>0</v>
      </c>
      <c r="J20" s="243">
        <v>0</v>
      </c>
      <c r="K20" s="193"/>
      <c r="L20" s="193"/>
      <c r="M20" s="233"/>
    </row>
    <row r="21" spans="1:18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/>
      <c r="F21" s="214">
        <v>500</v>
      </c>
      <c r="H21" s="8">
        <v>9</v>
      </c>
      <c r="I21" s="243">
        <v>0</v>
      </c>
      <c r="J21" s="243">
        <v>0</v>
      </c>
      <c r="K21" s="193"/>
      <c r="L21" s="193"/>
      <c r="M21" s="233"/>
    </row>
    <row r="22" spans="1:18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H22" s="8">
        <v>10</v>
      </c>
      <c r="I22" s="243">
        <v>0</v>
      </c>
      <c r="J22" s="243">
        <v>0</v>
      </c>
      <c r="K22" s="193"/>
      <c r="L22" s="193"/>
      <c r="M22" s="233"/>
    </row>
    <row r="23" spans="1:18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3"/>
      <c r="J23" s="237"/>
      <c r="K23" s="193"/>
      <c r="L23" s="193"/>
      <c r="M23" s="233"/>
    </row>
    <row r="24" spans="1:18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0">IF($B$5="","",IF(ROW(A14)&gt;$B$5+$B$8,"",ROW(A14)))</f>
        <v/>
      </c>
      <c r="H24" s="8"/>
      <c r="I24" s="243"/>
      <c r="J24" s="237"/>
      <c r="K24" s="193"/>
      <c r="L24" s="193"/>
      <c r="M24" s="233"/>
    </row>
    <row r="25" spans="1:18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/>
      <c r="F25" s="214">
        <v>496.9</v>
      </c>
      <c r="G25" t="str">
        <f t="shared" si="0"/>
        <v/>
      </c>
      <c r="H25" s="8"/>
      <c r="I25" s="243"/>
      <c r="J25" s="237"/>
      <c r="K25" s="193"/>
      <c r="L25" s="193"/>
      <c r="M25" s="233"/>
    </row>
    <row r="26" spans="1:18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0"/>
        <v/>
      </c>
      <c r="H26" s="8"/>
      <c r="I26" s="237"/>
      <c r="J26" s="237"/>
      <c r="K26" s="193"/>
      <c r="L26" s="193"/>
      <c r="M26" s="233"/>
    </row>
    <row r="27" spans="1:18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0"/>
        <v/>
      </c>
      <c r="H27" s="8"/>
      <c r="I27" s="237"/>
      <c r="J27" s="237"/>
      <c r="K27" s="193"/>
      <c r="L27" s="193"/>
      <c r="M27" s="233"/>
    </row>
    <row r="28" spans="1:18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0"/>
        <v/>
      </c>
      <c r="H28" s="8"/>
      <c r="I28" s="237"/>
      <c r="J28" s="237"/>
      <c r="K28" s="193"/>
      <c r="L28" s="193"/>
      <c r="M28" s="233"/>
    </row>
    <row r="29" spans="1:18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0"/>
        <v/>
      </c>
      <c r="H29" s="8"/>
      <c r="I29" s="237"/>
      <c r="J29" s="237"/>
      <c r="K29" s="193"/>
      <c r="L29" s="193"/>
      <c r="M29" s="233"/>
    </row>
    <row r="30" spans="1:18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0"/>
        <v/>
      </c>
      <c r="H30" s="8"/>
      <c r="I30" s="237"/>
      <c r="J30" s="237"/>
      <c r="K30" s="193"/>
      <c r="L30" s="193"/>
      <c r="M30" s="233"/>
    </row>
    <row r="31" spans="1:18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0"/>
        <v/>
      </c>
      <c r="H31" s="8"/>
      <c r="I31" s="237"/>
      <c r="J31" s="237"/>
      <c r="K31" s="193"/>
      <c r="L31" s="193"/>
      <c r="M31" s="233"/>
    </row>
    <row r="32" spans="1:18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0"/>
        <v/>
      </c>
      <c r="H32" s="8"/>
      <c r="I32" s="237"/>
      <c r="J32" s="237"/>
      <c r="K32" s="193"/>
      <c r="L32" s="193"/>
      <c r="M32" s="23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0"/>
        <v/>
      </c>
      <c r="H33" s="8"/>
      <c r="I33" s="237"/>
      <c r="J33" s="237"/>
      <c r="K33" s="193"/>
      <c r="L33" s="193"/>
      <c r="M33" s="23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0"/>
        <v/>
      </c>
      <c r="H34" s="8"/>
      <c r="I34" s="237"/>
      <c r="J34" s="237"/>
      <c r="K34" s="193"/>
      <c r="L34" s="193"/>
      <c r="M34" s="23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0"/>
        <v/>
      </c>
      <c r="H35" s="8"/>
      <c r="I35" s="237"/>
      <c r="J35" s="237"/>
      <c r="K35" s="193"/>
      <c r="L35" s="193"/>
      <c r="M35" s="23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0"/>
        <v/>
      </c>
      <c r="H36" s="8"/>
      <c r="I36" s="237"/>
      <c r="J36" s="237"/>
      <c r="K36" s="193"/>
      <c r="L36" s="193"/>
      <c r="M36" s="23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0"/>
        <v/>
      </c>
      <c r="H37" s="8"/>
      <c r="I37" s="237"/>
      <c r="J37" s="237"/>
      <c r="K37" s="193"/>
      <c r="L37" s="193"/>
      <c r="M37" s="23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0"/>
        <v/>
      </c>
      <c r="H38" s="8"/>
      <c r="I38" s="237"/>
      <c r="J38" s="237"/>
      <c r="K38" s="193"/>
      <c r="L38" s="193"/>
      <c r="M38" s="23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0"/>
        <v/>
      </c>
      <c r="H39" s="8"/>
      <c r="I39" s="237"/>
      <c r="J39" s="237"/>
      <c r="K39" s="193"/>
      <c r="L39" s="193"/>
      <c r="M39" s="23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0"/>
        <v/>
      </c>
      <c r="H40" s="8"/>
      <c r="I40" s="237"/>
      <c r="J40" s="237"/>
      <c r="K40" s="193"/>
      <c r="L40" s="193"/>
      <c r="M40" s="23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0"/>
        <v/>
      </c>
      <c r="H41" s="8"/>
      <c r="I41" s="237"/>
      <c r="J41" s="237"/>
      <c r="K41" s="193"/>
      <c r="L41" s="193"/>
      <c r="M41" s="23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t="str">
        <f t="shared" si="0"/>
        <v/>
      </c>
      <c r="H42" s="8"/>
      <c r="I42" s="237"/>
      <c r="J42" s="237"/>
      <c r="K42" s="193"/>
      <c r="L42" s="193"/>
      <c r="M42" s="233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t="str">
        <f t="shared" si="0"/>
        <v/>
      </c>
      <c r="H43" s="8"/>
      <c r="I43" s="237"/>
      <c r="J43" s="237"/>
      <c r="K43" s="193"/>
      <c r="L43" s="193"/>
      <c r="M43" s="233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t="str">
        <f t="shared" si="0"/>
        <v/>
      </c>
      <c r="H44" s="8"/>
      <c r="I44" s="237"/>
      <c r="J44" s="237"/>
      <c r="K44" s="193"/>
      <c r="L44" s="193"/>
      <c r="M44" s="233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t="str">
        <f t="shared" si="0"/>
        <v/>
      </c>
      <c r="H45" s="8"/>
      <c r="I45" s="237"/>
      <c r="J45" s="237"/>
      <c r="K45" s="193"/>
      <c r="L45" s="193"/>
      <c r="M45" s="233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t="str">
        <f t="shared" si="0"/>
        <v/>
      </c>
      <c r="H46" s="8"/>
      <c r="I46" s="237"/>
      <c r="J46" s="237"/>
      <c r="K46" s="193"/>
      <c r="L46" s="193"/>
      <c r="M46" s="233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t="str">
        <f t="shared" si="0"/>
        <v/>
      </c>
      <c r="H47" s="8"/>
      <c r="I47" s="237"/>
      <c r="J47" s="237"/>
      <c r="K47" s="193"/>
      <c r="L47" s="193"/>
      <c r="M47" s="233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29"/>
      <c r="H48" s="8"/>
      <c r="I48" s="237"/>
      <c r="J48" s="237"/>
      <c r="K48" s="193"/>
      <c r="L48" s="193"/>
      <c r="M48" s="233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H49" s="8"/>
      <c r="I49" s="237"/>
      <c r="J49" s="237"/>
      <c r="K49" s="193"/>
      <c r="L49" s="193"/>
      <c r="M49" s="233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281"/>
      <c r="H50" s="8"/>
      <c r="I50" s="237"/>
      <c r="J50" s="237"/>
      <c r="K50" s="193"/>
      <c r="L50" s="193"/>
      <c r="M50" s="233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29"/>
      <c r="H51" s="8"/>
      <c r="I51" s="237"/>
      <c r="J51" s="237"/>
      <c r="K51" s="193"/>
      <c r="L51" s="193"/>
      <c r="M51" s="233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29"/>
      <c r="H52" s="8"/>
      <c r="I52" s="237"/>
      <c r="J52" s="237"/>
      <c r="K52" s="193"/>
      <c r="L52" s="193"/>
      <c r="M52" s="233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t="str">
        <f t="shared" si="0"/>
        <v/>
      </c>
      <c r="H53" s="8"/>
      <c r="I53" s="237"/>
      <c r="J53" s="237"/>
      <c r="K53" s="193"/>
      <c r="L53" s="193"/>
      <c r="M53" s="233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t="str">
        <f t="shared" si="0"/>
        <v/>
      </c>
      <c r="H54" s="8"/>
      <c r="I54" s="237"/>
      <c r="J54" s="237"/>
      <c r="K54" s="193"/>
      <c r="L54" s="193"/>
      <c r="M54" s="233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t="str">
        <f t="shared" si="0"/>
        <v/>
      </c>
      <c r="H55" s="8"/>
      <c r="I55" s="237"/>
      <c r="J55" s="237"/>
      <c r="K55" s="193"/>
      <c r="L55" s="193"/>
      <c r="M55" s="233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t="str">
        <f t="shared" si="0"/>
        <v/>
      </c>
      <c r="H56" s="8"/>
      <c r="I56" s="237"/>
      <c r="J56" s="237"/>
      <c r="K56" s="193"/>
      <c r="L56" s="193"/>
      <c r="M56" s="233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t="str">
        <f t="shared" si="0"/>
        <v/>
      </c>
      <c r="H57" s="8"/>
      <c r="I57" s="237"/>
      <c r="J57" s="237"/>
      <c r="K57" s="193"/>
      <c r="L57" s="193"/>
      <c r="M57" s="233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t="str">
        <f t="shared" si="0"/>
        <v/>
      </c>
      <c r="H58" s="8"/>
      <c r="I58" s="237"/>
      <c r="J58" s="237"/>
      <c r="K58" s="193"/>
      <c r="L58" s="193"/>
      <c r="M58" s="233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t="str">
        <f t="shared" si="0"/>
        <v/>
      </c>
      <c r="H59" s="8"/>
      <c r="I59" s="237"/>
      <c r="J59" s="237"/>
      <c r="K59" s="193"/>
      <c r="L59" s="193"/>
      <c r="M59" s="233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t="str">
        <f t="shared" si="0"/>
        <v/>
      </c>
      <c r="H60" s="8"/>
      <c r="I60" s="237"/>
      <c r="J60" s="237"/>
      <c r="K60" s="193"/>
      <c r="L60" s="193"/>
      <c r="M60" s="233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t="str">
        <f t="shared" si="0"/>
        <v/>
      </c>
      <c r="H61" s="8"/>
      <c r="I61" s="237"/>
      <c r="J61" s="237"/>
      <c r="K61" s="193"/>
      <c r="L61" s="193"/>
      <c r="M61" s="233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t="str">
        <f t="shared" si="0"/>
        <v/>
      </c>
      <c r="H62" s="8"/>
      <c r="I62" s="237"/>
      <c r="J62" s="237"/>
      <c r="K62" s="193"/>
      <c r="L62" s="193"/>
      <c r="M62" s="233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t="str">
        <f t="shared" si="0"/>
        <v/>
      </c>
      <c r="H63" s="8"/>
      <c r="I63" s="237"/>
      <c r="J63" s="237"/>
      <c r="K63" s="193"/>
      <c r="L63" s="193"/>
      <c r="M63" s="233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t="str">
        <f t="shared" si="0"/>
        <v/>
      </c>
      <c r="H64" s="8"/>
      <c r="I64" s="237"/>
      <c r="J64" s="237"/>
      <c r="K64" s="193"/>
      <c r="L64" s="193"/>
      <c r="M64" s="233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t="str">
        <f t="shared" si="0"/>
        <v/>
      </c>
      <c r="H65" s="8"/>
      <c r="I65" s="237"/>
      <c r="J65" s="237"/>
      <c r="K65" s="193"/>
      <c r="L65" s="193"/>
      <c r="M65" s="233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t="str">
        <f t="shared" si="0"/>
        <v/>
      </c>
      <c r="H66" s="8"/>
      <c r="I66" s="237"/>
      <c r="J66" s="237"/>
      <c r="K66" s="193"/>
      <c r="L66" s="193"/>
      <c r="M66" s="233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t="str">
        <f t="shared" si="0"/>
        <v/>
      </c>
      <c r="H67" s="8"/>
      <c r="I67" s="237"/>
      <c r="J67" s="237"/>
      <c r="K67" s="193"/>
      <c r="L67" s="193"/>
      <c r="M67" s="23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0"/>
        <v/>
      </c>
      <c r="H68" s="8"/>
      <c r="I68" s="237"/>
      <c r="J68" s="237"/>
      <c r="K68" s="193"/>
      <c r="L68" s="193"/>
      <c r="M68" s="23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0"/>
        <v/>
      </c>
      <c r="H69" s="8"/>
      <c r="I69" s="237"/>
      <c r="J69" s="237"/>
      <c r="K69" s="193"/>
      <c r="L69" s="193"/>
      <c r="M69" s="23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0"/>
        <v/>
      </c>
      <c r="H70" s="8"/>
      <c r="I70" s="237"/>
      <c r="J70" s="237"/>
      <c r="K70" s="193"/>
      <c r="L70" s="193"/>
      <c r="M70" s="23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0"/>
        <v/>
      </c>
      <c r="H71" s="8"/>
      <c r="I71" s="237"/>
      <c r="J71" s="237"/>
      <c r="K71" s="193"/>
      <c r="L71" s="193"/>
      <c r="M71" s="23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0"/>
        <v/>
      </c>
      <c r="H72" s="8"/>
      <c r="I72" s="237"/>
      <c r="J72" s="237"/>
      <c r="K72" s="193"/>
      <c r="L72" s="193"/>
      <c r="M72" s="23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0"/>
        <v/>
      </c>
      <c r="H73" s="8"/>
      <c r="I73" s="237"/>
      <c r="J73" s="237"/>
      <c r="K73" s="193"/>
      <c r="L73" s="193"/>
      <c r="M73" s="23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0"/>
        <v/>
      </c>
      <c r="H74" s="8"/>
      <c r="I74" s="237"/>
      <c r="J74" s="237"/>
      <c r="K74" s="193"/>
      <c r="L74" s="193"/>
      <c r="M74" s="23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0"/>
        <v/>
      </c>
      <c r="H75" s="8"/>
      <c r="I75" s="237"/>
      <c r="J75" s="237"/>
      <c r="K75" s="193"/>
      <c r="L75" s="193"/>
      <c r="M75" s="23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si="0"/>
        <v/>
      </c>
      <c r="H76" s="8"/>
      <c r="I76" s="237"/>
      <c r="J76" s="237"/>
      <c r="K76" s="193"/>
      <c r="L76" s="193"/>
      <c r="M76" s="23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0"/>
        <v/>
      </c>
      <c r="H77" s="8"/>
      <c r="I77" s="237"/>
      <c r="J77" s="237"/>
      <c r="K77" s="193"/>
      <c r="L77" s="193"/>
      <c r="M77" s="23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0"/>
        <v/>
      </c>
      <c r="H78" s="8"/>
      <c r="I78" s="237"/>
      <c r="J78" s="237"/>
      <c r="K78" s="193"/>
      <c r="L78" s="193"/>
      <c r="M78" s="23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0"/>
        <v/>
      </c>
      <c r="H79" s="8"/>
      <c r="I79" s="237"/>
      <c r="J79" s="237"/>
      <c r="K79" s="193"/>
      <c r="L79" s="193"/>
      <c r="M79" s="23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0"/>
        <v/>
      </c>
      <c r="H80" s="8"/>
      <c r="I80" s="237"/>
      <c r="J80" s="237"/>
      <c r="K80" s="193"/>
      <c r="L80" s="193"/>
      <c r="M80" s="23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0"/>
        <v/>
      </c>
      <c r="H81" s="8"/>
      <c r="I81" s="237"/>
      <c r="J81" s="237"/>
      <c r="K81" s="193"/>
      <c r="L81" s="193"/>
      <c r="M81" s="23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0"/>
        <v/>
      </c>
      <c r="H82" s="8"/>
      <c r="I82" s="237"/>
      <c r="J82" s="237"/>
      <c r="K82" s="193"/>
      <c r="L82" s="193"/>
      <c r="M82" s="23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0"/>
        <v/>
      </c>
      <c r="H83" s="8"/>
      <c r="I83" s="237"/>
      <c r="J83" s="237"/>
      <c r="K83" s="193"/>
      <c r="L83" s="193"/>
      <c r="M83" s="23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0"/>
        <v/>
      </c>
      <c r="H84" s="8"/>
      <c r="I84" s="237"/>
      <c r="J84" s="237"/>
      <c r="K84" s="193"/>
      <c r="L84" s="193"/>
      <c r="M84" s="23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0"/>
        <v/>
      </c>
      <c r="H85" s="8"/>
      <c r="I85" s="237"/>
      <c r="J85" s="237"/>
      <c r="K85" s="193"/>
      <c r="L85" s="193"/>
      <c r="M85" s="23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0"/>
        <v/>
      </c>
      <c r="H86" s="8"/>
      <c r="I86" s="237"/>
      <c r="J86" s="237"/>
      <c r="K86" s="193"/>
      <c r="L86" s="193"/>
      <c r="M86" s="23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0"/>
        <v/>
      </c>
      <c r="H87" s="8"/>
      <c r="I87" s="237"/>
      <c r="J87" s="237"/>
      <c r="K87" s="193"/>
      <c r="L87" s="193"/>
      <c r="M87" s="23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ref="G88:G113" si="1">IF($B$5="","",IF(ROW(A78)&gt;$B$5+$B$8,"",ROW(A78)))</f>
        <v/>
      </c>
      <c r="H88" s="8"/>
      <c r="I88" s="237"/>
      <c r="J88" s="237"/>
      <c r="K88" s="193"/>
      <c r="L88" s="193"/>
      <c r="M88" s="23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1"/>
        <v/>
      </c>
      <c r="H89" s="8"/>
      <c r="I89" s="237"/>
      <c r="J89" s="237"/>
      <c r="K89" s="193"/>
      <c r="L89" s="193"/>
      <c r="M89" s="23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1"/>
        <v/>
      </c>
      <c r="H90" s="8"/>
      <c r="I90" s="237"/>
      <c r="J90" s="237"/>
      <c r="K90" s="193"/>
      <c r="L90" s="193"/>
      <c r="M90" s="23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1"/>
        <v/>
      </c>
      <c r="H91" s="8"/>
      <c r="I91" s="237"/>
      <c r="J91" s="237"/>
      <c r="K91" s="193"/>
      <c r="L91" s="193"/>
      <c r="M91" s="23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1"/>
        <v/>
      </c>
      <c r="H92" s="8"/>
      <c r="I92" s="237"/>
      <c r="J92" s="237"/>
      <c r="K92" s="193"/>
      <c r="L92" s="193"/>
      <c r="M92" s="23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1"/>
        <v/>
      </c>
      <c r="H93" s="8"/>
      <c r="I93" s="237"/>
      <c r="J93" s="237"/>
      <c r="K93" s="193"/>
      <c r="L93" s="193"/>
      <c r="M93" s="23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1"/>
        <v/>
      </c>
      <c r="H94" s="8"/>
      <c r="I94" s="237"/>
      <c r="J94" s="237"/>
      <c r="K94" s="193"/>
      <c r="L94" s="193"/>
      <c r="M94" s="23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1"/>
        <v/>
      </c>
      <c r="H95" s="8"/>
      <c r="I95" s="237"/>
      <c r="J95" s="237"/>
      <c r="K95" s="193"/>
      <c r="L95" s="193"/>
      <c r="M95" s="23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1"/>
        <v/>
      </c>
      <c r="H96" s="8"/>
      <c r="I96" s="237"/>
      <c r="J96" s="237"/>
      <c r="K96" s="193"/>
      <c r="L96" s="193"/>
      <c r="M96" s="23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1"/>
        <v/>
      </c>
      <c r="H97" s="8"/>
      <c r="I97" s="237"/>
      <c r="J97" s="237"/>
      <c r="K97" s="193"/>
      <c r="L97" s="193"/>
      <c r="M97" s="23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1"/>
        <v/>
      </c>
      <c r="H98" s="8"/>
      <c r="I98" s="237"/>
      <c r="J98" s="237"/>
      <c r="K98" s="193"/>
      <c r="L98" s="193"/>
      <c r="M98" s="23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1"/>
        <v/>
      </c>
      <c r="H99" s="8"/>
      <c r="I99" s="237"/>
      <c r="J99" s="237"/>
      <c r="K99" s="193"/>
      <c r="L99" s="193"/>
      <c r="M99" s="23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1"/>
        <v/>
      </c>
      <c r="H100" s="8"/>
      <c r="I100" s="237"/>
      <c r="J100" s="237"/>
      <c r="K100" s="193"/>
      <c r="L100" s="193"/>
      <c r="M100" s="23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1"/>
        <v/>
      </c>
      <c r="H101" s="8"/>
      <c r="I101" s="237"/>
      <c r="J101" s="237"/>
      <c r="K101" s="193"/>
      <c r="L101" s="193"/>
      <c r="M101" s="23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1"/>
        <v/>
      </c>
      <c r="H102" s="8"/>
      <c r="I102" s="237"/>
      <c r="J102" s="237"/>
      <c r="K102" s="193"/>
      <c r="L102" s="193"/>
      <c r="M102" s="23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1"/>
        <v/>
      </c>
      <c r="H103" s="8"/>
      <c r="I103" s="237"/>
      <c r="J103" s="237"/>
      <c r="K103" s="193"/>
      <c r="L103" s="193"/>
      <c r="M103" s="23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1"/>
        <v/>
      </c>
      <c r="H104" s="8"/>
      <c r="I104" s="237"/>
      <c r="J104" s="237"/>
      <c r="K104" s="193"/>
      <c r="L104" s="193"/>
      <c r="M104" s="23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1"/>
        <v/>
      </c>
      <c r="H105" s="8"/>
      <c r="I105" s="237"/>
      <c r="J105" s="237"/>
      <c r="K105" s="193"/>
      <c r="L105" s="193"/>
      <c r="M105" s="23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1"/>
        <v/>
      </c>
      <c r="H106" s="8"/>
      <c r="I106" s="237"/>
      <c r="J106" s="237"/>
      <c r="K106" s="193"/>
      <c r="L106" s="193"/>
      <c r="M106" s="23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1"/>
        <v/>
      </c>
      <c r="H107" s="8"/>
      <c r="I107" s="237"/>
      <c r="J107" s="237"/>
      <c r="K107" s="193"/>
      <c r="L107" s="193"/>
      <c r="M107" s="23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1"/>
        <v/>
      </c>
      <c r="H108" s="8"/>
      <c r="I108" s="237"/>
      <c r="J108" s="237"/>
      <c r="K108" s="193"/>
      <c r="L108" s="193"/>
      <c r="M108" s="23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1"/>
        <v/>
      </c>
      <c r="H109" s="8"/>
      <c r="I109" s="237"/>
      <c r="J109" s="237"/>
      <c r="K109" s="193"/>
      <c r="L109" s="193"/>
      <c r="M109" s="23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1"/>
        <v/>
      </c>
      <c r="H110" s="8"/>
      <c r="I110" s="237"/>
      <c r="J110" s="237"/>
      <c r="K110" s="193"/>
      <c r="L110" s="193"/>
      <c r="M110" s="23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1"/>
        <v/>
      </c>
      <c r="H111" s="8"/>
      <c r="I111" s="237"/>
      <c r="J111" s="237"/>
      <c r="K111" s="193"/>
      <c r="L111" s="193"/>
      <c r="M111" s="23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1"/>
        <v/>
      </c>
      <c r="H112" s="8"/>
      <c r="I112" s="237"/>
      <c r="J112" s="237"/>
      <c r="K112" s="193"/>
      <c r="L112" s="193"/>
      <c r="M112" s="23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1"/>
        <v/>
      </c>
      <c r="H113" s="8"/>
      <c r="I113" s="237"/>
      <c r="J113" s="237"/>
      <c r="K113" s="193"/>
      <c r="L113" s="193"/>
      <c r="M113" s="23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7"/>
      <c r="J114" s="237"/>
      <c r="K114" s="193"/>
      <c r="L114" s="193"/>
      <c r="M114" s="23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7"/>
      <c r="J115" s="237"/>
      <c r="K115" s="193"/>
      <c r="L115" s="193"/>
      <c r="M115" s="23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7"/>
      <c r="J116" s="237"/>
      <c r="K116" s="193"/>
      <c r="L116" s="193"/>
      <c r="M116" s="23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7"/>
      <c r="J117" s="237"/>
      <c r="K117" s="193"/>
      <c r="L117" s="193"/>
      <c r="M117" s="23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7"/>
      <c r="J118" s="237"/>
      <c r="K118" s="193"/>
      <c r="L118" s="193"/>
      <c r="M118" s="23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7"/>
      <c r="J119" s="237"/>
      <c r="K119" s="193"/>
      <c r="L119" s="193"/>
      <c r="M119" s="23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7"/>
      <c r="J120" s="237"/>
      <c r="K120" s="193"/>
      <c r="L120" s="193"/>
      <c r="M120" s="23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7"/>
      <c r="J121" s="237"/>
      <c r="K121" s="193"/>
      <c r="L121" s="193"/>
      <c r="M121" s="23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7"/>
      <c r="J122" s="237"/>
      <c r="K122" s="193"/>
      <c r="L122" s="193"/>
      <c r="M122" s="23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7"/>
      <c r="J123" s="237"/>
      <c r="K123" s="193"/>
      <c r="L123" s="193"/>
      <c r="M123" s="23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7"/>
      <c r="J124" s="237"/>
      <c r="K124" s="193"/>
      <c r="L124" s="193"/>
      <c r="M124" s="23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7"/>
      <c r="J125" s="237"/>
      <c r="K125" s="193"/>
      <c r="L125" s="193"/>
      <c r="M125" s="23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7"/>
      <c r="J126" s="237"/>
      <c r="K126" s="193"/>
      <c r="L126" s="193"/>
      <c r="M126" s="23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7"/>
      <c r="J127" s="237"/>
      <c r="K127" s="193"/>
      <c r="L127" s="193"/>
      <c r="M127" s="23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7"/>
      <c r="J128" s="237"/>
      <c r="K128" s="193"/>
      <c r="L128" s="193"/>
      <c r="M128" s="23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7"/>
      <c r="J129" s="237"/>
      <c r="K129" s="193"/>
      <c r="L129" s="193"/>
      <c r="M129" s="23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7"/>
      <c r="J130" s="237"/>
      <c r="K130" s="193"/>
      <c r="L130" s="193"/>
      <c r="M130" s="23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7"/>
      <c r="J131" s="237"/>
      <c r="K131" s="193"/>
      <c r="L131" s="193"/>
      <c r="M131" s="23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7"/>
      <c r="J132" s="237"/>
      <c r="K132" s="193"/>
      <c r="L132" s="193"/>
      <c r="M132" s="23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7"/>
      <c r="J133" s="237"/>
      <c r="K133" s="193"/>
      <c r="L133" s="193"/>
      <c r="M133" s="23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7"/>
      <c r="J134" s="237"/>
      <c r="K134" s="193"/>
      <c r="L134" s="193"/>
      <c r="M134" s="23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7"/>
      <c r="J135" s="237"/>
      <c r="K135" s="193"/>
      <c r="L135" s="193"/>
      <c r="M135" s="23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7"/>
      <c r="J136" s="237"/>
      <c r="K136" s="193"/>
      <c r="L136" s="193"/>
      <c r="M136" s="23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7"/>
      <c r="J137" s="237"/>
      <c r="K137" s="193"/>
      <c r="L137" s="193"/>
      <c r="M137" s="23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7"/>
      <c r="J138" s="237"/>
      <c r="K138" s="193"/>
      <c r="L138" s="193"/>
      <c r="M138" s="23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7"/>
      <c r="J139" s="237"/>
      <c r="K139" s="193"/>
      <c r="L139" s="193"/>
      <c r="M139" s="23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7"/>
      <c r="J140" s="237"/>
      <c r="K140" s="193"/>
      <c r="L140" s="193"/>
      <c r="M140" s="23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7"/>
      <c r="J141" s="237"/>
      <c r="K141" s="193"/>
      <c r="L141" s="193"/>
      <c r="M141" s="23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7"/>
      <c r="J142" s="237"/>
      <c r="K142" s="193"/>
      <c r="L142" s="193"/>
      <c r="M142" s="23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7"/>
      <c r="J143" s="237"/>
      <c r="K143" s="193"/>
      <c r="L143" s="193"/>
      <c r="M143" s="23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7"/>
      <c r="J144" s="237"/>
      <c r="K144" s="193"/>
      <c r="L144" s="193"/>
      <c r="M144" s="23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7"/>
      <c r="J145" s="237"/>
      <c r="K145" s="193"/>
      <c r="L145" s="193"/>
      <c r="M145" s="23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7"/>
      <c r="J146" s="237"/>
      <c r="K146" s="193"/>
      <c r="L146" s="193"/>
      <c r="M146" s="23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7"/>
      <c r="J147" s="237"/>
      <c r="K147" s="193"/>
      <c r="L147" s="193"/>
      <c r="M147" s="23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7"/>
      <c r="J148" s="237"/>
      <c r="K148" s="193"/>
      <c r="L148" s="193"/>
      <c r="M148" s="23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7"/>
      <c r="J149" s="237"/>
      <c r="K149" s="193"/>
      <c r="L149" s="193"/>
      <c r="M149" s="23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7"/>
      <c r="J150" s="237"/>
      <c r="K150" s="193"/>
      <c r="L150" s="193"/>
      <c r="M150" s="23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7"/>
      <c r="J151" s="237"/>
      <c r="K151" s="193"/>
      <c r="L151" s="193"/>
      <c r="M151" s="23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7"/>
      <c r="J152" s="237"/>
      <c r="K152" s="193"/>
      <c r="L152" s="193"/>
      <c r="M152" s="23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7"/>
      <c r="J153" s="237"/>
      <c r="K153" s="193"/>
      <c r="L153" s="193"/>
      <c r="M153" s="23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7"/>
      <c r="J154" s="237"/>
      <c r="K154" s="193"/>
      <c r="L154" s="193"/>
      <c r="M154" s="23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7"/>
      <c r="J155" s="237"/>
      <c r="K155" s="193"/>
      <c r="L155" s="193"/>
      <c r="M155" s="23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7"/>
      <c r="J156" s="237"/>
      <c r="K156" s="193"/>
      <c r="L156" s="193"/>
      <c r="M156" s="23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7"/>
      <c r="J157" s="237"/>
      <c r="K157" s="193"/>
      <c r="L157" s="193"/>
      <c r="M157" s="23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7"/>
      <c r="J158" s="237"/>
      <c r="K158" s="193"/>
      <c r="L158" s="193"/>
      <c r="M158" s="23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7"/>
      <c r="J159" s="237"/>
      <c r="K159" s="193"/>
      <c r="L159" s="193"/>
      <c r="M159" s="23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7"/>
      <c r="J160" s="237"/>
      <c r="K160" s="193"/>
      <c r="L160" s="193"/>
      <c r="M160" s="23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7"/>
      <c r="J161" s="237"/>
      <c r="K161" s="193"/>
      <c r="L161" s="193"/>
      <c r="M161" s="23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7"/>
      <c r="J162" s="237"/>
      <c r="K162" s="193"/>
      <c r="L162" s="193"/>
      <c r="M162" s="23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7"/>
      <c r="J163" s="237"/>
      <c r="K163" s="193"/>
      <c r="L163" s="193"/>
      <c r="M163" s="23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7"/>
      <c r="J164" s="237"/>
      <c r="K164" s="193"/>
      <c r="L164" s="193"/>
      <c r="M164" s="23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7"/>
      <c r="J165" s="237"/>
      <c r="K165" s="193"/>
      <c r="L165" s="193"/>
      <c r="M165" s="23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7"/>
      <c r="J166" s="237"/>
      <c r="K166" s="193"/>
      <c r="L166" s="193"/>
      <c r="M166" s="23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7"/>
      <c r="J167" s="237"/>
      <c r="K167" s="193"/>
      <c r="L167" s="193"/>
      <c r="M167" s="23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7"/>
      <c r="J168" s="237"/>
      <c r="K168" s="193"/>
      <c r="L168" s="193"/>
      <c r="M168" s="23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7"/>
      <c r="J169" s="237"/>
      <c r="K169" s="193"/>
      <c r="L169" s="193"/>
      <c r="M169" s="23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7"/>
      <c r="J170" s="237"/>
      <c r="K170" s="193"/>
      <c r="L170" s="193"/>
      <c r="M170" s="23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7"/>
      <c r="J171" s="237"/>
      <c r="K171" s="193"/>
      <c r="L171" s="193"/>
      <c r="M171" s="23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7"/>
      <c r="J172" s="237"/>
      <c r="K172" s="193"/>
      <c r="L172" s="193"/>
      <c r="M172" s="23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7"/>
      <c r="J173" s="237"/>
      <c r="K173" s="193"/>
      <c r="L173" s="193"/>
      <c r="M173" s="23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7"/>
      <c r="J174" s="237"/>
      <c r="K174" s="193"/>
      <c r="L174" s="193"/>
      <c r="M174" s="23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7"/>
      <c r="J175" s="237"/>
      <c r="K175" s="193"/>
      <c r="L175" s="193"/>
      <c r="M175" s="23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7"/>
      <c r="J176" s="237"/>
      <c r="K176" s="193"/>
      <c r="L176" s="193"/>
      <c r="M176" s="23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7"/>
      <c r="J177" s="237"/>
      <c r="K177" s="193"/>
      <c r="L177" s="193"/>
      <c r="M177" s="23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7"/>
      <c r="J178" s="237"/>
      <c r="K178" s="193"/>
      <c r="L178" s="193"/>
      <c r="M178" s="23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7"/>
      <c r="J179" s="237"/>
      <c r="K179" s="193"/>
      <c r="L179" s="193"/>
      <c r="M179" s="23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7"/>
      <c r="J180" s="237"/>
      <c r="K180" s="193"/>
      <c r="L180" s="193"/>
      <c r="M180" s="23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7"/>
      <c r="J181" s="237"/>
      <c r="K181" s="193"/>
      <c r="L181" s="193"/>
      <c r="M181" s="23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7"/>
      <c r="J182" s="237"/>
      <c r="K182" s="193"/>
      <c r="L182" s="193"/>
      <c r="M182" s="23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7"/>
      <c r="J183" s="237"/>
      <c r="K183" s="193"/>
      <c r="L183" s="193"/>
      <c r="M183" s="23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7"/>
      <c r="J184" s="237"/>
      <c r="K184" s="193"/>
      <c r="L184" s="193"/>
      <c r="M184" s="23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7"/>
      <c r="J185" s="237"/>
      <c r="K185" s="193"/>
      <c r="L185" s="193"/>
      <c r="M185" s="23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7"/>
      <c r="J186" s="237"/>
      <c r="K186" s="193"/>
      <c r="L186" s="193"/>
      <c r="M186" s="23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7"/>
      <c r="J187" s="237"/>
      <c r="K187" s="193"/>
      <c r="L187" s="193"/>
      <c r="M187" s="23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7"/>
      <c r="J188" s="237"/>
      <c r="K188" s="193"/>
      <c r="L188" s="193"/>
      <c r="M188" s="23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7"/>
      <c r="J189" s="237"/>
      <c r="K189" s="193"/>
      <c r="L189" s="193"/>
      <c r="M189" s="23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7"/>
      <c r="J190" s="237"/>
      <c r="K190" s="193"/>
      <c r="L190" s="193"/>
      <c r="M190" s="23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7"/>
      <c r="J191" s="237"/>
      <c r="K191" s="193"/>
      <c r="L191" s="193"/>
      <c r="M191" s="23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7"/>
      <c r="J192" s="237"/>
      <c r="K192" s="193"/>
      <c r="L192" s="193"/>
      <c r="M192" s="23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7"/>
      <c r="J193" s="237"/>
      <c r="K193" s="193"/>
      <c r="L193" s="193"/>
      <c r="M193" s="23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7"/>
      <c r="J194" s="237"/>
      <c r="K194" s="193"/>
      <c r="L194" s="193"/>
      <c r="M194" s="23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7"/>
      <c r="J195" s="237"/>
      <c r="K195" s="193"/>
      <c r="L195" s="193"/>
      <c r="M195" s="23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7"/>
      <c r="J196" s="237"/>
      <c r="K196" s="193"/>
      <c r="L196" s="193"/>
      <c r="M196" s="23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7"/>
      <c r="J197" s="237"/>
      <c r="K197" s="193"/>
      <c r="L197" s="193"/>
      <c r="M197" s="23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7"/>
      <c r="J198" s="237"/>
      <c r="K198" s="193"/>
      <c r="L198" s="193"/>
      <c r="M198" s="23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7"/>
      <c r="J199" s="237"/>
      <c r="K199" s="193"/>
      <c r="L199" s="193"/>
      <c r="M199" s="23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7"/>
      <c r="J200" s="237"/>
      <c r="K200" s="193"/>
      <c r="L200" s="193"/>
      <c r="M200" s="23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7"/>
      <c r="J201" s="237"/>
      <c r="K201" s="193"/>
      <c r="L201" s="193"/>
      <c r="M201" s="23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7"/>
      <c r="J202" s="237"/>
      <c r="K202" s="193"/>
      <c r="L202" s="193"/>
      <c r="M202" s="23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7"/>
      <c r="J203" s="237"/>
      <c r="K203" s="193"/>
      <c r="L203" s="193"/>
      <c r="M203" s="23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7"/>
      <c r="J204" s="237"/>
      <c r="K204" s="193"/>
      <c r="L204" s="193"/>
      <c r="M204" s="23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7"/>
      <c r="J205" s="237"/>
      <c r="K205" s="193"/>
      <c r="L205" s="193"/>
      <c r="M205" s="23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7"/>
      <c r="J206" s="237"/>
      <c r="K206" s="193"/>
      <c r="L206" s="193"/>
      <c r="M206" s="23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7"/>
      <c r="J207" s="237"/>
      <c r="K207" s="193"/>
      <c r="L207" s="193"/>
      <c r="M207" s="23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7"/>
      <c r="J208" s="237"/>
      <c r="K208" s="193"/>
      <c r="L208" s="193"/>
      <c r="M208" s="23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7"/>
      <c r="J209" s="237"/>
      <c r="K209" s="193"/>
      <c r="L209" s="193"/>
      <c r="M209" s="23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7"/>
      <c r="J210" s="237"/>
      <c r="K210" s="193"/>
      <c r="L210" s="193"/>
      <c r="M210" s="23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7"/>
      <c r="J211" s="237"/>
      <c r="K211" s="193"/>
      <c r="L211" s="193"/>
      <c r="M211" s="23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7"/>
      <c r="J212" s="237"/>
      <c r="K212" s="193"/>
      <c r="L212" s="193"/>
      <c r="M212" s="23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7"/>
      <c r="J213" s="237"/>
      <c r="K213" s="193"/>
      <c r="L213" s="193"/>
      <c r="M213" s="23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7"/>
      <c r="J214" s="237"/>
      <c r="K214" s="193"/>
      <c r="L214" s="193"/>
      <c r="M214" s="23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7"/>
      <c r="J215" s="237"/>
      <c r="K215" s="193"/>
      <c r="L215" s="193"/>
      <c r="M215" s="23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7"/>
      <c r="J216" s="237"/>
      <c r="K216" s="193"/>
      <c r="L216" s="193"/>
      <c r="M216" s="23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7"/>
      <c r="J217" s="237"/>
      <c r="K217" s="193"/>
      <c r="L217" s="193"/>
      <c r="M217" s="23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7"/>
      <c r="J218" s="237"/>
      <c r="K218" s="193"/>
      <c r="L218" s="193"/>
      <c r="M218" s="23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7"/>
      <c r="J219" s="237"/>
      <c r="K219" s="193"/>
      <c r="L219" s="193"/>
      <c r="M219" s="23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7"/>
      <c r="J220" s="237"/>
      <c r="K220" s="193"/>
      <c r="L220" s="193"/>
      <c r="M220" s="23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7"/>
      <c r="J221" s="237"/>
      <c r="K221" s="193"/>
      <c r="L221" s="193"/>
      <c r="M221" s="23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7"/>
      <c r="J222" s="237"/>
      <c r="K222" s="193"/>
      <c r="L222" s="193"/>
      <c r="M222" s="23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7"/>
      <c r="J223" s="237"/>
      <c r="K223" s="193"/>
      <c r="L223" s="193"/>
      <c r="M223" s="23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7"/>
      <c r="J224" s="237"/>
      <c r="K224" s="193"/>
      <c r="L224" s="193"/>
      <c r="M224" s="23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7"/>
      <c r="J225" s="237"/>
      <c r="K225" s="193"/>
      <c r="L225" s="193"/>
      <c r="M225" s="23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7"/>
      <c r="J226" s="237"/>
      <c r="K226" s="193"/>
      <c r="L226" s="193"/>
      <c r="M226" s="23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7"/>
      <c r="J227" s="237"/>
      <c r="K227" s="193"/>
      <c r="L227" s="193"/>
      <c r="M227" s="23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7"/>
      <c r="J228" s="237"/>
      <c r="K228" s="193"/>
      <c r="L228" s="193"/>
      <c r="M228" s="23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7"/>
      <c r="J229" s="237"/>
      <c r="K229" s="193"/>
      <c r="L229" s="193"/>
      <c r="M229" s="23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7"/>
      <c r="J230" s="237"/>
      <c r="K230" s="193"/>
      <c r="L230" s="193"/>
      <c r="M230" s="23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7"/>
      <c r="J231" s="237"/>
      <c r="K231" s="193"/>
      <c r="L231" s="193"/>
      <c r="M231" s="23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7"/>
      <c r="J232" s="237"/>
      <c r="K232" s="193"/>
      <c r="L232" s="193"/>
      <c r="M232" s="23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7"/>
      <c r="J233" s="237"/>
      <c r="K233" s="193"/>
      <c r="L233" s="193"/>
      <c r="M233" s="23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7"/>
      <c r="J234" s="237"/>
      <c r="K234" s="193"/>
      <c r="L234" s="193"/>
      <c r="M234" s="23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7"/>
      <c r="J235" s="237"/>
      <c r="K235" s="193"/>
      <c r="L235" s="193"/>
      <c r="M235" s="23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7"/>
      <c r="J236" s="237"/>
      <c r="K236" s="193"/>
      <c r="L236" s="193"/>
      <c r="M236" s="23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7"/>
      <c r="J237" s="237"/>
      <c r="K237" s="193"/>
      <c r="L237" s="193"/>
      <c r="M237" s="23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7"/>
      <c r="J238" s="237"/>
      <c r="K238" s="193"/>
      <c r="L238" s="193"/>
      <c r="M238" s="23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7"/>
      <c r="J239" s="237"/>
      <c r="K239" s="193"/>
      <c r="L239" s="193"/>
      <c r="M239" s="23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7"/>
      <c r="J240" s="237"/>
      <c r="K240" s="193"/>
      <c r="L240" s="193"/>
      <c r="M240" s="23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7"/>
      <c r="J241" s="237"/>
      <c r="K241" s="193"/>
      <c r="L241" s="193"/>
      <c r="M241" s="23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7"/>
      <c r="J242" s="237"/>
      <c r="K242" s="193"/>
      <c r="L242" s="193"/>
      <c r="M242" s="23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7"/>
      <c r="J243" s="237"/>
      <c r="K243" s="193"/>
      <c r="L243" s="193"/>
      <c r="M243" s="23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7"/>
      <c r="J244" s="237"/>
      <c r="K244" s="193"/>
      <c r="L244" s="193"/>
      <c r="M244" s="23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7"/>
      <c r="J245" s="237"/>
      <c r="K245" s="193"/>
      <c r="L245" s="193"/>
      <c r="M245" s="23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7"/>
      <c r="J246" s="237"/>
      <c r="K246" s="193"/>
      <c r="L246" s="193"/>
      <c r="M246" s="23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7"/>
      <c r="J247" s="237"/>
      <c r="K247" s="193"/>
      <c r="L247" s="193"/>
      <c r="M247" s="23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7"/>
      <c r="J248" s="237"/>
      <c r="K248" s="193"/>
      <c r="L248" s="193"/>
      <c r="M248" s="23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7"/>
      <c r="J249" s="237"/>
      <c r="K249" s="193"/>
      <c r="L249" s="193"/>
      <c r="M249" s="23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7"/>
      <c r="J250" s="237"/>
      <c r="K250" s="193"/>
      <c r="L250" s="193"/>
      <c r="M250" s="23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7"/>
      <c r="J251" s="237"/>
      <c r="K251" s="193"/>
      <c r="L251" s="193"/>
      <c r="M251" s="23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7"/>
      <c r="J252" s="237"/>
      <c r="K252" s="193"/>
      <c r="L252" s="193"/>
      <c r="M252" s="23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7"/>
      <c r="J253" s="237"/>
      <c r="K253" s="193"/>
      <c r="L253" s="193"/>
      <c r="M253" s="23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7"/>
      <c r="J254" s="237"/>
      <c r="K254" s="193"/>
      <c r="L254" s="193"/>
      <c r="M254" s="23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7"/>
      <c r="J255" s="237"/>
      <c r="K255" s="193"/>
      <c r="L255" s="193"/>
      <c r="M255" s="23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7"/>
      <c r="J256" s="237"/>
      <c r="K256" s="193"/>
      <c r="L256" s="193"/>
      <c r="M256" s="23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7"/>
      <c r="J257" s="237"/>
      <c r="K257" s="193"/>
      <c r="L257" s="193"/>
      <c r="M257" s="23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7"/>
      <c r="J258" s="237"/>
      <c r="K258" s="193"/>
      <c r="L258" s="193"/>
      <c r="M258" s="23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7"/>
      <c r="J259" s="237"/>
      <c r="K259" s="193"/>
      <c r="L259" s="193"/>
      <c r="M259" s="23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7"/>
      <c r="J260" s="237"/>
      <c r="K260" s="193"/>
      <c r="L260" s="193"/>
      <c r="M260" s="23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7"/>
      <c r="J261" s="237"/>
      <c r="K261" s="193"/>
      <c r="L261" s="193"/>
      <c r="M261" s="23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7"/>
      <c r="J262" s="237"/>
      <c r="K262" s="193"/>
      <c r="L262" s="193"/>
      <c r="M262" s="23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7"/>
      <c r="J263" s="237"/>
      <c r="K263" s="193"/>
      <c r="L263" s="193"/>
      <c r="M263" s="23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7"/>
      <c r="J264" s="237"/>
      <c r="K264" s="193"/>
      <c r="L264" s="193"/>
      <c r="M264" s="23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7"/>
      <c r="J265" s="237"/>
      <c r="K265" s="193"/>
      <c r="L265" s="193"/>
      <c r="M265" s="23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7"/>
      <c r="J266" s="237"/>
      <c r="K266" s="193"/>
      <c r="L266" s="193"/>
      <c r="M266" s="23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7"/>
      <c r="J267" s="237"/>
      <c r="K267" s="193"/>
      <c r="L267" s="193"/>
      <c r="M267" s="23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7"/>
      <c r="J268" s="237"/>
      <c r="K268" s="193"/>
      <c r="L268" s="193"/>
      <c r="M268" s="23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7"/>
      <c r="J269" s="237"/>
      <c r="K269" s="193"/>
      <c r="L269" s="193"/>
      <c r="M269" s="23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7"/>
      <c r="J270" s="237"/>
      <c r="K270" s="193"/>
      <c r="L270" s="193"/>
      <c r="M270" s="23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7"/>
      <c r="J271" s="237"/>
      <c r="K271" s="193"/>
      <c r="L271" s="193"/>
      <c r="M271" s="23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7"/>
      <c r="J272" s="237"/>
      <c r="K272" s="193"/>
      <c r="L272" s="193"/>
      <c r="M272" s="23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7"/>
      <c r="J273" s="237"/>
      <c r="K273" s="193"/>
      <c r="L273" s="193"/>
      <c r="M273" s="23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7"/>
      <c r="J274" s="237"/>
      <c r="K274" s="193"/>
      <c r="L274" s="193"/>
      <c r="M274" s="23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7"/>
      <c r="J275" s="237"/>
      <c r="K275" s="193"/>
      <c r="L275" s="193"/>
      <c r="M275" s="23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7"/>
      <c r="J276" s="237"/>
      <c r="K276" s="193"/>
      <c r="L276" s="193"/>
      <c r="M276" s="23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7"/>
      <c r="J277" s="237"/>
      <c r="K277" s="193"/>
      <c r="L277" s="193"/>
      <c r="M277" s="23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7"/>
      <c r="J278" s="237"/>
      <c r="K278" s="193"/>
      <c r="L278" s="193"/>
      <c r="M278" s="23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7"/>
      <c r="J279" s="237"/>
      <c r="K279" s="193"/>
      <c r="L279" s="193"/>
      <c r="M279" s="23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7"/>
      <c r="J280" s="237"/>
      <c r="K280" s="193"/>
      <c r="L280" s="193"/>
      <c r="M280" s="23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7"/>
      <c r="J281" s="237"/>
      <c r="K281" s="193"/>
      <c r="L281" s="193"/>
      <c r="M281" s="23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7"/>
      <c r="J282" s="237"/>
      <c r="K282" s="193"/>
      <c r="L282" s="193"/>
      <c r="M282" s="23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7"/>
      <c r="J283" s="237"/>
      <c r="K283" s="193"/>
      <c r="L283" s="193"/>
      <c r="M283" s="23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7"/>
      <c r="J284" s="237"/>
      <c r="K284" s="193"/>
      <c r="L284" s="193"/>
      <c r="M284" s="23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7"/>
      <c r="J285" s="237"/>
      <c r="K285" s="193"/>
      <c r="L285" s="193"/>
      <c r="M285" s="23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7"/>
      <c r="J286" s="237"/>
      <c r="K286" s="193"/>
      <c r="L286" s="193"/>
      <c r="M286" s="23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7"/>
      <c r="J287" s="237"/>
      <c r="K287" s="193"/>
      <c r="L287" s="193"/>
      <c r="M287" s="23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7"/>
      <c r="J288" s="237"/>
      <c r="K288" s="193"/>
      <c r="L288" s="193"/>
      <c r="M288" s="23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7"/>
      <c r="J289" s="237"/>
      <c r="K289" s="193"/>
      <c r="L289" s="193"/>
      <c r="M289" s="23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7"/>
      <c r="J290" s="237"/>
      <c r="K290" s="193"/>
      <c r="L290" s="193"/>
      <c r="M290" s="23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7"/>
      <c r="J291" s="237"/>
      <c r="K291" s="193"/>
      <c r="L291" s="193"/>
      <c r="M291" s="23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7"/>
      <c r="J292" s="237"/>
      <c r="K292" s="193"/>
      <c r="L292" s="193"/>
      <c r="M292" s="23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7"/>
      <c r="J293" s="237"/>
      <c r="K293" s="193"/>
      <c r="L293" s="193"/>
      <c r="M293" s="23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7"/>
      <c r="J294" s="237"/>
      <c r="K294" s="193"/>
      <c r="L294" s="193"/>
      <c r="M294" s="23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7"/>
      <c r="J295" s="237"/>
      <c r="K295" s="193"/>
      <c r="L295" s="193"/>
      <c r="M295" s="23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7"/>
      <c r="J296" s="237"/>
      <c r="K296" s="193"/>
      <c r="L296" s="193"/>
      <c r="M296" s="23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7"/>
      <c r="J297" s="237"/>
      <c r="K297" s="193"/>
      <c r="L297" s="193"/>
      <c r="M297" s="23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7"/>
      <c r="J298" s="237"/>
      <c r="K298" s="193"/>
      <c r="L298" s="193"/>
      <c r="M298" s="23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7"/>
      <c r="J299" s="237"/>
      <c r="K299" s="193"/>
      <c r="L299" s="193"/>
      <c r="M299" s="23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7"/>
      <c r="J300" s="237"/>
      <c r="K300" s="193"/>
      <c r="L300" s="193"/>
      <c r="M300" s="23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7"/>
      <c r="J301" s="237"/>
      <c r="K301" s="193"/>
      <c r="L301" s="193"/>
      <c r="M301" s="23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7"/>
      <c r="J302" s="237"/>
      <c r="K302" s="193"/>
      <c r="L302" s="193"/>
      <c r="M302" s="23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7"/>
      <c r="J303" s="237"/>
      <c r="K303" s="193"/>
      <c r="L303" s="193"/>
      <c r="M303" s="23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7"/>
      <c r="J304" s="237"/>
      <c r="K304" s="193"/>
      <c r="L304" s="193"/>
      <c r="M304" s="23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7"/>
      <c r="J305" s="237"/>
      <c r="K305" s="193"/>
      <c r="L305" s="193"/>
      <c r="M305" s="23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7"/>
      <c r="J306" s="237"/>
      <c r="K306" s="193"/>
      <c r="L306" s="193"/>
      <c r="M306" s="23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7"/>
      <c r="J307" s="237"/>
      <c r="K307" s="193"/>
      <c r="L307" s="193"/>
      <c r="M307" s="23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7"/>
      <c r="J308" s="237"/>
      <c r="K308" s="193"/>
      <c r="L308" s="193"/>
      <c r="M308" s="23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7"/>
      <c r="J309" s="237"/>
      <c r="K309" s="193"/>
      <c r="L309" s="193"/>
      <c r="M309" s="23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7"/>
      <c r="J310" s="237"/>
      <c r="K310" s="193"/>
      <c r="L310" s="193"/>
      <c r="M310" s="23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7"/>
      <c r="J311" s="237"/>
      <c r="K311" s="193"/>
      <c r="L311" s="193"/>
      <c r="M311" s="23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7"/>
      <c r="J312" s="237"/>
      <c r="K312" s="193"/>
      <c r="L312" s="193"/>
      <c r="M312" s="23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7"/>
      <c r="J313" s="237"/>
      <c r="K313" s="193"/>
      <c r="L313" s="193"/>
      <c r="M313" s="23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7"/>
      <c r="J314" s="237"/>
      <c r="K314" s="193"/>
      <c r="L314" s="193"/>
      <c r="M314" s="23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7"/>
      <c r="J315" s="237"/>
      <c r="K315" s="193"/>
      <c r="L315" s="193"/>
      <c r="M315" s="23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7"/>
      <c r="J316" s="237"/>
      <c r="K316" s="193"/>
      <c r="L316" s="193"/>
      <c r="M316" s="23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7"/>
      <c r="J317" s="237"/>
      <c r="K317" s="193"/>
      <c r="L317" s="193"/>
      <c r="M317" s="23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7"/>
      <c r="J318" s="237"/>
      <c r="K318" s="193"/>
      <c r="L318" s="193"/>
      <c r="M318" s="23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7"/>
      <c r="J319" s="237"/>
      <c r="K319" s="193"/>
      <c r="L319" s="193"/>
      <c r="M319" s="23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7"/>
      <c r="J320" s="237"/>
      <c r="K320" s="193"/>
      <c r="L320" s="193"/>
      <c r="M320" s="23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7"/>
      <c r="J321" s="237"/>
      <c r="K321" s="193"/>
      <c r="L321" s="193"/>
      <c r="M321" s="23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7"/>
      <c r="J322" s="237"/>
      <c r="K322" s="193"/>
      <c r="L322" s="193"/>
      <c r="M322" s="23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7"/>
      <c r="J323" s="237"/>
      <c r="K323" s="193"/>
      <c r="L323" s="193"/>
      <c r="M323" s="23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7"/>
      <c r="J324" s="237"/>
      <c r="K324" s="193"/>
      <c r="L324" s="193"/>
      <c r="M324" s="23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7"/>
      <c r="J325" s="237"/>
      <c r="K325" s="193"/>
      <c r="L325" s="193"/>
      <c r="M325" s="23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7"/>
      <c r="J326" s="237"/>
      <c r="K326" s="193"/>
      <c r="L326" s="193"/>
      <c r="M326" s="23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7"/>
      <c r="J327" s="237"/>
      <c r="K327" s="193"/>
      <c r="L327" s="193"/>
      <c r="M327" s="23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7"/>
      <c r="J328" s="237"/>
      <c r="K328" s="193"/>
      <c r="L328" s="193"/>
      <c r="M328" s="23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7"/>
      <c r="J329" s="237"/>
      <c r="K329" s="193"/>
      <c r="L329" s="193"/>
      <c r="M329" s="23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7"/>
      <c r="J330" s="237"/>
      <c r="K330" s="193"/>
      <c r="L330" s="193"/>
      <c r="M330" s="23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7"/>
      <c r="J331" s="237"/>
      <c r="K331" s="193"/>
      <c r="L331" s="193"/>
      <c r="M331" s="23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7"/>
      <c r="J332" s="237"/>
      <c r="K332" s="193"/>
      <c r="L332" s="193"/>
      <c r="M332" s="23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7"/>
      <c r="J333" s="237"/>
      <c r="K333" s="193"/>
      <c r="L333" s="193"/>
      <c r="M333" s="23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7"/>
      <c r="J334" s="237"/>
      <c r="K334" s="193"/>
      <c r="L334" s="193"/>
      <c r="M334" s="23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7"/>
      <c r="J335" s="237"/>
      <c r="K335" s="193"/>
      <c r="L335" s="193"/>
      <c r="M335" s="23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7"/>
      <c r="J336" s="237"/>
      <c r="K336" s="193"/>
      <c r="L336" s="193"/>
      <c r="M336" s="23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7"/>
      <c r="J337" s="237"/>
      <c r="K337" s="193"/>
      <c r="L337" s="193"/>
      <c r="M337" s="23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7"/>
      <c r="J338" s="237"/>
      <c r="K338" s="193"/>
      <c r="L338" s="193"/>
      <c r="M338" s="23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7"/>
      <c r="J339" s="237"/>
      <c r="K339" s="193"/>
      <c r="L339" s="193"/>
      <c r="M339" s="23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7"/>
      <c r="J340" s="237"/>
      <c r="K340" s="193"/>
      <c r="L340" s="193"/>
      <c r="M340" s="23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7"/>
      <c r="J341" s="237"/>
      <c r="K341" s="193"/>
      <c r="L341" s="193"/>
      <c r="M341" s="23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7"/>
      <c r="J342" s="237"/>
      <c r="K342" s="193"/>
      <c r="L342" s="193"/>
      <c r="M342" s="23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7"/>
      <c r="J343" s="237"/>
      <c r="K343" s="193"/>
      <c r="L343" s="193"/>
      <c r="M343" s="23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7"/>
      <c r="J344" s="237"/>
      <c r="K344" s="193"/>
      <c r="L344" s="193"/>
      <c r="M344" s="23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7"/>
      <c r="J345" s="237"/>
      <c r="K345" s="193"/>
      <c r="L345" s="193"/>
      <c r="M345" s="23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7"/>
      <c r="J346" s="237"/>
      <c r="K346" s="193"/>
      <c r="L346" s="193"/>
      <c r="M346" s="23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7"/>
      <c r="J347" s="237"/>
      <c r="K347" s="193"/>
      <c r="L347" s="193"/>
      <c r="M347" s="23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7"/>
      <c r="J348" s="237"/>
      <c r="K348" s="193"/>
      <c r="L348" s="193"/>
      <c r="M348" s="23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7"/>
      <c r="J349" s="237"/>
      <c r="K349" s="193"/>
      <c r="L349" s="193"/>
      <c r="M349" s="23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7"/>
      <c r="J350" s="237"/>
      <c r="K350" s="193"/>
      <c r="L350" s="193"/>
      <c r="M350" s="23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7"/>
      <c r="J351" s="237"/>
      <c r="K351" s="193"/>
      <c r="L351" s="193"/>
      <c r="M351" s="23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7"/>
      <c r="J352" s="237"/>
      <c r="K352" s="193"/>
      <c r="L352" s="193"/>
      <c r="M352" s="23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7"/>
      <c r="J353" s="237"/>
      <c r="K353" s="193"/>
      <c r="L353" s="193"/>
      <c r="M353" s="23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7"/>
      <c r="J354" s="237"/>
      <c r="K354" s="193"/>
      <c r="L354" s="193"/>
      <c r="M354" s="23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7"/>
      <c r="J355" s="237"/>
      <c r="K355" s="193"/>
      <c r="L355" s="193"/>
      <c r="M355" s="23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7"/>
      <c r="J356" s="237"/>
      <c r="K356" s="193"/>
      <c r="L356" s="193"/>
      <c r="M356" s="23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7"/>
      <c r="J357" s="237"/>
      <c r="K357" s="193"/>
      <c r="L357" s="193"/>
      <c r="M357" s="23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7"/>
      <c r="J358" s="237"/>
      <c r="K358" s="193"/>
      <c r="L358" s="193"/>
      <c r="M358" s="23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7"/>
      <c r="J359" s="237"/>
      <c r="K359" s="193"/>
      <c r="L359" s="193"/>
      <c r="M359" s="23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7"/>
      <c r="J360" s="237"/>
      <c r="K360" s="193"/>
      <c r="L360" s="193"/>
      <c r="M360" s="23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7"/>
      <c r="J361" s="237"/>
      <c r="K361" s="193"/>
      <c r="L361" s="193"/>
      <c r="M361" s="23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7"/>
      <c r="J362" s="237"/>
      <c r="K362" s="193"/>
      <c r="L362" s="193"/>
      <c r="M362" s="23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7"/>
      <c r="J363" s="237"/>
      <c r="K363" s="193"/>
      <c r="L363" s="193"/>
      <c r="M363" s="23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7"/>
      <c r="J364" s="237"/>
      <c r="K364" s="193"/>
      <c r="L364" s="193"/>
      <c r="M364" s="23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7"/>
      <c r="J365" s="237"/>
      <c r="K365" s="193"/>
      <c r="L365" s="193"/>
      <c r="M365" s="23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7"/>
      <c r="J366" s="237"/>
      <c r="K366" s="193"/>
      <c r="L366" s="193"/>
      <c r="M366" s="23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7"/>
      <c r="J367" s="237"/>
      <c r="K367" s="193"/>
      <c r="L367" s="193"/>
      <c r="M367" s="23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7"/>
      <c r="J368" s="237"/>
      <c r="K368" s="193"/>
      <c r="L368" s="193"/>
      <c r="M368" s="23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7"/>
      <c r="J369" s="237"/>
      <c r="K369" s="193"/>
      <c r="L369" s="193"/>
      <c r="M369" s="23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7"/>
      <c r="J370" s="237"/>
      <c r="K370" s="193"/>
      <c r="L370" s="193"/>
      <c r="M370" s="23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7"/>
      <c r="J371" s="237"/>
      <c r="K371" s="193"/>
      <c r="L371" s="193"/>
      <c r="M371" s="23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7"/>
      <c r="J372" s="237"/>
      <c r="K372" s="193"/>
      <c r="L372" s="193"/>
      <c r="M372" s="23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7"/>
      <c r="J373" s="237"/>
      <c r="K373" s="193"/>
      <c r="L373" s="193"/>
      <c r="M373" s="23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7"/>
      <c r="J374" s="237"/>
      <c r="K374" s="193"/>
      <c r="L374" s="193"/>
      <c r="M374" s="23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7"/>
      <c r="J375" s="237"/>
      <c r="K375" s="193"/>
      <c r="L375" s="193"/>
      <c r="M375" s="23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7"/>
      <c r="J376" s="237"/>
      <c r="K376" s="193"/>
      <c r="L376" s="193"/>
      <c r="M376" s="23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7"/>
      <c r="J377" s="237"/>
      <c r="K377" s="193"/>
      <c r="L377" s="193"/>
      <c r="M377" s="23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7"/>
      <c r="J378" s="237"/>
      <c r="K378" s="193"/>
      <c r="L378" s="193"/>
      <c r="M378" s="23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7"/>
      <c r="J379" s="237"/>
      <c r="K379" s="193"/>
      <c r="L379" s="193"/>
      <c r="M379" s="23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7"/>
      <c r="J380" s="237"/>
      <c r="K380" s="193"/>
      <c r="L380" s="193"/>
      <c r="M380" s="23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7"/>
      <c r="J381" s="237"/>
      <c r="K381" s="193"/>
      <c r="L381" s="193"/>
      <c r="M381" s="23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7"/>
      <c r="J382" s="237"/>
      <c r="K382" s="193"/>
      <c r="L382" s="193"/>
      <c r="M382" s="23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7"/>
      <c r="J383" s="237"/>
      <c r="K383" s="193"/>
      <c r="L383" s="193"/>
      <c r="M383" s="23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7"/>
      <c r="J384" s="237"/>
      <c r="K384" s="193"/>
      <c r="L384" s="193"/>
      <c r="M384" s="23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7"/>
      <c r="J385" s="237"/>
      <c r="K385" s="193"/>
      <c r="L385" s="193"/>
      <c r="M385" s="23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7"/>
      <c r="J386" s="237"/>
      <c r="K386" s="193"/>
      <c r="L386" s="193"/>
      <c r="M386" s="23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7"/>
      <c r="J387" s="237"/>
      <c r="K387" s="193"/>
      <c r="L387" s="193"/>
      <c r="M387" s="23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7"/>
      <c r="J388" s="237"/>
      <c r="K388" s="193"/>
      <c r="L388" s="193"/>
      <c r="M388" s="23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7"/>
      <c r="J389" s="237"/>
      <c r="K389" s="193"/>
      <c r="L389" s="193"/>
      <c r="M389" s="23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7"/>
      <c r="J390" s="237"/>
      <c r="K390" s="193"/>
      <c r="L390" s="193"/>
      <c r="M390" s="23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7"/>
      <c r="J391" s="237"/>
      <c r="K391" s="193"/>
      <c r="L391" s="193"/>
      <c r="M391" s="23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7"/>
      <c r="J392" s="237"/>
      <c r="K392" s="193"/>
      <c r="L392" s="193"/>
      <c r="M392" s="23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7"/>
      <c r="J393" s="237"/>
      <c r="K393" s="193"/>
      <c r="L393" s="193"/>
      <c r="M393" s="23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7"/>
      <c r="J394" s="237"/>
      <c r="K394" s="193"/>
      <c r="L394" s="193"/>
      <c r="M394" s="23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7"/>
      <c r="J395" s="237"/>
      <c r="K395" s="193"/>
      <c r="L395" s="193"/>
      <c r="M395" s="23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7"/>
      <c r="J396" s="237"/>
      <c r="K396" s="193"/>
      <c r="L396" s="193"/>
      <c r="M396" s="23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7"/>
      <c r="J397" s="237"/>
      <c r="K397" s="193"/>
      <c r="L397" s="193"/>
      <c r="M397" s="23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7"/>
      <c r="J398" s="237"/>
      <c r="K398" s="193"/>
      <c r="L398" s="193"/>
      <c r="M398" s="23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7"/>
      <c r="J399" s="237"/>
      <c r="K399" s="193"/>
      <c r="L399" s="193"/>
      <c r="M399" s="23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7"/>
      <c r="J400" s="237"/>
      <c r="K400" s="193"/>
      <c r="L400" s="193"/>
      <c r="M400" s="23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7"/>
      <c r="J401" s="237"/>
      <c r="K401" s="193"/>
      <c r="L401" s="193"/>
      <c r="M401" s="23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7"/>
      <c r="J402" s="237"/>
      <c r="K402" s="193"/>
      <c r="L402" s="193"/>
      <c r="M402" s="23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7"/>
      <c r="J403" s="237"/>
      <c r="K403" s="193"/>
      <c r="L403" s="193"/>
      <c r="M403" s="23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7"/>
      <c r="J404" s="237"/>
      <c r="K404" s="193"/>
      <c r="L404" s="193"/>
      <c r="M404" s="23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7"/>
      <c r="J405" s="237"/>
      <c r="K405" s="193"/>
      <c r="L405" s="193"/>
      <c r="M405" s="23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7"/>
      <c r="J406" s="237"/>
      <c r="K406" s="193"/>
      <c r="L406" s="193"/>
      <c r="M406" s="23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7"/>
      <c r="J407" s="237"/>
      <c r="K407" s="193"/>
      <c r="L407" s="193"/>
      <c r="M407" s="23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7"/>
      <c r="J408" s="237"/>
      <c r="K408" s="193"/>
      <c r="L408" s="193"/>
      <c r="M408" s="23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7"/>
      <c r="J409" s="237"/>
      <c r="K409" s="193"/>
      <c r="L409" s="193"/>
      <c r="M409" s="23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7"/>
      <c r="J410" s="237"/>
      <c r="K410" s="193"/>
      <c r="L410" s="193"/>
      <c r="M410" s="23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7"/>
      <c r="J411" s="237"/>
      <c r="K411" s="193"/>
      <c r="L411" s="193"/>
      <c r="M411" s="23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7"/>
      <c r="J412" s="237"/>
      <c r="K412" s="193"/>
      <c r="L412" s="193"/>
      <c r="M412" s="23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7"/>
      <c r="J413" s="237"/>
      <c r="K413" s="193"/>
      <c r="L413" s="193"/>
      <c r="M413" s="23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7"/>
      <c r="J414" s="237"/>
      <c r="K414" s="193"/>
      <c r="L414" s="193"/>
      <c r="M414" s="23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7"/>
      <c r="J415" s="237"/>
      <c r="K415" s="193"/>
      <c r="L415" s="193"/>
      <c r="M415" s="23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7"/>
      <c r="J416" s="237"/>
      <c r="K416" s="193"/>
      <c r="L416" s="193"/>
      <c r="M416" s="23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7"/>
      <c r="J417" s="237"/>
      <c r="K417" s="193"/>
      <c r="L417" s="193"/>
      <c r="M417" s="23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7"/>
      <c r="J418" s="237"/>
      <c r="K418" s="193"/>
      <c r="L418" s="193"/>
      <c r="M418" s="23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7"/>
      <c r="J419" s="237"/>
      <c r="K419" s="193"/>
      <c r="L419" s="193"/>
      <c r="M419" s="23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7"/>
      <c r="J420" s="237"/>
      <c r="K420" s="193"/>
      <c r="L420" s="193"/>
      <c r="M420" s="23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7"/>
      <c r="J421" s="237"/>
      <c r="K421" s="193"/>
      <c r="L421" s="193"/>
      <c r="M421" s="23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7"/>
      <c r="J422" s="237"/>
      <c r="K422" s="193"/>
      <c r="L422" s="193"/>
      <c r="M422" s="23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7"/>
      <c r="J423" s="237"/>
      <c r="K423" s="193"/>
      <c r="L423" s="193"/>
      <c r="M423" s="23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7"/>
      <c r="J424" s="237"/>
      <c r="K424" s="193"/>
      <c r="L424" s="193"/>
      <c r="M424" s="23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7"/>
      <c r="J425" s="237"/>
      <c r="K425" s="193"/>
      <c r="L425" s="193"/>
      <c r="M425" s="23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7"/>
      <c r="J426" s="237"/>
      <c r="K426" s="193"/>
      <c r="L426" s="193"/>
      <c r="M426" s="23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7"/>
      <c r="J427" s="237"/>
      <c r="K427" s="193"/>
      <c r="L427" s="193"/>
      <c r="M427" s="23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7"/>
      <c r="J428" s="237"/>
      <c r="K428" s="193"/>
      <c r="L428" s="193"/>
      <c r="M428" s="23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7"/>
      <c r="J429" s="237"/>
      <c r="K429" s="193"/>
      <c r="L429" s="193"/>
      <c r="M429" s="23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7"/>
      <c r="J430" s="237"/>
      <c r="K430" s="193"/>
      <c r="L430" s="193"/>
      <c r="M430" s="23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7"/>
      <c r="J431" s="237"/>
      <c r="K431" s="193"/>
      <c r="L431" s="193"/>
      <c r="M431" s="23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7"/>
      <c r="J432" s="237"/>
      <c r="K432" s="193"/>
      <c r="L432" s="193"/>
      <c r="M432" s="23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7"/>
      <c r="J433" s="237"/>
      <c r="K433" s="193"/>
      <c r="L433" s="193"/>
      <c r="M433" s="23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7"/>
      <c r="J434" s="237"/>
      <c r="K434" s="193"/>
      <c r="L434" s="193"/>
      <c r="M434" s="23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7"/>
      <c r="J435" s="237"/>
      <c r="K435" s="193"/>
      <c r="L435" s="193"/>
      <c r="M435" s="23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7"/>
      <c r="J436" s="237"/>
      <c r="K436" s="193"/>
      <c r="L436" s="193"/>
      <c r="M436" s="23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7"/>
      <c r="J437" s="237"/>
      <c r="K437" s="193"/>
      <c r="L437" s="193"/>
      <c r="M437" s="23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7"/>
      <c r="J438" s="237"/>
      <c r="K438" s="193"/>
      <c r="L438" s="193"/>
      <c r="M438" s="23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7"/>
      <c r="J439" s="237"/>
      <c r="K439" s="193"/>
      <c r="L439" s="193"/>
      <c r="M439" s="23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7"/>
      <c r="J440" s="237"/>
      <c r="K440" s="193"/>
      <c r="L440" s="193"/>
      <c r="M440" s="23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7"/>
      <c r="J441" s="237"/>
      <c r="K441" s="193"/>
      <c r="L441" s="193"/>
      <c r="M441" s="23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7"/>
      <c r="J442" s="237"/>
      <c r="K442" s="193"/>
      <c r="L442" s="193"/>
      <c r="M442" s="23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7"/>
      <c r="J443" s="237"/>
      <c r="K443" s="193"/>
      <c r="L443" s="193"/>
      <c r="M443" s="23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7"/>
      <c r="J444" s="237"/>
      <c r="K444" s="193"/>
      <c r="L444" s="193"/>
      <c r="M444" s="23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7"/>
      <c r="J445" s="237"/>
      <c r="K445" s="193"/>
      <c r="L445" s="193"/>
      <c r="M445" s="23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7"/>
      <c r="J446" s="237"/>
      <c r="K446" s="193"/>
      <c r="L446" s="193"/>
      <c r="M446" s="23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7"/>
      <c r="J447" s="237"/>
      <c r="K447" s="193"/>
      <c r="L447" s="193"/>
      <c r="M447" s="23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7"/>
      <c r="J448" s="237"/>
      <c r="K448" s="193"/>
      <c r="L448" s="193"/>
      <c r="M448" s="23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7"/>
      <c r="J449" s="237"/>
      <c r="K449" s="193"/>
      <c r="L449" s="193"/>
      <c r="M449" s="23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7"/>
      <c r="J450" s="237"/>
      <c r="K450" s="193"/>
      <c r="L450" s="193"/>
      <c r="M450" s="23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7"/>
      <c r="J451" s="237"/>
      <c r="K451" s="193"/>
      <c r="L451" s="193"/>
      <c r="M451" s="23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7"/>
      <c r="J452" s="237"/>
      <c r="K452" s="193"/>
      <c r="L452" s="193"/>
      <c r="M452" s="23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7"/>
      <c r="J453" s="237"/>
      <c r="K453" s="193"/>
      <c r="L453" s="193"/>
      <c r="M453" s="23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7"/>
      <c r="J454" s="237"/>
      <c r="K454" s="193"/>
      <c r="L454" s="193"/>
      <c r="M454" s="23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7"/>
      <c r="J455" s="237"/>
      <c r="K455" s="193"/>
      <c r="L455" s="193"/>
      <c r="M455" s="23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7"/>
      <c r="J456" s="237"/>
      <c r="K456" s="193"/>
      <c r="L456" s="193"/>
      <c r="M456" s="23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7"/>
      <c r="J457" s="237"/>
      <c r="K457" s="193"/>
      <c r="L457" s="193"/>
      <c r="M457" s="23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7"/>
      <c r="J458" s="237"/>
      <c r="K458" s="193"/>
      <c r="L458" s="193"/>
      <c r="M458" s="23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7"/>
      <c r="J459" s="237"/>
      <c r="K459" s="193"/>
      <c r="L459" s="193"/>
      <c r="M459" s="23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7"/>
      <c r="J460" s="237"/>
      <c r="K460" s="193"/>
      <c r="L460" s="193"/>
      <c r="M460" s="23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7"/>
      <c r="J461" s="237"/>
      <c r="K461" s="193"/>
      <c r="L461" s="193"/>
      <c r="M461" s="23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7"/>
      <c r="J462" s="237"/>
      <c r="K462" s="193"/>
      <c r="L462" s="193"/>
      <c r="M462" s="23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7"/>
      <c r="J463" s="237"/>
      <c r="K463" s="193"/>
      <c r="L463" s="193"/>
      <c r="M463" s="23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7"/>
      <c r="J464" s="237"/>
      <c r="K464" s="193"/>
      <c r="L464" s="193"/>
      <c r="M464" s="23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7"/>
      <c r="J465" s="237"/>
      <c r="K465" s="193"/>
      <c r="L465" s="193"/>
      <c r="M465" s="23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7"/>
      <c r="J466" s="237"/>
      <c r="K466" s="193"/>
      <c r="L466" s="193"/>
      <c r="M466" s="23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7"/>
      <c r="J467" s="237"/>
      <c r="K467" s="193"/>
      <c r="L467" s="193"/>
      <c r="M467" s="23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7"/>
      <c r="J468" s="237"/>
      <c r="K468" s="193"/>
      <c r="L468" s="193"/>
      <c r="M468" s="23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7"/>
      <c r="J469" s="237"/>
      <c r="K469" s="193"/>
      <c r="L469" s="193"/>
      <c r="M469" s="23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7"/>
      <c r="J470" s="237"/>
      <c r="K470" s="193"/>
      <c r="L470" s="193"/>
      <c r="M470" s="23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7"/>
      <c r="J471" s="237"/>
      <c r="K471" s="193"/>
      <c r="L471" s="193"/>
      <c r="M471" s="23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7"/>
      <c r="J472" s="237"/>
      <c r="K472" s="193"/>
      <c r="L472" s="193"/>
      <c r="M472" s="23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7"/>
      <c r="J473" s="237"/>
      <c r="K473" s="193"/>
      <c r="L473" s="193"/>
      <c r="M473" s="23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7"/>
      <c r="J474" s="237"/>
      <c r="K474" s="193"/>
      <c r="L474" s="193"/>
      <c r="M474" s="23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7"/>
      <c r="J475" s="237"/>
      <c r="K475" s="193"/>
      <c r="L475" s="193"/>
      <c r="M475" s="23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7"/>
      <c r="J476" s="237"/>
      <c r="K476" s="193"/>
      <c r="L476" s="193"/>
      <c r="M476" s="23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7"/>
      <c r="J477" s="237"/>
      <c r="K477" s="193"/>
      <c r="L477" s="193"/>
      <c r="M477" s="23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7"/>
      <c r="J478" s="237"/>
      <c r="K478" s="193"/>
      <c r="L478" s="193"/>
      <c r="M478" s="23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7"/>
      <c r="J479" s="237"/>
      <c r="K479" s="193"/>
      <c r="L479" s="193"/>
      <c r="M479" s="23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7"/>
      <c r="J480" s="237"/>
      <c r="K480" s="193"/>
      <c r="L480" s="193"/>
      <c r="M480" s="23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7"/>
      <c r="J481" s="237"/>
      <c r="K481" s="193"/>
      <c r="L481" s="193"/>
      <c r="M481" s="23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7"/>
      <c r="J482" s="237"/>
      <c r="K482" s="193"/>
      <c r="L482" s="193"/>
      <c r="M482" s="23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7"/>
      <c r="J483" s="237"/>
      <c r="K483" s="193"/>
      <c r="L483" s="193"/>
      <c r="M483" s="23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7"/>
      <c r="J484" s="237"/>
      <c r="K484" s="193"/>
      <c r="L484" s="193"/>
      <c r="M484" s="23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7"/>
      <c r="J485" s="237"/>
      <c r="K485" s="193"/>
      <c r="L485" s="193"/>
      <c r="M485" s="23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7"/>
      <c r="J486" s="237"/>
      <c r="K486" s="193"/>
      <c r="L486" s="193"/>
      <c r="M486" s="23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7"/>
      <c r="J487" s="237"/>
      <c r="K487" s="193"/>
      <c r="L487" s="193"/>
      <c r="M487" s="23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7"/>
      <c r="J488" s="237"/>
      <c r="K488" s="193"/>
      <c r="L488" s="193"/>
      <c r="M488" s="23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7"/>
      <c r="J489" s="237"/>
      <c r="K489" s="193"/>
      <c r="L489" s="193"/>
      <c r="M489" s="23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7"/>
      <c r="J490" s="237"/>
      <c r="K490" s="193"/>
      <c r="L490" s="193"/>
      <c r="M490" s="23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7"/>
      <c r="J491" s="237"/>
      <c r="K491" s="193"/>
      <c r="L491" s="193"/>
      <c r="M491" s="23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7"/>
      <c r="J492" s="237"/>
      <c r="K492" s="193"/>
      <c r="L492" s="193"/>
      <c r="M492" s="23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7"/>
      <c r="J493" s="237"/>
      <c r="K493" s="193"/>
      <c r="L493" s="193"/>
      <c r="M493" s="23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7"/>
      <c r="J494" s="237"/>
      <c r="K494" s="193"/>
      <c r="L494" s="193"/>
      <c r="M494" s="23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7"/>
      <c r="J495" s="237"/>
      <c r="K495" s="193"/>
      <c r="L495" s="193"/>
      <c r="M495" s="23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7"/>
      <c r="J496" s="237"/>
      <c r="K496" s="193"/>
      <c r="L496" s="193"/>
      <c r="M496" s="23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7"/>
      <c r="J497" s="237"/>
      <c r="K497" s="193"/>
      <c r="L497" s="193"/>
      <c r="M497" s="23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7"/>
      <c r="J498" s="237"/>
      <c r="K498" s="193"/>
      <c r="L498" s="193"/>
      <c r="M498" s="23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7"/>
      <c r="J499" s="237"/>
      <c r="K499" s="193"/>
      <c r="L499" s="193"/>
      <c r="M499" s="23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7"/>
      <c r="J500" s="237"/>
      <c r="K500" s="193"/>
      <c r="L500" s="193"/>
      <c r="M500" s="23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7"/>
      <c r="J501" s="237"/>
      <c r="K501" s="193"/>
      <c r="L501" s="193"/>
      <c r="M501" s="23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7"/>
      <c r="J502" s="237"/>
      <c r="K502" s="193"/>
      <c r="L502" s="193"/>
      <c r="M502" s="23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7"/>
      <c r="J503" s="237"/>
      <c r="K503" s="193"/>
      <c r="L503" s="193"/>
      <c r="M503" s="23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7"/>
      <c r="J504" s="237"/>
      <c r="K504" s="193"/>
      <c r="L504" s="193"/>
      <c r="M504" s="23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7"/>
      <c r="J505" s="237"/>
      <c r="K505" s="193"/>
      <c r="L505" s="193"/>
      <c r="M505" s="23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7"/>
      <c r="J506" s="237"/>
      <c r="K506" s="193"/>
      <c r="L506" s="193"/>
      <c r="M506" s="23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7"/>
      <c r="J507" s="237"/>
      <c r="K507" s="193"/>
      <c r="L507" s="193"/>
      <c r="M507" s="23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7"/>
      <c r="J508" s="237"/>
      <c r="K508" s="193"/>
      <c r="L508" s="193"/>
      <c r="M508" s="23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7"/>
      <c r="J509" s="237"/>
      <c r="K509" s="193"/>
      <c r="L509" s="193"/>
      <c r="M509" s="23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7"/>
      <c r="J510" s="237"/>
      <c r="K510" s="193"/>
      <c r="L510" s="193"/>
      <c r="M510" s="23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7"/>
      <c r="J511" s="237"/>
      <c r="K511" s="193"/>
      <c r="L511" s="193"/>
      <c r="M511" s="23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7"/>
      <c r="J512" s="237"/>
      <c r="K512" s="193"/>
      <c r="L512" s="193"/>
      <c r="M512" s="23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7"/>
      <c r="J513" s="237"/>
      <c r="K513" s="193"/>
      <c r="L513" s="193"/>
      <c r="M513" s="23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7"/>
      <c r="J514" s="237"/>
      <c r="K514" s="193"/>
      <c r="L514" s="193"/>
      <c r="M514" s="23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7"/>
      <c r="J515" s="237"/>
      <c r="K515" s="193"/>
      <c r="L515" s="193"/>
      <c r="M515" s="23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7"/>
      <c r="J516" s="237"/>
      <c r="K516" s="193"/>
      <c r="L516" s="193"/>
      <c r="M516" s="23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7"/>
      <c r="J517" s="237"/>
      <c r="K517" s="193"/>
      <c r="L517" s="193"/>
      <c r="M517" s="23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7"/>
      <c r="J518" s="237"/>
      <c r="K518" s="193"/>
      <c r="L518" s="193"/>
      <c r="M518" s="23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7"/>
      <c r="J519" s="237"/>
      <c r="K519" s="193"/>
      <c r="L519" s="193"/>
      <c r="M519" s="23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7"/>
      <c r="J520" s="237"/>
      <c r="K520" s="193"/>
      <c r="L520" s="193"/>
      <c r="M520" s="23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7"/>
      <c r="J521" s="237"/>
      <c r="K521" s="193"/>
      <c r="L521" s="193"/>
      <c r="M521" s="23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7"/>
      <c r="J522" s="237"/>
      <c r="K522" s="193"/>
      <c r="L522" s="193"/>
      <c r="M522" s="23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7"/>
      <c r="J523" s="237"/>
      <c r="K523" s="193"/>
      <c r="L523" s="193"/>
      <c r="M523" s="23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7"/>
      <c r="J524" s="237"/>
      <c r="K524" s="193"/>
      <c r="L524" s="193"/>
      <c r="M524" s="23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7"/>
      <c r="J525" s="237"/>
      <c r="K525" s="193"/>
      <c r="L525" s="193"/>
      <c r="M525" s="23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7"/>
      <c r="J526" s="237"/>
      <c r="K526" s="193"/>
      <c r="L526" s="193"/>
      <c r="M526" s="23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7"/>
      <c r="J527" s="237"/>
      <c r="K527" s="193"/>
      <c r="L527" s="193"/>
      <c r="M527" s="23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7"/>
      <c r="J528" s="237"/>
      <c r="K528" s="193"/>
      <c r="L528" s="193"/>
      <c r="M528" s="23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7"/>
      <c r="J529" s="237"/>
      <c r="K529" s="193"/>
      <c r="L529" s="193"/>
      <c r="M529" s="23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7"/>
      <c r="J530" s="237"/>
      <c r="K530" s="193"/>
      <c r="L530" s="193"/>
      <c r="M530" s="23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7"/>
      <c r="J531" s="237"/>
      <c r="K531" s="193"/>
      <c r="L531" s="193"/>
      <c r="M531" s="23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7"/>
      <c r="J532" s="237"/>
      <c r="K532" s="193"/>
      <c r="L532" s="193"/>
      <c r="M532" s="23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7"/>
      <c r="J533" s="237"/>
      <c r="K533" s="193"/>
      <c r="L533" s="193"/>
      <c r="M533" s="23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7"/>
      <c r="J534" s="237"/>
      <c r="K534" s="193"/>
      <c r="L534" s="193"/>
      <c r="M534" s="23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7"/>
      <c r="J535" s="237"/>
      <c r="K535" s="193"/>
      <c r="L535" s="193"/>
      <c r="M535" s="23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7"/>
      <c r="J536" s="237"/>
      <c r="K536" s="193"/>
      <c r="L536" s="193"/>
      <c r="M536" s="23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7"/>
      <c r="J537" s="237"/>
      <c r="K537" s="193"/>
      <c r="L537" s="193"/>
      <c r="M537" s="23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7"/>
      <c r="J538" s="237"/>
      <c r="K538" s="193"/>
      <c r="L538" s="193"/>
      <c r="M538" s="23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7"/>
      <c r="J539" s="237"/>
      <c r="K539" s="193"/>
      <c r="L539" s="193"/>
      <c r="M539" s="23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7"/>
      <c r="J540" s="237"/>
      <c r="K540" s="193"/>
      <c r="L540" s="193"/>
      <c r="M540" s="23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7"/>
      <c r="J541" s="237"/>
      <c r="K541" s="193"/>
      <c r="L541" s="193"/>
      <c r="M541" s="23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7"/>
      <c r="J542" s="237"/>
      <c r="K542" s="193"/>
      <c r="L542" s="193"/>
      <c r="M542" s="23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7"/>
      <c r="J543" s="237"/>
      <c r="K543" s="193"/>
      <c r="L543" s="193"/>
      <c r="M543" s="23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7"/>
      <c r="J544" s="237"/>
      <c r="K544" s="193"/>
      <c r="L544" s="193"/>
      <c r="M544" s="23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7"/>
      <c r="J545" s="237"/>
      <c r="K545" s="193"/>
      <c r="L545" s="193"/>
      <c r="M545" s="23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7"/>
      <c r="J546" s="237"/>
      <c r="K546" s="193"/>
      <c r="L546" s="193"/>
      <c r="M546" s="23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7"/>
      <c r="J547" s="237"/>
      <c r="K547" s="193"/>
      <c r="L547" s="193"/>
      <c r="M547" s="23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7"/>
      <c r="J548" s="237"/>
      <c r="K548" s="193"/>
      <c r="L548" s="193"/>
      <c r="M548" s="23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7"/>
      <c r="J549" s="237"/>
      <c r="K549" s="193"/>
      <c r="L549" s="193"/>
      <c r="M549" s="23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7"/>
      <c r="J550" s="237"/>
      <c r="K550" s="193"/>
      <c r="L550" s="193"/>
      <c r="M550" s="23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7"/>
      <c r="J551" s="237"/>
      <c r="K551" s="193"/>
      <c r="L551" s="193"/>
      <c r="M551" s="23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7"/>
      <c r="J552" s="237"/>
      <c r="K552" s="193"/>
      <c r="L552" s="193"/>
      <c r="M552" s="23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7"/>
      <c r="J553" s="237"/>
      <c r="K553" s="193"/>
      <c r="L553" s="193"/>
      <c r="M553" s="23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7"/>
      <c r="J554" s="237"/>
      <c r="K554" s="193"/>
      <c r="L554" s="193"/>
      <c r="M554" s="23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7"/>
      <c r="J555" s="237"/>
      <c r="K555" s="193"/>
      <c r="L555" s="193"/>
      <c r="M555" s="23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7"/>
      <c r="J556" s="237"/>
      <c r="K556" s="193"/>
      <c r="L556" s="193"/>
      <c r="M556" s="23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7"/>
      <c r="J557" s="237"/>
      <c r="K557" s="193"/>
      <c r="L557" s="193"/>
      <c r="M557" s="23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7"/>
      <c r="J558" s="237"/>
      <c r="K558" s="193"/>
      <c r="L558" s="193"/>
      <c r="M558" s="23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7"/>
      <c r="J559" s="237"/>
      <c r="K559" s="193"/>
      <c r="L559" s="193"/>
      <c r="M559" s="23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7"/>
      <c r="J560" s="237"/>
      <c r="K560" s="193"/>
      <c r="L560" s="193"/>
      <c r="M560" s="23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7"/>
      <c r="J561" s="237"/>
      <c r="K561" s="193"/>
      <c r="L561" s="193"/>
      <c r="M561" s="23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7"/>
      <c r="J562" s="237"/>
      <c r="K562" s="193"/>
      <c r="L562" s="193"/>
      <c r="M562" s="23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7"/>
      <c r="J563" s="237"/>
      <c r="K563" s="193"/>
      <c r="L563" s="193"/>
      <c r="M563" s="23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7"/>
      <c r="J564" s="237"/>
      <c r="K564" s="193"/>
      <c r="L564" s="193"/>
      <c r="M564" s="23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7"/>
      <c r="J565" s="237"/>
      <c r="K565" s="193"/>
      <c r="L565" s="193"/>
      <c r="M565" s="23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7"/>
      <c r="J566" s="237"/>
      <c r="K566" s="193"/>
      <c r="L566" s="193"/>
      <c r="M566" s="23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7"/>
      <c r="J567" s="237"/>
      <c r="K567" s="193"/>
      <c r="L567" s="193"/>
      <c r="M567" s="23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7"/>
      <c r="J568" s="237"/>
      <c r="K568" s="193"/>
      <c r="L568" s="193"/>
      <c r="M568" s="23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7"/>
      <c r="J569" s="237"/>
      <c r="K569" s="193"/>
      <c r="L569" s="193"/>
      <c r="M569" s="23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7"/>
      <c r="J570" s="237"/>
      <c r="K570" s="193"/>
      <c r="L570" s="193"/>
      <c r="M570" s="23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7"/>
      <c r="J571" s="237"/>
      <c r="K571" s="193"/>
      <c r="L571" s="193"/>
      <c r="M571" s="23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7"/>
      <c r="J572" s="237"/>
      <c r="K572" s="193"/>
      <c r="L572" s="193"/>
      <c r="M572" s="23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7"/>
      <c r="J573" s="237"/>
      <c r="K573" s="193"/>
      <c r="L573" s="193"/>
      <c r="M573" s="23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7"/>
      <c r="J574" s="237"/>
      <c r="K574" s="193"/>
      <c r="L574" s="193"/>
      <c r="M574" s="23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7"/>
      <c r="J575" s="237"/>
      <c r="K575" s="193"/>
      <c r="L575" s="193"/>
      <c r="M575" s="23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7"/>
      <c r="J576" s="237"/>
      <c r="K576" s="193"/>
      <c r="L576" s="193"/>
      <c r="M576" s="23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7"/>
      <c r="J577" s="237"/>
      <c r="K577" s="193"/>
      <c r="L577" s="193"/>
      <c r="M577" s="23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7"/>
      <c r="J578" s="237"/>
      <c r="K578" s="193"/>
      <c r="L578" s="193"/>
      <c r="M578" s="23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7"/>
      <c r="J579" s="237"/>
      <c r="K579" s="193"/>
      <c r="L579" s="193"/>
      <c r="M579" s="23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7"/>
      <c r="J580" s="237"/>
      <c r="K580" s="193"/>
      <c r="L580" s="193"/>
      <c r="M580" s="23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7"/>
      <c r="J581" s="237"/>
      <c r="K581" s="193"/>
      <c r="L581" s="193"/>
      <c r="M581" s="23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7"/>
      <c r="J582" s="237"/>
      <c r="K582" s="193"/>
      <c r="L582" s="193"/>
      <c r="M582" s="23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7"/>
      <c r="J583" s="237"/>
      <c r="K583" s="193"/>
      <c r="L583" s="193"/>
      <c r="M583" s="23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7"/>
      <c r="J584" s="237"/>
      <c r="K584" s="193"/>
      <c r="L584" s="193"/>
      <c r="M584" s="23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7"/>
      <c r="J585" s="237"/>
      <c r="K585" s="193"/>
      <c r="L585" s="193"/>
      <c r="M585" s="23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7"/>
      <c r="J586" s="237"/>
      <c r="K586" s="193"/>
      <c r="L586" s="193"/>
      <c r="M586" s="23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7"/>
      <c r="J587" s="237"/>
      <c r="K587" s="193"/>
      <c r="L587" s="193"/>
      <c r="M587" s="23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7"/>
      <c r="J588" s="237"/>
      <c r="K588" s="193"/>
      <c r="L588" s="193"/>
      <c r="M588" s="23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7"/>
      <c r="J589" s="237"/>
      <c r="K589" s="193"/>
      <c r="L589" s="193"/>
      <c r="M589" s="23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7"/>
      <c r="J590" s="237"/>
      <c r="K590" s="193"/>
      <c r="L590" s="193"/>
      <c r="M590" s="23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7"/>
      <c r="J591" s="237"/>
      <c r="K591" s="193"/>
      <c r="L591" s="193"/>
      <c r="M591" s="23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7"/>
      <c r="J592" s="237"/>
      <c r="K592" s="193"/>
      <c r="L592" s="193"/>
      <c r="M592" s="23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7"/>
      <c r="J593" s="237"/>
      <c r="K593" s="193"/>
      <c r="L593" s="193"/>
      <c r="M593" s="23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7"/>
      <c r="J594" s="237"/>
      <c r="K594" s="193"/>
      <c r="L594" s="193"/>
      <c r="M594" s="23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7"/>
      <c r="J595" s="237"/>
      <c r="K595" s="193"/>
      <c r="L595" s="193"/>
      <c r="M595" s="23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7"/>
      <c r="J596" s="237"/>
      <c r="K596" s="193"/>
      <c r="L596" s="193"/>
      <c r="M596" s="23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7"/>
      <c r="J597" s="237"/>
      <c r="K597" s="193"/>
      <c r="L597" s="193"/>
      <c r="M597" s="23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7"/>
      <c r="J598" s="237"/>
      <c r="K598" s="193"/>
      <c r="L598" s="193"/>
      <c r="M598" s="23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7"/>
      <c r="J599" s="237"/>
      <c r="K599" s="193"/>
      <c r="L599" s="193"/>
      <c r="M599" s="23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7"/>
      <c r="J600" s="237"/>
      <c r="K600" s="193"/>
      <c r="L600" s="193"/>
      <c r="M600" s="23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7"/>
      <c r="J601" s="237"/>
      <c r="K601" s="193"/>
      <c r="L601" s="193"/>
      <c r="M601" s="23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7"/>
      <c r="J602" s="237"/>
      <c r="K602" s="193"/>
      <c r="L602" s="193"/>
      <c r="M602" s="23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7"/>
      <c r="J603" s="237"/>
      <c r="K603" s="193"/>
      <c r="L603" s="193"/>
      <c r="M603" s="23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7"/>
      <c r="J604" s="237"/>
      <c r="K604" s="193"/>
      <c r="L604" s="193"/>
      <c r="M604" s="23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7"/>
      <c r="J605" s="237"/>
      <c r="K605" s="193"/>
      <c r="L605" s="193"/>
      <c r="M605" s="23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7"/>
      <c r="J606" s="237"/>
      <c r="K606" s="193"/>
      <c r="L606" s="193"/>
      <c r="M606" s="23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7"/>
      <c r="J607" s="237"/>
      <c r="K607" s="193"/>
      <c r="L607" s="193"/>
      <c r="M607" s="23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7"/>
      <c r="J608" s="237"/>
      <c r="K608" s="193"/>
      <c r="L608" s="193"/>
      <c r="M608" s="23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7"/>
      <c r="J609" s="237"/>
      <c r="K609" s="193"/>
      <c r="L609" s="193"/>
      <c r="M609" s="23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7"/>
      <c r="J610" s="237"/>
      <c r="K610" s="193"/>
      <c r="L610" s="193"/>
      <c r="M610" s="23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7"/>
      <c r="J611" s="237"/>
      <c r="K611" s="193"/>
      <c r="L611" s="193"/>
      <c r="M611" s="23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7"/>
      <c r="J612" s="237"/>
      <c r="K612" s="193"/>
      <c r="L612" s="193"/>
      <c r="M612" s="23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7"/>
      <c r="J613" s="237"/>
      <c r="K613" s="193"/>
      <c r="L613" s="193"/>
      <c r="M613" s="23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7"/>
      <c r="J614" s="237"/>
      <c r="K614" s="193"/>
      <c r="L614" s="193"/>
      <c r="M614" s="23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7"/>
      <c r="J615" s="237"/>
      <c r="K615" s="193"/>
      <c r="L615" s="193"/>
      <c r="M615" s="23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7"/>
      <c r="J616" s="237"/>
      <c r="K616" s="193"/>
      <c r="L616" s="193"/>
      <c r="M616" s="23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7"/>
      <c r="J617" s="237"/>
      <c r="K617" s="193"/>
      <c r="L617" s="193"/>
      <c r="M617" s="23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7"/>
      <c r="J618" s="237"/>
      <c r="K618" s="193"/>
      <c r="L618" s="193"/>
      <c r="M618" s="23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7"/>
      <c r="J619" s="237"/>
      <c r="K619" s="193"/>
      <c r="L619" s="193"/>
      <c r="M619" s="23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7"/>
      <c r="J620" s="237"/>
      <c r="K620" s="193"/>
      <c r="L620" s="193"/>
      <c r="M620" s="23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7"/>
      <c r="J621" s="237"/>
      <c r="K621" s="193"/>
      <c r="L621" s="193"/>
      <c r="M621" s="23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7"/>
      <c r="J622" s="237"/>
      <c r="K622" s="193"/>
      <c r="L622" s="193"/>
      <c r="M622" s="23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7"/>
      <c r="J623" s="237"/>
      <c r="K623" s="193"/>
      <c r="L623" s="193"/>
      <c r="M623" s="23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7"/>
      <c r="J624" s="237"/>
      <c r="K624" s="193"/>
      <c r="L624" s="193"/>
      <c r="M624" s="23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7"/>
      <c r="J625" s="237"/>
      <c r="K625" s="193"/>
      <c r="L625" s="193"/>
      <c r="M625" s="23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7"/>
      <c r="J626" s="237"/>
      <c r="K626" s="193"/>
      <c r="L626" s="193"/>
      <c r="M626" s="23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7"/>
      <c r="J627" s="237"/>
      <c r="K627" s="193"/>
      <c r="L627" s="193"/>
      <c r="M627" s="23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7"/>
      <c r="J628" s="237"/>
      <c r="K628" s="193"/>
      <c r="L628" s="193"/>
      <c r="M628" s="23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7"/>
      <c r="J629" s="237"/>
      <c r="K629" s="193"/>
      <c r="L629" s="193"/>
      <c r="M629" s="23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7"/>
      <c r="J630" s="237"/>
      <c r="K630" s="193"/>
      <c r="L630" s="193"/>
      <c r="M630" s="23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7"/>
      <c r="J631" s="237"/>
      <c r="K631" s="193"/>
      <c r="L631" s="193"/>
      <c r="M631" s="23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7"/>
      <c r="J632" s="237"/>
      <c r="K632" s="193"/>
      <c r="L632" s="193"/>
      <c r="M632" s="23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7"/>
      <c r="J633" s="237"/>
      <c r="K633" s="193"/>
      <c r="L633" s="193"/>
      <c r="M633" s="23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7"/>
      <c r="J634" s="237"/>
      <c r="K634" s="193"/>
      <c r="L634" s="193"/>
      <c r="M634" s="23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7"/>
      <c r="J635" s="237"/>
      <c r="K635" s="193"/>
      <c r="L635" s="193"/>
      <c r="M635" s="23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7"/>
      <c r="J636" s="237"/>
      <c r="K636" s="193"/>
      <c r="L636" s="193"/>
      <c r="M636" s="23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7"/>
      <c r="J637" s="237"/>
      <c r="K637" s="193"/>
      <c r="L637" s="193"/>
      <c r="M637" s="23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7"/>
      <c r="J638" s="237"/>
      <c r="K638" s="193"/>
      <c r="L638" s="193"/>
      <c r="M638" s="23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7"/>
      <c r="J639" s="237"/>
      <c r="K639" s="193"/>
      <c r="L639" s="193"/>
      <c r="M639" s="23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7"/>
      <c r="J640" s="237"/>
      <c r="K640" s="193"/>
      <c r="L640" s="193"/>
      <c r="M640" s="23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7"/>
      <c r="J641" s="237"/>
      <c r="K641" s="193"/>
      <c r="L641" s="193"/>
      <c r="M641" s="23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7"/>
      <c r="J642" s="237"/>
      <c r="K642" s="193"/>
      <c r="L642" s="193"/>
      <c r="M642" s="23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7"/>
      <c r="J643" s="237"/>
      <c r="K643" s="193"/>
      <c r="L643" s="193"/>
      <c r="M643" s="23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7"/>
      <c r="J644" s="237"/>
      <c r="K644" s="193"/>
      <c r="L644" s="193"/>
      <c r="M644" s="23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7"/>
      <c r="J645" s="237"/>
      <c r="K645" s="193"/>
      <c r="L645" s="193"/>
      <c r="M645" s="23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7"/>
      <c r="J646" s="237"/>
      <c r="K646" s="193"/>
      <c r="L646" s="193"/>
      <c r="M646" s="23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7"/>
      <c r="J647" s="237"/>
      <c r="K647" s="193"/>
      <c r="L647" s="193"/>
      <c r="M647" s="23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7"/>
      <c r="J648" s="237"/>
      <c r="K648" s="193"/>
      <c r="L648" s="193"/>
      <c r="M648" s="23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7"/>
      <c r="J649" s="237"/>
      <c r="K649" s="193"/>
      <c r="L649" s="193"/>
      <c r="M649" s="23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7"/>
      <c r="J650" s="237"/>
      <c r="K650" s="193"/>
      <c r="L650" s="193"/>
      <c r="M650" s="23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7"/>
      <c r="J651" s="237"/>
      <c r="K651" s="193"/>
      <c r="L651" s="193"/>
      <c r="M651" s="23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7"/>
      <c r="J652" s="237"/>
      <c r="K652" s="193"/>
      <c r="L652" s="193"/>
      <c r="M652" s="23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7"/>
      <c r="J653" s="237"/>
      <c r="K653" s="193"/>
      <c r="L653" s="193"/>
      <c r="M653" s="23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7"/>
      <c r="J654" s="237"/>
      <c r="K654" s="193"/>
      <c r="L654" s="193"/>
      <c r="M654" s="23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7"/>
      <c r="J655" s="237"/>
      <c r="K655" s="193"/>
      <c r="L655" s="193"/>
      <c r="M655" s="23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7"/>
      <c r="J656" s="237"/>
      <c r="K656" s="193"/>
      <c r="L656" s="193"/>
      <c r="M656" s="23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7"/>
      <c r="J657" s="237"/>
      <c r="K657" s="193"/>
      <c r="L657" s="193"/>
      <c r="M657" s="23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7"/>
      <c r="J658" s="237"/>
      <c r="K658" s="193"/>
      <c r="L658" s="193"/>
      <c r="M658" s="23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7"/>
      <c r="J659" s="237"/>
      <c r="K659" s="193"/>
      <c r="L659" s="193"/>
      <c r="M659" s="23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7"/>
      <c r="J660" s="237"/>
      <c r="K660" s="193"/>
      <c r="L660" s="193"/>
      <c r="M660" s="23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7"/>
      <c r="J661" s="237"/>
      <c r="K661" s="193"/>
      <c r="L661" s="193"/>
      <c r="M661" s="23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7"/>
      <c r="J662" s="237"/>
      <c r="K662" s="193"/>
      <c r="L662" s="193"/>
      <c r="M662" s="23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7"/>
      <c r="J663" s="237"/>
      <c r="K663" s="193"/>
      <c r="L663" s="193"/>
      <c r="M663" s="23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7"/>
      <c r="J664" s="237"/>
      <c r="K664" s="193"/>
      <c r="L664" s="193"/>
      <c r="M664" s="23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7"/>
      <c r="J665" s="237"/>
      <c r="K665" s="193"/>
      <c r="L665" s="193"/>
      <c r="M665" s="23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7"/>
      <c r="J666" s="237"/>
      <c r="K666" s="193"/>
      <c r="L666" s="193"/>
      <c r="M666" s="23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7"/>
      <c r="J667" s="237"/>
      <c r="K667" s="193"/>
      <c r="L667" s="193"/>
      <c r="M667" s="23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7"/>
      <c r="J668" s="237"/>
      <c r="K668" s="193"/>
      <c r="L668" s="193"/>
      <c r="M668" s="23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7"/>
      <c r="J669" s="237"/>
      <c r="K669" s="193"/>
      <c r="L669" s="193"/>
      <c r="M669" s="23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7"/>
      <c r="J670" s="237"/>
      <c r="K670" s="193"/>
      <c r="L670" s="193"/>
      <c r="M670" s="23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7"/>
      <c r="J671" s="237"/>
      <c r="K671" s="193"/>
      <c r="L671" s="193"/>
      <c r="M671" s="23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7"/>
      <c r="J672" s="237"/>
      <c r="K672" s="193"/>
      <c r="L672" s="193"/>
      <c r="M672" s="23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7"/>
      <c r="J673" s="237"/>
      <c r="K673" s="193"/>
      <c r="L673" s="193"/>
      <c r="M673" s="23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7"/>
      <c r="J674" s="237"/>
      <c r="K674" s="193"/>
      <c r="L674" s="193"/>
      <c r="M674" s="23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7"/>
      <c r="J675" s="237"/>
      <c r="K675" s="193"/>
      <c r="L675" s="193"/>
      <c r="M675" s="23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7"/>
      <c r="J676" s="237"/>
      <c r="K676" s="193"/>
      <c r="L676" s="193"/>
      <c r="M676" s="23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7"/>
      <c r="J677" s="237"/>
      <c r="K677" s="193"/>
      <c r="L677" s="193"/>
      <c r="M677" s="23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7"/>
      <c r="J678" s="237"/>
      <c r="K678" s="193"/>
      <c r="L678" s="193"/>
      <c r="M678" s="23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7"/>
      <c r="J679" s="237"/>
      <c r="K679" s="193"/>
      <c r="L679" s="193"/>
      <c r="M679" s="23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7"/>
      <c r="J680" s="237"/>
      <c r="K680" s="193"/>
      <c r="L680" s="193"/>
      <c r="M680" s="23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7"/>
      <c r="J681" s="237"/>
      <c r="K681" s="193"/>
      <c r="L681" s="193"/>
      <c r="M681" s="23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7"/>
      <c r="J682" s="237"/>
      <c r="K682" s="193"/>
      <c r="L682" s="193"/>
      <c r="M682" s="23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7"/>
      <c r="J683" s="237"/>
      <c r="K683" s="193"/>
      <c r="L683" s="193"/>
      <c r="M683" s="23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7"/>
      <c r="J684" s="237"/>
      <c r="K684" s="193"/>
      <c r="L684" s="193"/>
      <c r="M684" s="23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7"/>
      <c r="J685" s="237"/>
      <c r="K685" s="193"/>
      <c r="L685" s="193"/>
      <c r="M685" s="23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7"/>
      <c r="J686" s="237"/>
      <c r="K686" s="193"/>
      <c r="L686" s="193"/>
      <c r="M686" s="23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7"/>
      <c r="J687" s="237"/>
      <c r="K687" s="193"/>
      <c r="L687" s="193"/>
      <c r="M687" s="23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7"/>
      <c r="J688" s="237"/>
      <c r="K688" s="193"/>
      <c r="L688" s="193"/>
      <c r="M688" s="23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7"/>
      <c r="J689" s="237"/>
      <c r="K689" s="193"/>
      <c r="L689" s="193"/>
      <c r="M689" s="23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7"/>
      <c r="J690" s="237"/>
      <c r="K690" s="193"/>
      <c r="L690" s="193"/>
      <c r="M690" s="23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7"/>
      <c r="J691" s="237"/>
      <c r="K691" s="193"/>
      <c r="L691" s="193"/>
      <c r="M691" s="23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7"/>
      <c r="J692" s="237"/>
      <c r="K692" s="193"/>
      <c r="L692" s="193"/>
      <c r="M692" s="23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7"/>
      <c r="J693" s="237"/>
      <c r="K693" s="193"/>
      <c r="L693" s="193"/>
      <c r="M693" s="23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7"/>
      <c r="J694" s="237"/>
      <c r="K694" s="193"/>
      <c r="L694" s="193"/>
      <c r="M694" s="23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7"/>
      <c r="J695" s="237"/>
      <c r="K695" s="193"/>
      <c r="L695" s="193"/>
      <c r="M695" s="23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7"/>
      <c r="J696" s="237"/>
      <c r="K696" s="193"/>
      <c r="L696" s="193"/>
      <c r="M696" s="23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7"/>
      <c r="J697" s="237"/>
      <c r="K697" s="193"/>
      <c r="L697" s="193"/>
      <c r="M697" s="23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7"/>
      <c r="J698" s="237"/>
      <c r="K698" s="193"/>
      <c r="L698" s="193"/>
      <c r="M698" s="23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7"/>
      <c r="J699" s="237"/>
      <c r="K699" s="193"/>
      <c r="L699" s="193"/>
      <c r="M699" s="23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7"/>
      <c r="J700" s="237"/>
      <c r="K700" s="193"/>
      <c r="L700" s="193"/>
      <c r="M700" s="23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7"/>
      <c r="J701" s="237"/>
      <c r="K701" s="193"/>
      <c r="L701" s="193"/>
      <c r="M701" s="23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7"/>
      <c r="J702" s="237"/>
      <c r="K702" s="193"/>
      <c r="L702" s="193"/>
      <c r="M702" s="23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7"/>
      <c r="J703" s="237"/>
      <c r="K703" s="193"/>
      <c r="L703" s="193"/>
      <c r="M703" s="23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7"/>
      <c r="J704" s="237"/>
      <c r="K704" s="193"/>
      <c r="L704" s="193"/>
      <c r="M704" s="23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7"/>
      <c r="J705" s="237"/>
      <c r="K705" s="193"/>
      <c r="L705" s="193"/>
      <c r="M705" s="23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7"/>
      <c r="J706" s="237"/>
      <c r="K706" s="193"/>
      <c r="L706" s="193"/>
      <c r="M706" s="23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7"/>
      <c r="J707" s="237"/>
      <c r="K707" s="193"/>
      <c r="L707" s="193"/>
      <c r="M707" s="23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7"/>
      <c r="J708" s="237"/>
      <c r="K708" s="193"/>
      <c r="L708" s="193"/>
      <c r="M708" s="23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7"/>
      <c r="J709" s="237"/>
      <c r="K709" s="193"/>
      <c r="L709" s="193"/>
      <c r="M709" s="23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7"/>
      <c r="J710" s="237"/>
      <c r="K710" s="193"/>
      <c r="L710" s="193"/>
      <c r="M710" s="23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7"/>
      <c r="J711" s="237"/>
      <c r="K711" s="193"/>
      <c r="L711" s="193"/>
      <c r="M711" s="23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7"/>
      <c r="J712" s="237"/>
      <c r="K712" s="193"/>
      <c r="L712" s="193"/>
      <c r="M712" s="23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7"/>
      <c r="J713" s="237"/>
      <c r="K713" s="193"/>
      <c r="L713" s="193"/>
      <c r="M713" s="23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7"/>
      <c r="J714" s="237"/>
      <c r="K714" s="193"/>
      <c r="L714" s="193"/>
      <c r="M714" s="23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7"/>
      <c r="J715" s="237"/>
      <c r="K715" s="193"/>
      <c r="L715" s="193"/>
      <c r="M715" s="23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7"/>
      <c r="J716" s="237"/>
      <c r="K716" s="193"/>
      <c r="L716" s="193"/>
      <c r="M716" s="23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7"/>
      <c r="J717" s="237"/>
      <c r="K717" s="193"/>
      <c r="L717" s="193"/>
      <c r="M717" s="23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7"/>
      <c r="J718" s="237"/>
      <c r="K718" s="193"/>
      <c r="L718" s="193"/>
      <c r="M718" s="23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7"/>
      <c r="J719" s="237"/>
      <c r="K719" s="193"/>
      <c r="L719" s="193"/>
      <c r="M719" s="23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7"/>
      <c r="J720" s="237"/>
      <c r="K720" s="193"/>
      <c r="L720" s="193"/>
      <c r="M720" s="23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7"/>
      <c r="J721" s="237"/>
      <c r="K721" s="193"/>
      <c r="L721" s="193"/>
      <c r="M721" s="23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7"/>
      <c r="J722" s="237"/>
      <c r="K722" s="193"/>
      <c r="L722" s="193"/>
      <c r="M722" s="23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7"/>
      <c r="J723" s="237"/>
      <c r="K723" s="193"/>
      <c r="L723" s="193"/>
      <c r="M723" s="23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7"/>
      <c r="J724" s="237"/>
      <c r="K724" s="193"/>
      <c r="L724" s="193"/>
      <c r="M724" s="23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7"/>
      <c r="J725" s="237"/>
      <c r="K725" s="193"/>
      <c r="L725" s="193"/>
      <c r="M725" s="23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7"/>
      <c r="J726" s="237"/>
      <c r="K726" s="193"/>
      <c r="L726" s="193"/>
      <c r="M726" s="23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7"/>
      <c r="J727" s="237"/>
      <c r="K727" s="193"/>
      <c r="L727" s="193"/>
      <c r="M727" s="23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7"/>
      <c r="J728" s="237"/>
      <c r="K728" s="193"/>
      <c r="L728" s="193"/>
      <c r="M728" s="23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7"/>
      <c r="J729" s="237"/>
      <c r="K729" s="193"/>
      <c r="L729" s="193"/>
      <c r="M729" s="23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7"/>
      <c r="J730" s="237"/>
      <c r="K730" s="193"/>
      <c r="L730" s="193"/>
      <c r="M730" s="23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7"/>
      <c r="J731" s="237"/>
      <c r="K731" s="193"/>
      <c r="L731" s="193"/>
      <c r="M731" s="23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7"/>
      <c r="J732" s="237"/>
      <c r="K732" s="193"/>
      <c r="L732" s="193"/>
      <c r="M732" s="23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7"/>
      <c r="J733" s="237"/>
      <c r="K733" s="193"/>
      <c r="L733" s="193"/>
      <c r="M733" s="23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7"/>
      <c r="J734" s="237"/>
      <c r="K734" s="193"/>
      <c r="L734" s="193"/>
      <c r="M734" s="23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7"/>
      <c r="J735" s="237"/>
      <c r="K735" s="193"/>
      <c r="L735" s="193"/>
      <c r="M735" s="23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7"/>
      <c r="J736" s="237"/>
      <c r="K736" s="193"/>
      <c r="L736" s="193"/>
      <c r="M736" s="23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7"/>
      <c r="J737" s="237"/>
      <c r="K737" s="193"/>
      <c r="L737" s="193"/>
      <c r="M737" s="23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7"/>
      <c r="J738" s="237"/>
      <c r="K738" s="193"/>
      <c r="L738" s="193"/>
      <c r="M738" s="23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7"/>
      <c r="J739" s="237"/>
      <c r="K739" s="193"/>
      <c r="L739" s="193"/>
      <c r="M739" s="23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7"/>
      <c r="J740" s="237"/>
      <c r="K740" s="193"/>
      <c r="L740" s="193"/>
      <c r="M740" s="23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7"/>
      <c r="J741" s="237"/>
      <c r="K741" s="193"/>
      <c r="L741" s="193"/>
      <c r="M741" s="23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7"/>
      <c r="J742" s="237"/>
      <c r="K742" s="193"/>
      <c r="L742" s="193"/>
      <c r="M742" s="23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7"/>
      <c r="J743" s="237"/>
      <c r="K743" s="193"/>
      <c r="L743" s="193"/>
      <c r="M743" s="23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7"/>
      <c r="J744" s="237"/>
      <c r="K744" s="193"/>
      <c r="L744" s="193"/>
      <c r="M744" s="23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7"/>
      <c r="J745" s="237"/>
      <c r="K745" s="193"/>
      <c r="L745" s="193"/>
      <c r="M745" s="23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7"/>
      <c r="J746" s="237"/>
      <c r="K746" s="193"/>
      <c r="L746" s="193"/>
      <c r="M746" s="23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7"/>
      <c r="J747" s="237"/>
      <c r="K747" s="193"/>
      <c r="L747" s="193"/>
      <c r="M747" s="23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7"/>
      <c r="J748" s="237"/>
      <c r="K748" s="193"/>
      <c r="L748" s="193"/>
      <c r="M748" s="23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7"/>
      <c r="J749" s="237"/>
      <c r="K749" s="193"/>
      <c r="L749" s="193"/>
      <c r="M749" s="23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7"/>
      <c r="J750" s="237"/>
      <c r="K750" s="193"/>
      <c r="L750" s="193"/>
      <c r="M750" s="23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7"/>
      <c r="J751" s="237"/>
      <c r="K751" s="193"/>
      <c r="L751" s="193"/>
      <c r="M751" s="23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7"/>
      <c r="J752" s="237"/>
      <c r="K752" s="193"/>
      <c r="L752" s="193"/>
      <c r="M752" s="23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7"/>
      <c r="J753" s="237"/>
      <c r="K753" s="193"/>
      <c r="L753" s="193"/>
      <c r="M753" s="23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7"/>
      <c r="J754" s="237"/>
      <c r="K754" s="193"/>
      <c r="L754" s="193"/>
      <c r="M754" s="23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7"/>
      <c r="J755" s="237"/>
      <c r="K755" s="193"/>
      <c r="L755" s="193"/>
      <c r="M755" s="23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7"/>
      <c r="J756" s="237"/>
      <c r="K756" s="193"/>
      <c r="L756" s="193"/>
      <c r="M756" s="23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7"/>
      <c r="J757" s="237"/>
      <c r="K757" s="193"/>
      <c r="L757" s="193"/>
      <c r="M757" s="23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7"/>
      <c r="J758" s="237"/>
      <c r="K758" s="193"/>
      <c r="L758" s="193"/>
      <c r="M758" s="23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7"/>
      <c r="J759" s="237"/>
      <c r="K759" s="193"/>
      <c r="L759" s="193"/>
      <c r="M759" s="23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7"/>
      <c r="J760" s="237"/>
      <c r="K760" s="193"/>
      <c r="L760" s="193"/>
      <c r="M760" s="23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7"/>
      <c r="J761" s="237"/>
      <c r="K761" s="193"/>
      <c r="L761" s="193"/>
      <c r="M761" s="23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7"/>
      <c r="J762" s="237"/>
      <c r="K762" s="193"/>
      <c r="L762" s="193"/>
      <c r="M762" s="23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7"/>
      <c r="J763" s="237"/>
      <c r="K763" s="193"/>
      <c r="L763" s="193"/>
      <c r="M763" s="23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7"/>
      <c r="J764" s="237"/>
      <c r="K764" s="193"/>
      <c r="L764" s="193"/>
      <c r="M764" s="23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7"/>
      <c r="J765" s="237"/>
      <c r="K765" s="193"/>
      <c r="L765" s="193"/>
      <c r="M765" s="23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8"/>
      <c r="J766" s="238"/>
      <c r="K766" s="234"/>
      <c r="L766" s="234"/>
      <c r="M766" s="235"/>
    </row>
    <row r="767" spans="1:13" x14ac:dyDescent="0.3">
      <c r="A767" s="220"/>
      <c r="B767" s="176"/>
      <c r="C767" s="176"/>
      <c r="D767" s="176"/>
      <c r="E767" s="176"/>
      <c r="F767" s="176"/>
      <c r="I767" s="239"/>
      <c r="J767" s="239"/>
      <c r="K767" s="236"/>
      <c r="L767" s="236"/>
      <c r="M767" s="236"/>
    </row>
    <row r="768" spans="1:13" x14ac:dyDescent="0.3">
      <c r="A768" s="220"/>
      <c r="B768" s="176"/>
      <c r="C768" s="176"/>
      <c r="D768" s="176"/>
      <c r="E768" s="176"/>
      <c r="F768" s="176"/>
      <c r="I768" s="239"/>
      <c r="J768" s="239"/>
      <c r="K768" s="236"/>
      <c r="L768" s="236"/>
      <c r="M768" s="236"/>
    </row>
    <row r="769" spans="1:13" x14ac:dyDescent="0.3">
      <c r="A769" s="220"/>
      <c r="B769" s="176"/>
      <c r="C769" s="176"/>
      <c r="D769" s="176"/>
      <c r="E769" s="176"/>
      <c r="F769" s="176"/>
      <c r="I769" s="239"/>
      <c r="J769" s="239"/>
      <c r="K769" s="236"/>
      <c r="L769" s="236"/>
      <c r="M769" s="236"/>
    </row>
    <row r="770" spans="1:13" x14ac:dyDescent="0.3">
      <c r="A770" s="220"/>
      <c r="B770" s="176"/>
      <c r="C770" s="176"/>
      <c r="D770" s="176"/>
      <c r="E770" s="176"/>
      <c r="F770" s="176"/>
      <c r="I770" s="239"/>
      <c r="J770" s="239"/>
      <c r="K770" s="236"/>
      <c r="L770" s="236"/>
      <c r="M770" s="236"/>
    </row>
    <row r="771" spans="1:13" x14ac:dyDescent="0.3">
      <c r="A771" s="220"/>
      <c r="B771" s="176"/>
      <c r="C771" s="176"/>
      <c r="D771" s="176"/>
      <c r="E771" s="176"/>
      <c r="F771" s="176"/>
      <c r="I771" s="239"/>
      <c r="J771" s="239"/>
      <c r="K771" s="236"/>
      <c r="L771" s="236"/>
      <c r="M771" s="236"/>
    </row>
    <row r="772" spans="1:13" x14ac:dyDescent="0.3">
      <c r="A772" s="220"/>
      <c r="B772" s="176"/>
      <c r="C772" s="176"/>
      <c r="D772" s="176"/>
      <c r="E772" s="176"/>
      <c r="F772" s="176"/>
      <c r="I772" s="239"/>
      <c r="J772" s="239"/>
      <c r="K772" s="236"/>
      <c r="L772" s="236"/>
      <c r="M772" s="236"/>
    </row>
    <row r="773" spans="1:13" x14ac:dyDescent="0.3">
      <c r="A773" s="220"/>
      <c r="B773" s="176"/>
      <c r="C773" s="176"/>
      <c r="D773" s="176"/>
      <c r="E773" s="176"/>
      <c r="F773" s="176"/>
      <c r="I773" s="239"/>
      <c r="J773" s="239"/>
      <c r="K773" s="236"/>
      <c r="L773" s="236"/>
      <c r="M773" s="236"/>
    </row>
    <row r="774" spans="1:13" x14ac:dyDescent="0.3">
      <c r="A774" s="220"/>
      <c r="B774" s="176"/>
      <c r="C774" s="176"/>
      <c r="D774" s="176"/>
      <c r="E774" s="176"/>
      <c r="F774" s="176"/>
      <c r="I774" s="239"/>
      <c r="J774" s="239"/>
      <c r="K774" s="236"/>
      <c r="L774" s="236"/>
      <c r="M774" s="236"/>
    </row>
    <row r="775" spans="1:13" x14ac:dyDescent="0.3">
      <c r="A775" s="220"/>
      <c r="B775" s="176"/>
      <c r="C775" s="176"/>
      <c r="D775" s="176"/>
      <c r="E775" s="176"/>
      <c r="F775" s="176"/>
      <c r="I775" s="239"/>
      <c r="J775" s="239"/>
      <c r="K775" s="236"/>
      <c r="L775" s="236"/>
      <c r="M775" s="236"/>
    </row>
    <row r="776" spans="1:13" x14ac:dyDescent="0.3">
      <c r="A776" s="220"/>
      <c r="B776" s="176"/>
      <c r="C776" s="176"/>
      <c r="D776" s="176"/>
      <c r="E776" s="176"/>
      <c r="F776" s="176"/>
      <c r="I776" s="239"/>
      <c r="J776" s="239"/>
      <c r="K776" s="236"/>
      <c r="L776" s="236"/>
      <c r="M776" s="236"/>
    </row>
    <row r="777" spans="1:13" x14ac:dyDescent="0.3">
      <c r="A777" s="220"/>
      <c r="B777" s="176"/>
      <c r="C777" s="176"/>
      <c r="D777" s="176"/>
      <c r="E777" s="176"/>
      <c r="F777" s="176"/>
      <c r="I777" s="239"/>
      <c r="J777" s="239"/>
      <c r="K777" s="236"/>
      <c r="L777" s="236"/>
      <c r="M777" s="236"/>
    </row>
    <row r="778" spans="1:13" x14ac:dyDescent="0.3">
      <c r="A778" s="220"/>
      <c r="B778" s="176"/>
      <c r="C778" s="176"/>
      <c r="D778" s="176"/>
      <c r="E778" s="176"/>
      <c r="F778" s="176"/>
      <c r="I778" s="239"/>
      <c r="J778" s="239"/>
      <c r="K778" s="236"/>
      <c r="L778" s="236"/>
      <c r="M778" s="236"/>
    </row>
    <row r="779" spans="1:13" x14ac:dyDescent="0.3">
      <c r="A779" s="220"/>
      <c r="B779" s="176"/>
      <c r="C779" s="176"/>
      <c r="D779" s="176"/>
      <c r="E779" s="176"/>
      <c r="F779" s="176"/>
      <c r="I779" s="239"/>
      <c r="J779" s="239"/>
      <c r="K779" s="236"/>
      <c r="L779" s="236"/>
      <c r="M779" s="236"/>
    </row>
    <row r="780" spans="1:13" x14ac:dyDescent="0.3">
      <c r="A780" s="220"/>
      <c r="B780" s="176"/>
      <c r="C780" s="176"/>
      <c r="D780" s="176"/>
      <c r="E780" s="176"/>
      <c r="F780" s="176"/>
      <c r="I780" s="239"/>
      <c r="J780" s="239"/>
      <c r="K780" s="236"/>
      <c r="L780" s="236"/>
      <c r="M780" s="236"/>
    </row>
    <row r="781" spans="1:13" x14ac:dyDescent="0.3">
      <c r="A781" s="220"/>
      <c r="B781" s="176"/>
      <c r="C781" s="176"/>
      <c r="D781" s="176"/>
      <c r="E781" s="176"/>
      <c r="F781" s="176"/>
      <c r="I781" s="239"/>
      <c r="J781" s="239"/>
      <c r="K781" s="236"/>
      <c r="L781" s="236"/>
      <c r="M781" s="236"/>
    </row>
    <row r="782" spans="1:13" x14ac:dyDescent="0.3">
      <c r="A782" s="220"/>
      <c r="B782" s="176"/>
      <c r="C782" s="176"/>
      <c r="D782" s="176"/>
      <c r="E782" s="176"/>
      <c r="F782" s="176"/>
      <c r="I782" s="239"/>
      <c r="J782" s="239"/>
      <c r="K782" s="236"/>
      <c r="L782" s="236"/>
      <c r="M782" s="236"/>
    </row>
    <row r="783" spans="1:13" x14ac:dyDescent="0.3">
      <c r="A783" s="220"/>
      <c r="B783" s="176"/>
      <c r="C783" s="176"/>
      <c r="D783" s="176"/>
      <c r="E783" s="176"/>
      <c r="F783" s="176"/>
      <c r="I783" s="239"/>
      <c r="J783" s="239"/>
      <c r="K783" s="236"/>
      <c r="L783" s="236"/>
      <c r="M783" s="236"/>
    </row>
    <row r="784" spans="1:13" x14ac:dyDescent="0.3">
      <c r="A784" s="220"/>
      <c r="B784" s="176"/>
      <c r="C784" s="176"/>
      <c r="D784" s="176"/>
      <c r="E784" s="176"/>
      <c r="F784" s="176"/>
      <c r="I784" s="239"/>
      <c r="J784" s="239"/>
      <c r="K784" s="236"/>
      <c r="L784" s="236"/>
      <c r="M784" s="236"/>
    </row>
    <row r="785" spans="1:13" x14ac:dyDescent="0.3">
      <c r="A785" s="220"/>
      <c r="B785" s="176"/>
      <c r="C785" s="176"/>
      <c r="D785" s="176"/>
      <c r="E785" s="176"/>
      <c r="F785" s="176"/>
      <c r="I785" s="239"/>
      <c r="J785" s="239"/>
      <c r="K785" s="236"/>
      <c r="L785" s="236"/>
      <c r="M785" s="236"/>
    </row>
    <row r="786" spans="1:13" x14ac:dyDescent="0.3">
      <c r="A786" s="220"/>
      <c r="B786" s="176"/>
      <c r="C786" s="176"/>
      <c r="D786" s="176"/>
      <c r="E786" s="176"/>
      <c r="F786" s="176"/>
      <c r="I786" s="239"/>
      <c r="J786" s="239"/>
      <c r="K786" s="236"/>
      <c r="L786" s="236"/>
      <c r="M786" s="236"/>
    </row>
    <row r="787" spans="1:13" x14ac:dyDescent="0.3">
      <c r="A787" s="220"/>
      <c r="B787" s="176"/>
      <c r="C787" s="176"/>
      <c r="D787" s="176"/>
      <c r="E787" s="176"/>
      <c r="F787" s="176"/>
      <c r="I787" s="239"/>
      <c r="J787" s="239"/>
      <c r="K787" s="236"/>
      <c r="L787" s="236"/>
      <c r="M787" s="236"/>
    </row>
    <row r="788" spans="1:13" x14ac:dyDescent="0.3">
      <c r="A788" s="220"/>
      <c r="B788" s="176"/>
      <c r="C788" s="176"/>
      <c r="D788" s="176"/>
      <c r="E788" s="176"/>
      <c r="F788" s="176"/>
      <c r="I788" s="239"/>
      <c r="J788" s="239"/>
      <c r="K788" s="236"/>
      <c r="L788" s="236"/>
      <c r="M788" s="236"/>
    </row>
    <row r="789" spans="1:13" x14ac:dyDescent="0.3">
      <c r="A789" s="220"/>
      <c r="B789" s="176"/>
      <c r="C789" s="176"/>
      <c r="D789" s="176"/>
      <c r="E789" s="176"/>
      <c r="F789" s="176"/>
      <c r="I789" s="239"/>
      <c r="J789" s="239"/>
      <c r="K789" s="236"/>
      <c r="L789" s="236"/>
      <c r="M789" s="236"/>
    </row>
    <row r="790" spans="1:13" x14ac:dyDescent="0.3">
      <c r="A790" s="220"/>
      <c r="B790" s="176"/>
      <c r="C790" s="176"/>
      <c r="D790" s="176"/>
      <c r="E790" s="176"/>
      <c r="F790" s="176"/>
      <c r="I790" s="239"/>
      <c r="J790" s="239"/>
      <c r="K790" s="236"/>
      <c r="L790" s="236"/>
      <c r="M790" s="236"/>
    </row>
    <row r="791" spans="1:13" x14ac:dyDescent="0.3">
      <c r="A791" s="220"/>
      <c r="B791" s="176"/>
      <c r="C791" s="176"/>
      <c r="D791" s="176"/>
      <c r="E791" s="176"/>
      <c r="F791" s="176"/>
      <c r="I791" s="239"/>
      <c r="J791" s="239"/>
      <c r="K791" s="236"/>
      <c r="L791" s="236"/>
      <c r="M791" s="236"/>
    </row>
    <row r="792" spans="1:13" x14ac:dyDescent="0.3">
      <c r="A792" s="220"/>
      <c r="B792" s="176"/>
      <c r="C792" s="176"/>
      <c r="D792" s="176"/>
      <c r="E792" s="176"/>
      <c r="F792" s="176"/>
      <c r="I792" s="239"/>
      <c r="J792" s="239"/>
      <c r="K792" s="236"/>
      <c r="L792" s="236"/>
      <c r="M792" s="236"/>
    </row>
    <row r="793" spans="1:13" x14ac:dyDescent="0.3">
      <c r="A793" s="220"/>
      <c r="B793" s="176"/>
      <c r="C793" s="176"/>
      <c r="D793" s="176"/>
      <c r="E793" s="176"/>
      <c r="F793" s="176"/>
      <c r="I793" s="239"/>
      <c r="J793" s="239"/>
      <c r="K793" s="236"/>
      <c r="L793" s="236"/>
      <c r="M793" s="236"/>
    </row>
    <row r="794" spans="1:13" x14ac:dyDescent="0.3">
      <c r="A794" s="220"/>
      <c r="B794" s="176"/>
      <c r="C794" s="176"/>
      <c r="D794" s="176"/>
      <c r="E794" s="176"/>
      <c r="F794" s="176"/>
      <c r="I794" s="239"/>
      <c r="J794" s="239"/>
      <c r="K794" s="236"/>
      <c r="L794" s="236"/>
      <c r="M794" s="236"/>
    </row>
    <row r="795" spans="1:13" x14ac:dyDescent="0.3">
      <c r="A795" s="220"/>
      <c r="B795" s="176"/>
      <c r="C795" s="176"/>
      <c r="D795" s="176"/>
      <c r="E795" s="176"/>
      <c r="F795" s="176"/>
      <c r="I795" s="239"/>
      <c r="J795" s="239"/>
      <c r="K795" s="236"/>
      <c r="L795" s="236"/>
      <c r="M795" s="236"/>
    </row>
    <row r="796" spans="1:13" x14ac:dyDescent="0.3">
      <c r="A796" s="220"/>
      <c r="B796" s="55"/>
      <c r="C796" s="55"/>
      <c r="D796" s="55"/>
      <c r="E796" s="176"/>
      <c r="F796" s="55"/>
      <c r="I796" s="239"/>
      <c r="J796" s="239"/>
      <c r="K796" s="236"/>
      <c r="L796" s="236"/>
      <c r="M796" s="236"/>
    </row>
    <row r="797" spans="1:13" x14ac:dyDescent="0.3">
      <c r="A797" s="220"/>
      <c r="B797" s="55"/>
      <c r="C797" s="55"/>
      <c r="D797" s="55"/>
      <c r="E797" s="176"/>
      <c r="F797" s="55"/>
      <c r="I797" s="239"/>
      <c r="J797" s="239"/>
      <c r="K797" s="236"/>
      <c r="L797" s="236"/>
      <c r="M797" s="236"/>
    </row>
    <row r="798" spans="1:13" x14ac:dyDescent="0.3">
      <c r="A798" s="220"/>
      <c r="B798" s="55"/>
      <c r="C798" s="55"/>
      <c r="D798" s="55"/>
      <c r="E798" s="176"/>
      <c r="F798" s="55"/>
      <c r="I798" s="239"/>
      <c r="J798" s="239"/>
      <c r="K798" s="236"/>
      <c r="L798" s="236"/>
      <c r="M798" s="236"/>
    </row>
    <row r="799" spans="1:13" x14ac:dyDescent="0.3">
      <c r="A799" s="220"/>
      <c r="B799" s="55"/>
      <c r="C799" s="55"/>
      <c r="D799" s="55"/>
      <c r="E799" s="176"/>
      <c r="F799" s="55"/>
      <c r="I799" s="239"/>
      <c r="J799" s="239"/>
      <c r="K799" s="236"/>
      <c r="L799" s="236"/>
      <c r="M799" s="236"/>
    </row>
    <row r="800" spans="1:13" x14ac:dyDescent="0.3">
      <c r="A800" s="220"/>
      <c r="B800" s="55"/>
      <c r="C800" s="55"/>
      <c r="D800" s="55"/>
      <c r="E800" s="176"/>
      <c r="F800" s="55"/>
      <c r="I800" s="239"/>
      <c r="J800" s="239"/>
      <c r="K800" s="236"/>
      <c r="L800" s="236"/>
      <c r="M800" s="236"/>
    </row>
    <row r="801" spans="1:13" x14ac:dyDescent="0.3">
      <c r="A801" s="220"/>
      <c r="B801" s="55"/>
      <c r="C801" s="55"/>
      <c r="D801" s="55"/>
      <c r="E801" s="176"/>
      <c r="F801" s="55"/>
      <c r="I801" s="239"/>
      <c r="J801" s="239"/>
      <c r="K801" s="236"/>
      <c r="L801" s="236"/>
      <c r="M801" s="236"/>
    </row>
    <row r="802" spans="1:13" x14ac:dyDescent="0.3">
      <c r="A802" s="220"/>
      <c r="B802" s="55"/>
      <c r="C802" s="55"/>
      <c r="D802" s="55"/>
      <c r="E802" s="176"/>
      <c r="F802" s="55"/>
      <c r="I802" s="239"/>
      <c r="J802" s="239"/>
      <c r="K802" s="236"/>
      <c r="L802" s="236"/>
      <c r="M802" s="236"/>
    </row>
    <row r="803" spans="1:13" x14ac:dyDescent="0.3">
      <c r="A803" s="220"/>
      <c r="B803" s="55"/>
      <c r="C803" s="55"/>
      <c r="D803" s="55"/>
      <c r="E803" s="176"/>
      <c r="F803" s="55"/>
      <c r="I803" s="239"/>
      <c r="J803" s="239"/>
      <c r="K803" s="236"/>
      <c r="L803" s="236"/>
      <c r="M803" s="236"/>
    </row>
    <row r="804" spans="1:13" x14ac:dyDescent="0.3">
      <c r="A804" s="220"/>
      <c r="B804" s="55"/>
      <c r="C804" s="55"/>
      <c r="D804" s="55"/>
      <c r="E804" s="176"/>
      <c r="F804" s="55"/>
      <c r="I804" s="239"/>
      <c r="J804" s="239"/>
      <c r="K804" s="236"/>
      <c r="L804" s="236"/>
      <c r="M804" s="236"/>
    </row>
    <row r="805" spans="1:13" x14ac:dyDescent="0.3">
      <c r="A805" s="220"/>
      <c r="B805" s="55"/>
      <c r="C805" s="55"/>
      <c r="D805" s="55"/>
      <c r="E805" s="176"/>
      <c r="F805" s="55"/>
      <c r="I805" s="239"/>
      <c r="J805" s="239"/>
      <c r="K805" s="236"/>
      <c r="L805" s="236"/>
      <c r="M805" s="236"/>
    </row>
    <row r="806" spans="1:13" x14ac:dyDescent="0.3">
      <c r="A806" s="220"/>
      <c r="B806" s="55"/>
      <c r="C806" s="55"/>
      <c r="D806" s="55"/>
      <c r="E806" s="176"/>
      <c r="F806" s="55"/>
      <c r="I806" s="239"/>
      <c r="J806" s="239"/>
      <c r="K806" s="236"/>
      <c r="L806" s="236"/>
      <c r="M806" s="236"/>
    </row>
    <row r="807" spans="1:13" x14ac:dyDescent="0.3">
      <c r="A807" s="220"/>
      <c r="B807" s="55"/>
      <c r="C807" s="55"/>
      <c r="D807" s="55"/>
      <c r="E807" s="176"/>
      <c r="F807" s="55"/>
      <c r="I807" s="239"/>
      <c r="J807" s="239"/>
      <c r="K807" s="236"/>
      <c r="L807" s="236"/>
      <c r="M807" s="236"/>
    </row>
    <row r="808" spans="1:13" x14ac:dyDescent="0.3">
      <c r="A808" s="220"/>
      <c r="B808" s="55"/>
      <c r="C808" s="55"/>
      <c r="D808" s="55"/>
      <c r="E808" s="176"/>
      <c r="F808" s="55"/>
      <c r="I808" s="239"/>
      <c r="J808" s="239"/>
      <c r="K808" s="236"/>
      <c r="L808" s="236"/>
      <c r="M808" s="236"/>
    </row>
    <row r="809" spans="1:13" x14ac:dyDescent="0.3">
      <c r="A809" s="220"/>
      <c r="B809" s="55"/>
      <c r="C809" s="55"/>
      <c r="D809" s="55"/>
      <c r="E809" s="176"/>
      <c r="F809" s="55"/>
      <c r="I809" s="239"/>
      <c r="J809" s="239"/>
      <c r="K809" s="236"/>
      <c r="L809" s="236"/>
      <c r="M809" s="236"/>
    </row>
    <row r="810" spans="1:13" x14ac:dyDescent="0.3">
      <c r="A810" s="220"/>
      <c r="B810" s="55"/>
      <c r="C810" s="55"/>
      <c r="D810" s="55"/>
      <c r="E810" s="176"/>
      <c r="F810" s="55"/>
      <c r="I810" s="239"/>
      <c r="J810" s="239"/>
      <c r="K810" s="236"/>
      <c r="L810" s="236"/>
      <c r="M810" s="236"/>
    </row>
    <row r="811" spans="1:13" x14ac:dyDescent="0.3">
      <c r="A811" s="220"/>
      <c r="B811" s="55"/>
      <c r="C811" s="55"/>
      <c r="D811" s="55"/>
      <c r="E811" s="176"/>
      <c r="F811" s="55"/>
      <c r="I811" s="239"/>
      <c r="J811" s="239"/>
      <c r="K811" s="236"/>
      <c r="L811" s="236"/>
      <c r="M811" s="236"/>
    </row>
    <row r="812" spans="1:13" x14ac:dyDescent="0.3">
      <c r="A812" s="220"/>
      <c r="B812" s="55"/>
      <c r="C812" s="55"/>
      <c r="D812" s="55"/>
      <c r="E812" s="176"/>
      <c r="F812" s="55"/>
      <c r="I812" s="239"/>
      <c r="J812" s="239"/>
      <c r="K812" s="236"/>
      <c r="L812" s="236"/>
      <c r="M812" s="236"/>
    </row>
    <row r="813" spans="1:13" x14ac:dyDescent="0.3">
      <c r="A813" s="220"/>
      <c r="B813" s="55"/>
      <c r="C813" s="55"/>
      <c r="D813" s="55"/>
      <c r="E813" s="176"/>
      <c r="F813" s="55"/>
      <c r="I813" s="239"/>
      <c r="J813" s="239"/>
      <c r="K813" s="236"/>
      <c r="L813" s="236"/>
      <c r="M813" s="236"/>
    </row>
    <row r="814" spans="1:13" x14ac:dyDescent="0.3">
      <c r="A814" s="220"/>
      <c r="B814" s="55"/>
      <c r="C814" s="55"/>
      <c r="D814" s="55"/>
      <c r="E814" s="176"/>
      <c r="F814" s="55"/>
      <c r="I814" s="239"/>
      <c r="J814" s="239"/>
      <c r="K814" s="236"/>
      <c r="L814" s="236"/>
      <c r="M814" s="236"/>
    </row>
    <row r="815" spans="1:13" x14ac:dyDescent="0.3">
      <c r="A815" s="220"/>
      <c r="B815" s="55"/>
      <c r="C815" s="55"/>
      <c r="D815" s="55"/>
      <c r="E815" s="176"/>
      <c r="F815" s="55"/>
      <c r="I815" s="239"/>
      <c r="J815" s="239"/>
      <c r="K815" s="236"/>
      <c r="L815" s="236"/>
      <c r="M815" s="236"/>
    </row>
    <row r="816" spans="1:13" x14ac:dyDescent="0.3">
      <c r="A816" s="220"/>
      <c r="B816" s="55"/>
      <c r="C816" s="55"/>
      <c r="D816" s="55"/>
      <c r="E816" s="176"/>
      <c r="F816" s="55"/>
      <c r="I816" s="239"/>
      <c r="J816" s="239"/>
      <c r="K816" s="236"/>
      <c r="L816" s="236"/>
      <c r="M816" s="236"/>
    </row>
    <row r="817" spans="1:13" x14ac:dyDescent="0.3">
      <c r="A817" s="220"/>
      <c r="B817" s="55"/>
      <c r="C817" s="55"/>
      <c r="D817" s="55"/>
      <c r="E817" s="176"/>
      <c r="F817" s="55"/>
      <c r="I817" s="239"/>
      <c r="J817" s="239"/>
      <c r="K817" s="236"/>
      <c r="L817" s="236"/>
      <c r="M817" s="236"/>
    </row>
    <row r="818" spans="1:13" x14ac:dyDescent="0.3">
      <c r="A818" s="220"/>
      <c r="B818" s="55"/>
      <c r="C818" s="55"/>
      <c r="D818" s="55"/>
      <c r="E818" s="176"/>
      <c r="F818" s="55"/>
      <c r="I818" s="239"/>
      <c r="J818" s="239"/>
      <c r="K818" s="236"/>
      <c r="L818" s="236"/>
      <c r="M818" s="236"/>
    </row>
    <row r="819" spans="1:13" x14ac:dyDescent="0.3">
      <c r="A819" s="220"/>
      <c r="B819" s="55"/>
      <c r="C819" s="55"/>
      <c r="D819" s="55"/>
      <c r="E819" s="176"/>
      <c r="F819" s="55"/>
      <c r="I819" s="239"/>
      <c r="J819" s="239"/>
      <c r="K819" s="236"/>
      <c r="L819" s="236"/>
      <c r="M819" s="236"/>
    </row>
    <row r="820" spans="1:13" x14ac:dyDescent="0.3">
      <c r="A820" s="220"/>
      <c r="B820" s="55"/>
      <c r="C820" s="55"/>
      <c r="D820" s="55"/>
      <c r="E820" s="176"/>
      <c r="F820" s="55"/>
      <c r="I820" s="239"/>
      <c r="J820" s="239"/>
      <c r="K820" s="236"/>
      <c r="L820" s="236"/>
      <c r="M820" s="236"/>
    </row>
    <row r="821" spans="1:13" x14ac:dyDescent="0.3">
      <c r="A821" s="220"/>
      <c r="B821" s="55"/>
      <c r="C821" s="55"/>
      <c r="D821" s="55"/>
      <c r="E821" s="176"/>
      <c r="F821" s="55"/>
      <c r="I821" s="239"/>
      <c r="J821" s="239"/>
      <c r="K821" s="236"/>
      <c r="L821" s="236"/>
      <c r="M821" s="236"/>
    </row>
    <row r="822" spans="1:13" x14ac:dyDescent="0.3">
      <c r="A822" s="220"/>
      <c r="B822" s="55"/>
      <c r="C822" s="55"/>
      <c r="D822" s="55"/>
      <c r="E822" s="176"/>
      <c r="F822" s="55"/>
      <c r="I822" s="239"/>
      <c r="J822" s="239"/>
      <c r="K822" s="236"/>
      <c r="L822" s="236"/>
      <c r="M822" s="236"/>
    </row>
    <row r="823" spans="1:13" x14ac:dyDescent="0.3">
      <c r="A823" s="220"/>
      <c r="B823" s="55"/>
      <c r="C823" s="55"/>
      <c r="D823" s="55"/>
      <c r="E823" s="176"/>
      <c r="F823" s="55"/>
      <c r="I823" s="239"/>
      <c r="J823" s="239"/>
      <c r="K823" s="236"/>
      <c r="L823" s="236"/>
      <c r="M823" s="236"/>
    </row>
    <row r="824" spans="1:13" x14ac:dyDescent="0.3">
      <c r="A824" s="220"/>
      <c r="B824" s="55"/>
      <c r="C824" s="55"/>
      <c r="D824" s="55"/>
      <c r="E824" s="176"/>
      <c r="F824" s="55"/>
      <c r="I824" s="239"/>
      <c r="J824" s="239"/>
      <c r="K824" s="236"/>
      <c r="L824" s="236"/>
      <c r="M824" s="236"/>
    </row>
    <row r="825" spans="1:13" x14ac:dyDescent="0.3">
      <c r="A825" s="220"/>
      <c r="B825" s="55"/>
      <c r="C825" s="55"/>
      <c r="D825" s="55"/>
      <c r="E825" s="176"/>
      <c r="F825" s="55"/>
      <c r="I825" s="239"/>
      <c r="J825" s="239"/>
      <c r="K825" s="236"/>
      <c r="L825" s="236"/>
      <c r="M825" s="236"/>
    </row>
    <row r="826" spans="1:13" x14ac:dyDescent="0.3">
      <c r="A826" s="220"/>
      <c r="B826" s="55"/>
      <c r="C826" s="55"/>
      <c r="D826" s="55"/>
      <c r="E826" s="176"/>
      <c r="F826" s="55"/>
      <c r="I826" s="239"/>
      <c r="J826" s="239"/>
      <c r="K826" s="236"/>
      <c r="L826" s="236"/>
      <c r="M826" s="236"/>
    </row>
    <row r="827" spans="1:13" x14ac:dyDescent="0.3">
      <c r="A827" s="220"/>
      <c r="B827" s="55"/>
      <c r="C827" s="55"/>
      <c r="D827" s="55"/>
      <c r="E827" s="176"/>
      <c r="F827" s="55"/>
      <c r="I827" s="239"/>
      <c r="J827" s="239"/>
      <c r="K827" s="236"/>
      <c r="L827" s="236"/>
      <c r="M827" s="236"/>
    </row>
    <row r="828" spans="1:13" x14ac:dyDescent="0.3">
      <c r="A828" s="220"/>
      <c r="B828" s="55"/>
      <c r="C828" s="55"/>
      <c r="D828" s="55"/>
      <c r="E828" s="176"/>
      <c r="F828" s="55"/>
      <c r="I828" s="239"/>
      <c r="J828" s="239"/>
      <c r="K828" s="236"/>
      <c r="L828" s="236"/>
      <c r="M828" s="236"/>
    </row>
    <row r="829" spans="1:13" x14ac:dyDescent="0.3">
      <c r="A829" s="220"/>
      <c r="B829" s="55"/>
      <c r="C829" s="55"/>
      <c r="D829" s="55"/>
      <c r="E829" s="176"/>
      <c r="F829" s="55"/>
      <c r="I829" s="239"/>
      <c r="J829" s="239"/>
      <c r="K829" s="236"/>
      <c r="L829" s="236"/>
      <c r="M829" s="236"/>
    </row>
    <row r="830" spans="1:13" x14ac:dyDescent="0.3">
      <c r="A830" s="220"/>
      <c r="B830" s="55"/>
      <c r="C830" s="55"/>
      <c r="D830" s="55"/>
      <c r="E830" s="176"/>
      <c r="F830" s="55"/>
      <c r="I830" s="239"/>
      <c r="J830" s="239"/>
      <c r="K830" s="236"/>
      <c r="L830" s="236"/>
      <c r="M830" s="236"/>
    </row>
    <row r="831" spans="1:13" x14ac:dyDescent="0.3">
      <c r="A831" s="220"/>
      <c r="B831" s="55"/>
      <c r="C831" s="55"/>
      <c r="D831" s="55"/>
      <c r="E831" s="176"/>
      <c r="F831" s="55"/>
      <c r="I831" s="239"/>
      <c r="J831" s="239"/>
      <c r="K831" s="236"/>
      <c r="L831" s="236"/>
      <c r="M831" s="236"/>
    </row>
    <row r="832" spans="1:13" x14ac:dyDescent="0.3">
      <c r="A832" s="220"/>
      <c r="B832" s="55"/>
      <c r="C832" s="55"/>
      <c r="D832" s="55"/>
      <c r="E832" s="176"/>
      <c r="F832" s="55"/>
      <c r="I832" s="239"/>
      <c r="J832" s="239"/>
      <c r="K832" s="236"/>
      <c r="L832" s="236"/>
      <c r="M832" s="236"/>
    </row>
    <row r="833" spans="1:13" x14ac:dyDescent="0.3">
      <c r="A833" s="220"/>
      <c r="B833" s="55"/>
      <c r="C833" s="55"/>
      <c r="D833" s="55"/>
      <c r="E833" s="176"/>
      <c r="F833" s="55"/>
      <c r="I833" s="239"/>
      <c r="J833" s="239"/>
      <c r="K833" s="236"/>
      <c r="L833" s="236"/>
      <c r="M833" s="236"/>
    </row>
    <row r="834" spans="1:13" x14ac:dyDescent="0.3">
      <c r="A834" s="220"/>
      <c r="B834" s="55"/>
      <c r="C834" s="55"/>
      <c r="D834" s="55"/>
      <c r="E834" s="176"/>
      <c r="F834" s="55"/>
      <c r="I834" s="239"/>
      <c r="J834" s="239"/>
      <c r="K834" s="236"/>
      <c r="L834" s="236"/>
      <c r="M834" s="236"/>
    </row>
    <row r="835" spans="1:13" x14ac:dyDescent="0.3">
      <c r="A835" s="220"/>
      <c r="B835" s="55"/>
      <c r="C835" s="55"/>
      <c r="D835" s="55"/>
      <c r="E835" s="176"/>
      <c r="F835" s="55"/>
      <c r="I835" s="239"/>
      <c r="J835" s="239"/>
      <c r="K835" s="236"/>
      <c r="L835" s="236"/>
      <c r="M835" s="236"/>
    </row>
    <row r="836" spans="1:13" x14ac:dyDescent="0.3">
      <c r="A836" s="220"/>
      <c r="B836" s="55"/>
      <c r="C836" s="55"/>
      <c r="D836" s="55"/>
      <c r="E836" s="176"/>
      <c r="F836" s="55"/>
      <c r="I836" s="239"/>
      <c r="J836" s="239"/>
      <c r="K836" s="236"/>
      <c r="L836" s="236"/>
      <c r="M836" s="236"/>
    </row>
    <row r="837" spans="1:13" x14ac:dyDescent="0.3">
      <c r="A837" s="220"/>
      <c r="B837" s="55"/>
      <c r="C837" s="55"/>
      <c r="D837" s="55"/>
      <c r="E837" s="176"/>
      <c r="F837" s="55"/>
      <c r="I837" s="239"/>
      <c r="J837" s="239"/>
      <c r="K837" s="236"/>
      <c r="L837" s="236"/>
      <c r="M837" s="236"/>
    </row>
    <row r="838" spans="1:13" x14ac:dyDescent="0.3">
      <c r="A838" s="220"/>
      <c r="B838" s="55"/>
      <c r="C838" s="55"/>
      <c r="D838" s="55"/>
      <c r="E838" s="176"/>
      <c r="F838" s="55"/>
      <c r="I838" s="239"/>
      <c r="J838" s="239"/>
      <c r="K838" s="236"/>
      <c r="L838" s="236"/>
      <c r="M838" s="236"/>
    </row>
    <row r="839" spans="1:13" x14ac:dyDescent="0.3">
      <c r="A839" s="220"/>
      <c r="B839" s="55"/>
      <c r="C839" s="55"/>
      <c r="D839" s="55"/>
      <c r="E839" s="176"/>
      <c r="F839" s="55"/>
      <c r="I839" s="239"/>
      <c r="J839" s="239"/>
      <c r="K839" s="236"/>
      <c r="L839" s="236"/>
      <c r="M839" s="236"/>
    </row>
    <row r="840" spans="1:13" x14ac:dyDescent="0.3">
      <c r="A840" s="220"/>
      <c r="B840" s="55"/>
      <c r="C840" s="55"/>
      <c r="D840" s="55"/>
      <c r="E840" s="176"/>
      <c r="F840" s="55"/>
      <c r="I840" s="239"/>
      <c r="J840" s="239"/>
      <c r="K840" s="236"/>
      <c r="L840" s="236"/>
      <c r="M840" s="236"/>
    </row>
    <row r="841" spans="1:13" x14ac:dyDescent="0.3">
      <c r="A841" s="220"/>
      <c r="B841" s="55"/>
      <c r="C841" s="55"/>
      <c r="D841" s="55"/>
      <c r="E841" s="176"/>
      <c r="F841" s="55"/>
      <c r="I841" s="239"/>
      <c r="J841" s="239"/>
      <c r="K841" s="236"/>
      <c r="L841" s="236"/>
      <c r="M841" s="236"/>
    </row>
    <row r="842" spans="1:13" x14ac:dyDescent="0.3">
      <c r="A842" s="220"/>
      <c r="B842" s="55"/>
      <c r="C842" s="55"/>
      <c r="D842" s="55"/>
      <c r="E842" s="176"/>
      <c r="F842" s="55"/>
      <c r="I842" s="239"/>
      <c r="J842" s="239"/>
      <c r="K842" s="236"/>
      <c r="L842" s="236"/>
      <c r="M842" s="236"/>
    </row>
    <row r="843" spans="1:13" x14ac:dyDescent="0.3">
      <c r="A843" s="220"/>
      <c r="B843" s="55"/>
      <c r="C843" s="55"/>
      <c r="D843" s="55"/>
      <c r="E843" s="176"/>
      <c r="F843" s="55"/>
      <c r="I843" s="239"/>
      <c r="J843" s="239"/>
      <c r="K843" s="236"/>
      <c r="L843" s="236"/>
      <c r="M843" s="236"/>
    </row>
    <row r="844" spans="1:13" x14ac:dyDescent="0.3">
      <c r="A844" s="220"/>
      <c r="B844" s="55"/>
      <c r="C844" s="55"/>
      <c r="D844" s="55"/>
      <c r="E844" s="176"/>
      <c r="F844" s="55"/>
      <c r="I844" s="239"/>
      <c r="J844" s="239"/>
      <c r="K844" s="236"/>
      <c r="L844" s="236"/>
      <c r="M844" s="236"/>
    </row>
    <row r="845" spans="1:13" x14ac:dyDescent="0.3">
      <c r="A845" s="220"/>
      <c r="B845" s="55"/>
      <c r="C845" s="55"/>
      <c r="D845" s="55"/>
      <c r="E845" s="176"/>
      <c r="F845" s="55"/>
      <c r="I845" s="239"/>
      <c r="J845" s="239"/>
      <c r="K845" s="236"/>
      <c r="L845" s="236"/>
      <c r="M845" s="236"/>
    </row>
    <row r="846" spans="1:13" x14ac:dyDescent="0.3">
      <c r="A846" s="220"/>
      <c r="B846" s="55"/>
      <c r="C846" s="55"/>
      <c r="D846" s="55"/>
      <c r="E846" s="176"/>
      <c r="F846" s="55"/>
      <c r="I846" s="239"/>
      <c r="J846" s="239"/>
      <c r="K846" s="236"/>
      <c r="L846" s="236"/>
      <c r="M846" s="236"/>
    </row>
    <row r="847" spans="1:13" x14ac:dyDescent="0.3">
      <c r="A847" s="220"/>
      <c r="B847" s="55"/>
      <c r="C847" s="55"/>
      <c r="D847" s="55"/>
      <c r="E847" s="176"/>
      <c r="F847" s="55"/>
      <c r="I847" s="239"/>
      <c r="J847" s="239"/>
      <c r="K847" s="236"/>
      <c r="L847" s="236"/>
      <c r="M847" s="236"/>
    </row>
    <row r="848" spans="1:13" x14ac:dyDescent="0.3">
      <c r="A848" s="220"/>
      <c r="B848" s="55"/>
      <c r="C848" s="55"/>
      <c r="D848" s="55"/>
      <c r="E848" s="176"/>
      <c r="F848" s="55"/>
      <c r="I848" s="239"/>
      <c r="J848" s="239"/>
      <c r="K848" s="236"/>
      <c r="L848" s="236"/>
      <c r="M848" s="236"/>
    </row>
    <row r="849" spans="1:13" x14ac:dyDescent="0.3">
      <c r="A849" s="220"/>
      <c r="B849" s="55"/>
      <c r="C849" s="55"/>
      <c r="D849" s="55"/>
      <c r="E849" s="176"/>
      <c r="F849" s="55"/>
      <c r="I849" s="239"/>
      <c r="J849" s="239"/>
      <c r="K849" s="236"/>
      <c r="L849" s="236"/>
      <c r="M849" s="236"/>
    </row>
    <row r="850" spans="1:13" x14ac:dyDescent="0.3">
      <c r="A850" s="220"/>
      <c r="B850" s="55"/>
      <c r="C850" s="55"/>
      <c r="D850" s="55"/>
      <c r="E850" s="176"/>
      <c r="F850" s="55"/>
      <c r="I850" s="239"/>
      <c r="J850" s="239"/>
      <c r="K850" s="236"/>
      <c r="L850" s="236"/>
      <c r="M850" s="236"/>
    </row>
    <row r="851" spans="1:13" x14ac:dyDescent="0.3">
      <c r="A851" s="220"/>
      <c r="B851" s="55"/>
      <c r="C851" s="55"/>
      <c r="D851" s="55"/>
      <c r="E851" s="176"/>
      <c r="F851" s="55"/>
      <c r="I851" s="239"/>
      <c r="J851" s="239"/>
      <c r="K851" s="236"/>
      <c r="L851" s="236"/>
      <c r="M851" s="236"/>
    </row>
    <row r="852" spans="1:13" x14ac:dyDescent="0.3">
      <c r="A852" s="220"/>
      <c r="B852" s="55"/>
      <c r="C852" s="55"/>
      <c r="D852" s="55"/>
      <c r="E852" s="176"/>
      <c r="F852" s="55"/>
      <c r="I852" s="239"/>
      <c r="J852" s="239"/>
      <c r="K852" s="236"/>
      <c r="L852" s="236"/>
      <c r="M852" s="236"/>
    </row>
    <row r="853" spans="1:13" x14ac:dyDescent="0.3">
      <c r="A853" s="220"/>
      <c r="B853" s="55"/>
      <c r="C853" s="55"/>
      <c r="D853" s="55"/>
      <c r="E853" s="176"/>
      <c r="F853" s="55"/>
      <c r="I853" s="239"/>
      <c r="J853" s="239"/>
      <c r="K853" s="236"/>
      <c r="L853" s="236"/>
      <c r="M853" s="236"/>
    </row>
    <row r="854" spans="1:13" x14ac:dyDescent="0.3">
      <c r="A854" s="220"/>
      <c r="B854" s="55"/>
      <c r="C854" s="55"/>
      <c r="D854" s="55"/>
      <c r="E854" s="176"/>
      <c r="F854" s="55"/>
      <c r="I854" s="239"/>
      <c r="J854" s="239"/>
      <c r="K854" s="236"/>
      <c r="L854" s="236"/>
      <c r="M854" s="236"/>
    </row>
    <row r="855" spans="1:13" x14ac:dyDescent="0.3">
      <c r="A855" s="220"/>
      <c r="B855" s="55"/>
      <c r="C855" s="55"/>
      <c r="D855" s="55"/>
      <c r="E855" s="176"/>
      <c r="F855" s="55"/>
      <c r="I855" s="239"/>
      <c r="J855" s="239"/>
      <c r="K855" s="236"/>
      <c r="L855" s="236"/>
      <c r="M855" s="236"/>
    </row>
    <row r="856" spans="1:13" x14ac:dyDescent="0.3">
      <c r="A856" s="220"/>
      <c r="B856" s="55"/>
      <c r="C856" s="55"/>
      <c r="D856" s="55"/>
      <c r="E856" s="176"/>
      <c r="F856" s="55"/>
      <c r="I856" s="239"/>
      <c r="J856" s="239"/>
      <c r="K856" s="236"/>
      <c r="L856" s="236"/>
      <c r="M856" s="236"/>
    </row>
    <row r="857" spans="1:13" x14ac:dyDescent="0.3">
      <c r="A857" s="220"/>
      <c r="B857" s="55"/>
      <c r="C857" s="55"/>
      <c r="D857" s="55"/>
      <c r="E857" s="176"/>
      <c r="F857" s="55"/>
      <c r="I857" s="239"/>
      <c r="J857" s="239"/>
      <c r="K857" s="236"/>
      <c r="L857" s="236"/>
      <c r="M857" s="236"/>
    </row>
    <row r="858" spans="1:13" x14ac:dyDescent="0.3">
      <c r="A858" s="220"/>
      <c r="B858" s="55"/>
      <c r="C858" s="55"/>
      <c r="D858" s="55"/>
      <c r="E858" s="176"/>
      <c r="F858" s="55"/>
      <c r="I858" s="239"/>
      <c r="J858" s="239"/>
      <c r="K858" s="236"/>
      <c r="L858" s="236"/>
      <c r="M858" s="236"/>
    </row>
    <row r="859" spans="1:13" x14ac:dyDescent="0.3">
      <c r="A859" s="220"/>
      <c r="B859" s="55"/>
      <c r="C859" s="55"/>
      <c r="D859" s="55"/>
      <c r="E859" s="176"/>
      <c r="F859" s="55"/>
      <c r="I859" s="239"/>
      <c r="J859" s="239"/>
      <c r="K859" s="236"/>
      <c r="L859" s="236"/>
      <c r="M859" s="236"/>
    </row>
    <row r="860" spans="1:13" x14ac:dyDescent="0.3">
      <c r="A860" s="220"/>
      <c r="B860" s="55"/>
      <c r="C860" s="55"/>
      <c r="D860" s="55"/>
      <c r="E860" s="176"/>
      <c r="F860" s="55"/>
      <c r="I860" s="239"/>
      <c r="J860" s="239"/>
      <c r="K860" s="236"/>
      <c r="L860" s="236"/>
      <c r="M860" s="236"/>
    </row>
    <row r="861" spans="1:13" x14ac:dyDescent="0.3">
      <c r="A861" s="220"/>
      <c r="B861" s="55"/>
      <c r="C861" s="55"/>
      <c r="D861" s="55"/>
      <c r="E861" s="176"/>
      <c r="F861" s="55"/>
      <c r="I861" s="239"/>
      <c r="J861" s="239"/>
      <c r="K861" s="236"/>
      <c r="L861" s="236"/>
      <c r="M861" s="236"/>
    </row>
    <row r="862" spans="1:13" x14ac:dyDescent="0.3">
      <c r="A862" s="220"/>
      <c r="B862" s="55"/>
      <c r="C862" s="55"/>
      <c r="D862" s="55"/>
      <c r="E862" s="176"/>
      <c r="F862" s="55"/>
      <c r="I862" s="239"/>
      <c r="J862" s="239"/>
      <c r="K862" s="236"/>
      <c r="L862" s="236"/>
      <c r="M862" s="236"/>
    </row>
    <row r="863" spans="1:13" x14ac:dyDescent="0.3">
      <c r="A863" s="220"/>
      <c r="B863" s="55"/>
      <c r="C863" s="55"/>
      <c r="D863" s="55"/>
      <c r="E863" s="176"/>
      <c r="F863" s="55"/>
      <c r="I863" s="239"/>
      <c r="J863" s="239"/>
      <c r="K863" s="236"/>
      <c r="L863" s="236"/>
      <c r="M863" s="236"/>
    </row>
    <row r="864" spans="1:13" x14ac:dyDescent="0.3">
      <c r="A864" s="220"/>
      <c r="B864" s="55"/>
      <c r="C864" s="55"/>
      <c r="D864" s="55"/>
      <c r="E864" s="176"/>
      <c r="F864" s="55"/>
      <c r="I864" s="239"/>
      <c r="J864" s="239"/>
      <c r="K864" s="236"/>
      <c r="L864" s="236"/>
      <c r="M864" s="236"/>
    </row>
    <row r="865" spans="1:13" x14ac:dyDescent="0.3">
      <c r="A865" s="220"/>
      <c r="B865" s="55"/>
      <c r="C865" s="55"/>
      <c r="D865" s="55"/>
      <c r="E865" s="176"/>
      <c r="F865" s="55"/>
      <c r="I865" s="239"/>
      <c r="J865" s="239"/>
      <c r="K865" s="236"/>
      <c r="L865" s="236"/>
      <c r="M865" s="236"/>
    </row>
    <row r="866" spans="1:13" x14ac:dyDescent="0.3">
      <c r="A866" s="220"/>
      <c r="B866" s="55"/>
      <c r="C866" s="55"/>
      <c r="D866" s="55"/>
      <c r="E866" s="176"/>
      <c r="F866" s="55"/>
      <c r="I866" s="239"/>
      <c r="J866" s="239"/>
      <c r="K866" s="236"/>
      <c r="L866" s="236"/>
      <c r="M866" s="236"/>
    </row>
    <row r="867" spans="1:13" x14ac:dyDescent="0.3">
      <c r="A867" s="220"/>
      <c r="B867" s="55"/>
      <c r="C867" s="55"/>
      <c r="D867" s="55"/>
      <c r="E867" s="176"/>
      <c r="F867" s="55"/>
      <c r="I867" s="239"/>
      <c r="J867" s="239"/>
      <c r="K867" s="236"/>
      <c r="L867" s="236"/>
      <c r="M867" s="236"/>
    </row>
    <row r="868" spans="1:13" x14ac:dyDescent="0.3">
      <c r="A868" s="220"/>
      <c r="B868" s="55"/>
      <c r="C868" s="55"/>
      <c r="D868" s="55"/>
      <c r="E868" s="176"/>
      <c r="F868" s="55"/>
      <c r="I868" s="239"/>
      <c r="J868" s="239"/>
      <c r="K868" s="236"/>
      <c r="L868" s="236"/>
      <c r="M868" s="236"/>
    </row>
    <row r="869" spans="1:13" x14ac:dyDescent="0.3">
      <c r="A869" s="220"/>
      <c r="B869" s="55"/>
      <c r="C869" s="55"/>
      <c r="D869" s="55"/>
      <c r="E869" s="176"/>
      <c r="F869" s="55"/>
      <c r="I869" s="239"/>
      <c r="J869" s="239"/>
      <c r="K869" s="236"/>
      <c r="L869" s="236"/>
      <c r="M869" s="236"/>
    </row>
    <row r="870" spans="1:13" x14ac:dyDescent="0.3">
      <c r="A870" s="220"/>
      <c r="B870" s="55"/>
      <c r="C870" s="55"/>
      <c r="D870" s="55"/>
      <c r="E870" s="176"/>
      <c r="F870" s="55"/>
      <c r="I870" s="239"/>
      <c r="J870" s="239"/>
      <c r="K870" s="236"/>
      <c r="L870" s="236"/>
      <c r="M870" s="236"/>
    </row>
    <row r="871" spans="1:13" x14ac:dyDescent="0.3">
      <c r="A871" s="220"/>
      <c r="B871" s="55"/>
      <c r="C871" s="55"/>
      <c r="D871" s="55"/>
      <c r="E871" s="176"/>
      <c r="F871" s="55"/>
      <c r="I871" s="239"/>
      <c r="J871" s="239"/>
      <c r="K871" s="236"/>
      <c r="L871" s="236"/>
      <c r="M871" s="236"/>
    </row>
    <row r="872" spans="1:13" x14ac:dyDescent="0.3">
      <c r="A872" s="220"/>
      <c r="B872" s="55"/>
      <c r="C872" s="55"/>
      <c r="D872" s="55"/>
      <c r="E872" s="176"/>
      <c r="F872" s="55"/>
      <c r="I872" s="239"/>
      <c r="J872" s="239"/>
      <c r="K872" s="236"/>
      <c r="L872" s="236"/>
      <c r="M872" s="236"/>
    </row>
    <row r="873" spans="1:13" x14ac:dyDescent="0.3">
      <c r="A873" s="220"/>
      <c r="B873" s="55"/>
      <c r="C873" s="55"/>
      <c r="D873" s="55"/>
      <c r="E873" s="176"/>
      <c r="F873" s="55"/>
      <c r="I873" s="239"/>
      <c r="J873" s="239"/>
      <c r="K873" s="236"/>
      <c r="L873" s="236"/>
      <c r="M873" s="236"/>
    </row>
    <row r="874" spans="1:13" x14ac:dyDescent="0.3">
      <c r="A874" s="220"/>
      <c r="B874" s="55"/>
      <c r="C874" s="55"/>
      <c r="D874" s="55"/>
      <c r="E874" s="176"/>
      <c r="F874" s="55"/>
      <c r="I874" s="239"/>
      <c r="J874" s="239"/>
      <c r="K874" s="236"/>
      <c r="L874" s="236"/>
      <c r="M874" s="236"/>
    </row>
    <row r="875" spans="1:13" x14ac:dyDescent="0.3">
      <c r="A875" s="220"/>
      <c r="B875" s="55"/>
      <c r="C875" s="55"/>
      <c r="D875" s="55"/>
      <c r="E875" s="176"/>
      <c r="F875" s="55"/>
      <c r="I875" s="239"/>
      <c r="J875" s="239"/>
      <c r="K875" s="236"/>
      <c r="L875" s="236"/>
      <c r="M875" s="236"/>
    </row>
    <row r="876" spans="1:13" x14ac:dyDescent="0.3">
      <c r="A876" s="220"/>
      <c r="B876" s="55"/>
      <c r="C876" s="55"/>
      <c r="D876" s="55"/>
      <c r="E876" s="176"/>
      <c r="F876" s="55"/>
      <c r="I876" s="239"/>
      <c r="J876" s="239"/>
      <c r="K876" s="236"/>
      <c r="L876" s="236"/>
      <c r="M876" s="236"/>
    </row>
    <row r="877" spans="1:13" x14ac:dyDescent="0.3">
      <c r="A877" s="220"/>
      <c r="B877" s="55"/>
      <c r="C877" s="55"/>
      <c r="D877" s="55"/>
      <c r="E877" s="176"/>
      <c r="F877" s="55"/>
      <c r="I877" s="239"/>
      <c r="J877" s="239"/>
      <c r="K877" s="236"/>
      <c r="L877" s="236"/>
      <c r="M877" s="236"/>
    </row>
    <row r="878" spans="1:13" x14ac:dyDescent="0.3">
      <c r="A878" s="220"/>
      <c r="B878" s="55"/>
      <c r="C878" s="55"/>
      <c r="D878" s="55"/>
      <c r="E878" s="176"/>
      <c r="F878" s="55"/>
      <c r="I878" s="239"/>
      <c r="J878" s="239"/>
      <c r="K878" s="236"/>
      <c r="L878" s="236"/>
      <c r="M878" s="236"/>
    </row>
    <row r="879" spans="1:13" x14ac:dyDescent="0.3">
      <c r="A879" s="220"/>
      <c r="B879" s="55"/>
      <c r="C879" s="55"/>
      <c r="D879" s="55"/>
      <c r="E879" s="176"/>
      <c r="F879" s="55"/>
      <c r="I879" s="239"/>
      <c r="J879" s="239"/>
      <c r="K879" s="236"/>
      <c r="L879" s="236"/>
      <c r="M879" s="236"/>
    </row>
    <row r="880" spans="1:13" x14ac:dyDescent="0.3">
      <c r="A880" s="220"/>
      <c r="B880" s="55"/>
      <c r="C880" s="55"/>
      <c r="D880" s="55"/>
      <c r="E880" s="176"/>
      <c r="F880" s="55"/>
      <c r="I880" s="239"/>
      <c r="J880" s="239"/>
      <c r="K880" s="236"/>
      <c r="L880" s="236"/>
      <c r="M880" s="236"/>
    </row>
    <row r="881" spans="1:13" x14ac:dyDescent="0.3">
      <c r="A881" s="220"/>
      <c r="B881" s="55"/>
      <c r="C881" s="55"/>
      <c r="D881" s="55"/>
      <c r="E881" s="176"/>
      <c r="F881" s="55"/>
      <c r="I881" s="239"/>
      <c r="J881" s="239"/>
      <c r="K881" s="236"/>
      <c r="L881" s="236"/>
      <c r="M881" s="236"/>
    </row>
    <row r="882" spans="1:13" x14ac:dyDescent="0.3">
      <c r="A882" s="220"/>
      <c r="B882" s="55"/>
      <c r="C882" s="55"/>
      <c r="D882" s="55"/>
      <c r="E882" s="176"/>
      <c r="F882" s="55"/>
      <c r="I882" s="239"/>
      <c r="J882" s="239"/>
      <c r="K882" s="236"/>
      <c r="L882" s="236"/>
      <c r="M882" s="236"/>
    </row>
    <row r="883" spans="1:13" x14ac:dyDescent="0.3">
      <c r="A883" s="220"/>
      <c r="B883" s="55"/>
      <c r="C883" s="55"/>
      <c r="D883" s="55"/>
      <c r="E883" s="176"/>
      <c r="F883" s="55"/>
      <c r="I883" s="239"/>
      <c r="J883" s="239"/>
      <c r="K883" s="236"/>
      <c r="L883" s="236"/>
      <c r="M883" s="236"/>
    </row>
    <row r="884" spans="1:13" x14ac:dyDescent="0.3">
      <c r="A884" s="220"/>
      <c r="B884" s="55"/>
      <c r="C884" s="55"/>
      <c r="D884" s="55"/>
      <c r="E884" s="176"/>
      <c r="F884" s="55"/>
      <c r="I884" s="239"/>
      <c r="J884" s="239"/>
      <c r="K884" s="236"/>
      <c r="L884" s="236"/>
      <c r="M884" s="236"/>
    </row>
    <row r="885" spans="1:13" x14ac:dyDescent="0.3">
      <c r="A885" s="220"/>
      <c r="B885" s="55"/>
      <c r="C885" s="55"/>
      <c r="D885" s="55"/>
      <c r="E885" s="176"/>
      <c r="F885" s="55"/>
      <c r="I885" s="239"/>
      <c r="J885" s="239"/>
      <c r="K885" s="236"/>
      <c r="L885" s="236"/>
      <c r="M885" s="236"/>
    </row>
    <row r="886" spans="1:13" x14ac:dyDescent="0.3">
      <c r="A886" s="220"/>
      <c r="B886" s="55"/>
      <c r="C886" s="55"/>
      <c r="D886" s="55"/>
      <c r="E886" s="176"/>
      <c r="F886" s="55"/>
      <c r="I886" s="239"/>
      <c r="J886" s="239"/>
      <c r="K886" s="236"/>
      <c r="L886" s="236"/>
      <c r="M886" s="236"/>
    </row>
    <row r="887" spans="1:13" x14ac:dyDescent="0.3">
      <c r="A887" s="220"/>
      <c r="B887" s="55"/>
      <c r="C887" s="55"/>
      <c r="D887" s="55"/>
      <c r="E887" s="176"/>
      <c r="F887" s="55"/>
      <c r="I887" s="239"/>
      <c r="J887" s="239"/>
      <c r="K887" s="236"/>
      <c r="L887" s="236"/>
      <c r="M887" s="236"/>
    </row>
    <row r="888" spans="1:13" x14ac:dyDescent="0.3">
      <c r="A888" s="220"/>
      <c r="B888" s="55"/>
      <c r="C888" s="55"/>
      <c r="D888" s="55"/>
      <c r="E888" s="176"/>
      <c r="F888" s="55"/>
      <c r="I888" s="239"/>
      <c r="J888" s="239"/>
      <c r="K888" s="236"/>
      <c r="L888" s="236"/>
      <c r="M888" s="236"/>
    </row>
    <row r="889" spans="1:13" x14ac:dyDescent="0.3">
      <c r="A889" s="220"/>
      <c r="B889" s="55"/>
      <c r="C889" s="55"/>
      <c r="D889" s="55"/>
      <c r="E889" s="176"/>
      <c r="F889" s="55"/>
      <c r="I889" s="239"/>
      <c r="J889" s="239"/>
      <c r="K889" s="236"/>
      <c r="L889" s="236"/>
      <c r="M889" s="236"/>
    </row>
    <row r="890" spans="1:13" x14ac:dyDescent="0.3">
      <c r="A890" s="220"/>
      <c r="B890" s="55"/>
      <c r="C890" s="55"/>
      <c r="D890" s="55"/>
      <c r="E890" s="176"/>
      <c r="F890" s="55"/>
      <c r="I890" s="239"/>
      <c r="J890" s="239"/>
      <c r="K890" s="236"/>
      <c r="L890" s="236"/>
      <c r="M890" s="236"/>
    </row>
    <row r="891" spans="1:13" x14ac:dyDescent="0.3">
      <c r="A891" s="220"/>
      <c r="B891" s="55"/>
      <c r="C891" s="55"/>
      <c r="D891" s="55"/>
      <c r="E891" s="176"/>
      <c r="F891" s="55"/>
      <c r="I891" s="239"/>
      <c r="J891" s="239"/>
      <c r="K891" s="236"/>
      <c r="L891" s="236"/>
      <c r="M891" s="236"/>
    </row>
    <row r="892" spans="1:13" x14ac:dyDescent="0.3">
      <c r="A892" s="220"/>
      <c r="B892" s="55"/>
      <c r="C892" s="55"/>
      <c r="D892" s="55"/>
      <c r="E892" s="176"/>
      <c r="F892" s="55"/>
      <c r="I892" s="239"/>
      <c r="J892" s="239"/>
      <c r="K892" s="236"/>
      <c r="L892" s="236"/>
      <c r="M892" s="236"/>
    </row>
    <row r="893" spans="1:13" x14ac:dyDescent="0.3">
      <c r="A893" s="220"/>
      <c r="B893" s="55"/>
      <c r="C893" s="55"/>
      <c r="D893" s="55"/>
      <c r="E893" s="176"/>
      <c r="F893" s="55"/>
      <c r="I893" s="239"/>
      <c r="J893" s="239"/>
      <c r="K893" s="236"/>
      <c r="L893" s="236"/>
      <c r="M893" s="236"/>
    </row>
    <row r="894" spans="1:13" x14ac:dyDescent="0.3">
      <c r="A894" s="220"/>
      <c r="B894" s="55"/>
      <c r="C894" s="55"/>
      <c r="D894" s="55"/>
      <c r="E894" s="176"/>
      <c r="F894" s="55"/>
      <c r="I894" s="239"/>
      <c r="J894" s="239"/>
      <c r="K894" s="236"/>
      <c r="L894" s="236"/>
      <c r="M894" s="236"/>
    </row>
    <row r="895" spans="1:13" x14ac:dyDescent="0.3">
      <c r="A895" s="220"/>
      <c r="B895" s="55"/>
      <c r="C895" s="55"/>
      <c r="D895" s="55"/>
      <c r="E895" s="176"/>
      <c r="F895" s="55"/>
      <c r="I895" s="239"/>
      <c r="J895" s="239"/>
      <c r="K895" s="236"/>
      <c r="L895" s="236"/>
      <c r="M895" s="236"/>
    </row>
    <row r="896" spans="1:13" x14ac:dyDescent="0.3">
      <c r="A896" s="220"/>
      <c r="B896" s="55"/>
      <c r="C896" s="55"/>
      <c r="D896" s="55"/>
      <c r="E896" s="176"/>
      <c r="F896" s="55"/>
      <c r="I896" s="239"/>
      <c r="J896" s="239"/>
      <c r="K896" s="236"/>
      <c r="L896" s="236"/>
      <c r="M896" s="236"/>
    </row>
    <row r="897" spans="1:13" x14ac:dyDescent="0.3">
      <c r="A897" s="220"/>
      <c r="B897" s="55"/>
      <c r="C897" s="55"/>
      <c r="D897" s="55"/>
      <c r="E897" s="176"/>
      <c r="F897" s="55"/>
      <c r="I897" s="239"/>
      <c r="J897" s="239"/>
      <c r="K897" s="236"/>
      <c r="L897" s="236"/>
      <c r="M897" s="236"/>
    </row>
    <row r="898" spans="1:13" x14ac:dyDescent="0.3">
      <c r="A898" s="220"/>
      <c r="B898" s="55"/>
      <c r="C898" s="55"/>
      <c r="D898" s="55"/>
      <c r="E898" s="176"/>
      <c r="F898" s="55"/>
      <c r="I898" s="239"/>
      <c r="J898" s="239"/>
      <c r="K898" s="236"/>
      <c r="L898" s="236"/>
      <c r="M898" s="236"/>
    </row>
    <row r="899" spans="1:13" x14ac:dyDescent="0.3">
      <c r="A899" s="220"/>
      <c r="B899" s="55"/>
      <c r="C899" s="55"/>
      <c r="D899" s="55"/>
      <c r="E899" s="176"/>
      <c r="F899" s="55"/>
      <c r="I899" s="242"/>
      <c r="J899" s="239"/>
      <c r="K899" s="236"/>
      <c r="L899" s="236"/>
      <c r="M899" s="236"/>
    </row>
    <row r="900" spans="1:13" x14ac:dyDescent="0.3">
      <c r="A900" s="220"/>
      <c r="B900" s="55"/>
      <c r="C900" s="55"/>
      <c r="D900" s="55"/>
      <c r="E900" s="176"/>
      <c r="F900" s="55"/>
      <c r="I900" s="236"/>
      <c r="J900" s="239"/>
      <c r="K900" s="236"/>
      <c r="L900" s="236"/>
      <c r="M900" s="236"/>
    </row>
    <row r="901" spans="1:13" x14ac:dyDescent="0.3">
      <c r="A901" s="220"/>
      <c r="B901" s="55"/>
      <c r="C901" s="55"/>
      <c r="D901" s="55"/>
      <c r="E901" s="176"/>
      <c r="F901" s="55"/>
      <c r="I901" s="236"/>
      <c r="J901" s="239"/>
      <c r="K901" s="236"/>
      <c r="L901" s="236"/>
      <c r="M901" s="236"/>
    </row>
    <row r="902" spans="1:13" x14ac:dyDescent="0.3">
      <c r="A902" s="220"/>
      <c r="B902" s="55"/>
      <c r="C902" s="55"/>
      <c r="D902" s="55"/>
      <c r="E902" s="176"/>
      <c r="F902" s="55"/>
      <c r="I902" s="236"/>
      <c r="J902" s="239"/>
      <c r="K902" s="236"/>
      <c r="L902" s="236"/>
      <c r="M902" s="236"/>
    </row>
    <row r="903" spans="1:13" x14ac:dyDescent="0.3">
      <c r="A903" s="220"/>
      <c r="B903" s="55"/>
      <c r="C903" s="55"/>
      <c r="D903" s="55"/>
      <c r="E903" s="176"/>
      <c r="F903" s="55"/>
      <c r="I903" s="236"/>
      <c r="J903" s="239"/>
      <c r="K903" s="236"/>
      <c r="L903" s="236"/>
      <c r="M903" s="236"/>
    </row>
    <row r="904" spans="1:13" x14ac:dyDescent="0.3">
      <c r="A904" s="220"/>
      <c r="B904" s="55"/>
      <c r="C904" s="55"/>
      <c r="D904" s="55"/>
      <c r="E904" s="176"/>
      <c r="F904" s="55"/>
      <c r="I904" s="236"/>
      <c r="J904" s="239"/>
      <c r="K904" s="236"/>
      <c r="L904" s="236"/>
      <c r="M904" s="236"/>
    </row>
    <row r="905" spans="1:13" x14ac:dyDescent="0.3">
      <c r="A905" s="220"/>
      <c r="B905" s="55"/>
      <c r="C905" s="55"/>
      <c r="D905" s="55"/>
      <c r="E905" s="176"/>
      <c r="F905" s="55"/>
      <c r="I905" s="236"/>
      <c r="J905" s="239"/>
      <c r="K905" s="236"/>
      <c r="L905" s="236"/>
      <c r="M905" s="236"/>
    </row>
    <row r="906" spans="1:13" x14ac:dyDescent="0.3">
      <c r="A906" s="220"/>
      <c r="B906" s="55"/>
      <c r="C906" s="55"/>
      <c r="D906" s="55"/>
      <c r="E906" s="176"/>
      <c r="F906" s="55"/>
      <c r="I906" s="236"/>
      <c r="J906" s="239"/>
      <c r="K906" s="236"/>
      <c r="L906" s="236"/>
      <c r="M906" s="236"/>
    </row>
    <row r="907" spans="1:13" x14ac:dyDescent="0.3">
      <c r="A907" s="220"/>
      <c r="B907" s="55"/>
      <c r="C907" s="55"/>
      <c r="D907" s="55"/>
      <c r="E907" s="176"/>
      <c r="F907" s="55"/>
      <c r="I907" s="236"/>
      <c r="J907" s="239"/>
      <c r="K907" s="236"/>
      <c r="L907" s="236"/>
      <c r="M907" s="236"/>
    </row>
    <row r="908" spans="1:13" x14ac:dyDescent="0.3">
      <c r="A908" s="220"/>
      <c r="B908" s="55"/>
      <c r="C908" s="55"/>
      <c r="D908" s="55"/>
      <c r="E908" s="176"/>
      <c r="F908" s="55"/>
      <c r="I908" s="236"/>
      <c r="J908" s="239"/>
      <c r="K908" s="236"/>
      <c r="L908" s="236"/>
      <c r="M908" s="236"/>
    </row>
    <row r="909" spans="1:13" x14ac:dyDescent="0.3">
      <c r="A909" s="220"/>
      <c r="B909" s="55"/>
      <c r="C909" s="55"/>
      <c r="D909" s="55"/>
      <c r="E909" s="176"/>
      <c r="F909" s="55"/>
      <c r="I909" s="236"/>
      <c r="J909" s="239"/>
      <c r="K909" s="236"/>
      <c r="L909" s="236"/>
      <c r="M909" s="236"/>
    </row>
    <row r="910" spans="1:13" x14ac:dyDescent="0.3">
      <c r="A910" s="220"/>
      <c r="B910" s="55"/>
      <c r="C910" s="55"/>
      <c r="D910" s="55"/>
      <c r="E910" s="176"/>
      <c r="F910" s="55"/>
      <c r="I910" s="236"/>
      <c r="J910" s="239"/>
      <c r="K910" s="236"/>
      <c r="L910" s="236"/>
      <c r="M910" s="236"/>
    </row>
    <row r="911" spans="1:13" x14ac:dyDescent="0.3">
      <c r="A911" s="220"/>
      <c r="B911" s="55"/>
      <c r="C911" s="55"/>
      <c r="D911" s="55"/>
      <c r="E911" s="176"/>
      <c r="F911" s="55"/>
      <c r="I911" s="236"/>
      <c r="J911" s="239"/>
      <c r="K911" s="236"/>
      <c r="L911" s="236"/>
      <c r="M911" s="236"/>
    </row>
    <row r="912" spans="1:13" x14ac:dyDescent="0.3">
      <c r="A912" s="220"/>
      <c r="B912" s="55"/>
      <c r="C912" s="55"/>
      <c r="D912" s="55"/>
      <c r="E912" s="176"/>
      <c r="F912" s="55"/>
      <c r="I912" s="236"/>
      <c r="J912" s="239"/>
      <c r="K912" s="236"/>
      <c r="L912" s="236"/>
      <c r="M912" s="236"/>
    </row>
    <row r="913" spans="1:13" x14ac:dyDescent="0.3">
      <c r="A913" s="220"/>
      <c r="B913" s="55"/>
      <c r="C913" s="55"/>
      <c r="D913" s="55"/>
      <c r="E913" s="176"/>
      <c r="F913" s="55"/>
      <c r="I913" s="236"/>
      <c r="J913" s="239"/>
      <c r="K913" s="236"/>
      <c r="L913" s="236"/>
      <c r="M913" s="236"/>
    </row>
    <row r="914" spans="1:13" x14ac:dyDescent="0.3">
      <c r="A914" s="220"/>
      <c r="B914" s="55"/>
      <c r="C914" s="55"/>
      <c r="D914" s="55"/>
      <c r="E914" s="176"/>
      <c r="F914" s="55"/>
      <c r="I914" s="236"/>
      <c r="J914" s="239"/>
      <c r="K914" s="236"/>
      <c r="L914" s="236"/>
      <c r="M914" s="236"/>
    </row>
    <row r="915" spans="1:13" x14ac:dyDescent="0.3">
      <c r="A915" s="220"/>
      <c r="B915" s="55"/>
      <c r="C915" s="55"/>
      <c r="D915" s="55"/>
      <c r="E915" s="176"/>
      <c r="F915" s="55"/>
      <c r="I915" s="236"/>
      <c r="J915" s="239"/>
      <c r="K915" s="236"/>
      <c r="L915" s="236"/>
      <c r="M915" s="236"/>
    </row>
    <row r="916" spans="1:13" x14ac:dyDescent="0.3">
      <c r="A916" s="220"/>
      <c r="B916" s="55"/>
      <c r="C916" s="55"/>
      <c r="D916" s="55"/>
      <c r="E916" s="176"/>
      <c r="F916" s="55"/>
      <c r="I916" s="236"/>
      <c r="J916" s="239"/>
      <c r="K916" s="236"/>
      <c r="L916" s="236"/>
      <c r="M916" s="236"/>
    </row>
    <row r="917" spans="1:13" x14ac:dyDescent="0.3">
      <c r="A917" s="220"/>
      <c r="B917" s="55"/>
      <c r="C917" s="55"/>
      <c r="D917" s="55"/>
      <c r="E917" s="176"/>
      <c r="F917" s="55"/>
      <c r="J917" s="240"/>
    </row>
    <row r="918" spans="1:13" x14ac:dyDescent="0.3">
      <c r="A918" s="220"/>
      <c r="B918" s="55"/>
      <c r="C918" s="55"/>
      <c r="D918" s="55"/>
      <c r="E918" s="176"/>
      <c r="F918" s="55"/>
      <c r="J918" s="240"/>
    </row>
    <row r="919" spans="1:13" x14ac:dyDescent="0.3">
      <c r="A919" s="220"/>
      <c r="B919" s="55"/>
      <c r="C919" s="55"/>
      <c r="D919" s="55"/>
      <c r="E919" s="176"/>
      <c r="F919" s="55"/>
      <c r="J919" s="240"/>
    </row>
    <row r="920" spans="1:13" x14ac:dyDescent="0.3">
      <c r="A920" s="220"/>
      <c r="B920" s="55"/>
      <c r="C920" s="55"/>
      <c r="D920" s="55"/>
      <c r="E920" s="176"/>
      <c r="F920" s="55"/>
      <c r="J920" s="240"/>
    </row>
    <row r="921" spans="1:13" x14ac:dyDescent="0.3">
      <c r="A921" s="220"/>
      <c r="B921" s="55"/>
      <c r="C921" s="55"/>
      <c r="D921" s="55"/>
      <c r="E921" s="176"/>
      <c r="F921" s="55"/>
      <c r="J921" s="240"/>
    </row>
    <row r="922" spans="1:13" x14ac:dyDescent="0.3">
      <c r="A922" s="220"/>
      <c r="B922" s="55"/>
      <c r="C922" s="55"/>
      <c r="D922" s="55"/>
      <c r="E922" s="176"/>
      <c r="F922" s="55"/>
      <c r="J922" s="240"/>
    </row>
    <row r="923" spans="1:13" x14ac:dyDescent="0.3">
      <c r="A923" s="220"/>
      <c r="B923" s="55"/>
      <c r="C923" s="55"/>
      <c r="D923" s="55"/>
      <c r="E923" s="176"/>
      <c r="F923" s="55"/>
      <c r="J923" s="240"/>
    </row>
    <row r="924" spans="1:13" x14ac:dyDescent="0.3">
      <c r="A924" s="220"/>
      <c r="B924" s="55"/>
      <c r="C924" s="55"/>
      <c r="D924" s="55"/>
      <c r="E924" s="176"/>
      <c r="F924" s="55"/>
      <c r="J924" s="240"/>
    </row>
    <row r="925" spans="1:13" x14ac:dyDescent="0.3">
      <c r="A925" s="220"/>
      <c r="B925" s="55"/>
      <c r="C925" s="55"/>
      <c r="D925" s="55"/>
      <c r="E925" s="176"/>
      <c r="F925" s="55"/>
      <c r="J925" s="240"/>
    </row>
    <row r="926" spans="1:13" x14ac:dyDescent="0.3">
      <c r="A926" s="220"/>
      <c r="B926" s="55"/>
      <c r="C926" s="55"/>
      <c r="D926" s="55"/>
      <c r="E926" s="176"/>
      <c r="F926" s="55"/>
      <c r="J926" s="240"/>
    </row>
    <row r="927" spans="1:13" x14ac:dyDescent="0.3">
      <c r="A927" s="220"/>
      <c r="B927" s="55"/>
      <c r="C927" s="55"/>
      <c r="D927" s="55"/>
      <c r="E927" s="176"/>
      <c r="F927" s="55"/>
      <c r="J927" s="240"/>
    </row>
    <row r="928" spans="1:13" x14ac:dyDescent="0.3">
      <c r="A928" s="220"/>
      <c r="B928" s="55"/>
      <c r="C928" s="55"/>
      <c r="D928" s="55"/>
      <c r="E928" s="176"/>
      <c r="F928" s="55"/>
      <c r="J928" s="240"/>
    </row>
    <row r="929" spans="1:10" x14ac:dyDescent="0.3">
      <c r="A929" s="220"/>
      <c r="B929" s="55"/>
      <c r="C929" s="55"/>
      <c r="D929" s="55"/>
      <c r="E929" s="176"/>
      <c r="F929" s="55"/>
      <c r="J929" s="240"/>
    </row>
    <row r="930" spans="1:10" x14ac:dyDescent="0.3">
      <c r="A930" s="220"/>
      <c r="B930" s="55"/>
      <c r="C930" s="55"/>
      <c r="D930" s="55"/>
      <c r="E930" s="176"/>
      <c r="F930" s="55"/>
      <c r="J930" s="240"/>
    </row>
    <row r="931" spans="1:10" x14ac:dyDescent="0.3">
      <c r="A931" s="220"/>
      <c r="B931" s="55"/>
      <c r="C931" s="55"/>
      <c r="D931" s="55"/>
      <c r="E931" s="176"/>
      <c r="F931" s="55"/>
      <c r="J931" s="240"/>
    </row>
    <row r="932" spans="1:10" x14ac:dyDescent="0.3">
      <c r="A932" s="220"/>
      <c r="B932" s="55"/>
      <c r="C932" s="55"/>
      <c r="D932" s="55"/>
      <c r="E932" s="176"/>
      <c r="F932" s="55"/>
      <c r="J932" s="240"/>
    </row>
    <row r="933" spans="1:10" x14ac:dyDescent="0.3">
      <c r="A933" s="220"/>
      <c r="B933" s="55"/>
      <c r="C933" s="55"/>
      <c r="D933" s="55"/>
      <c r="E933" s="176"/>
      <c r="F933" s="55"/>
      <c r="J933" s="241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4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I1076"/>
  <sheetViews>
    <sheetView zoomScaleNormal="100" workbookViewId="0">
      <selection activeCell="P14" sqref="P14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28" t="s">
        <v>212</v>
      </c>
      <c r="B1" s="328"/>
      <c r="C1" s="328"/>
      <c r="D1" s="328"/>
    </row>
    <row r="2" spans="1:35" x14ac:dyDescent="0.3">
      <c r="A2" s="328"/>
      <c r="B2" s="328"/>
      <c r="C2" s="328"/>
      <c r="D2" s="328"/>
    </row>
    <row r="3" spans="1:35" ht="15" thickBot="1" x14ac:dyDescent="0.35">
      <c r="A3" s="197" t="s">
        <v>47</v>
      </c>
      <c r="B3" s="195">
        <v>500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75">
        <f>PMT((B7/B4),(B4*B5),(-B3))</f>
        <v>6.6396763528114526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G7" s="244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29"/>
      <c r="I10" s="329"/>
      <c r="J10" s="329"/>
      <c r="K10" s="329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H11" s="268" t="s">
        <v>161</v>
      </c>
      <c r="I11" s="206" t="s">
        <v>152</v>
      </c>
      <c r="J11" s="206" t="s">
        <v>157</v>
      </c>
      <c r="K11" s="347" t="s">
        <v>211</v>
      </c>
      <c r="L11" s="345" t="s">
        <v>157</v>
      </c>
      <c r="M11" s="346"/>
      <c r="O11" s="337" t="s">
        <v>146</v>
      </c>
      <c r="P11" s="339">
        <v>42.5</v>
      </c>
      <c r="Q11" s="339">
        <v>41.02</v>
      </c>
      <c r="R11" s="339">
        <v>37.6</v>
      </c>
      <c r="S11" s="339">
        <v>33.880000000000003</v>
      </c>
      <c r="T11" s="339">
        <v>29.83</v>
      </c>
      <c r="U11" s="339">
        <v>25.43</v>
      </c>
      <c r="V11" s="339">
        <v>20.63</v>
      </c>
      <c r="W11" s="339">
        <v>15.41</v>
      </c>
      <c r="X11" s="339">
        <v>9.73</v>
      </c>
      <c r="Y11" s="339">
        <v>3.54</v>
      </c>
      <c r="Z11" s="338"/>
      <c r="AA11" s="338"/>
      <c r="AB11" s="338"/>
      <c r="AC11" s="338"/>
      <c r="AD11" s="338"/>
      <c r="AE11" s="338"/>
      <c r="AF11" s="338"/>
      <c r="AG11" s="338"/>
      <c r="AH11" s="338"/>
      <c r="AI11" s="338"/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H12" s="5" t="s">
        <v>155</v>
      </c>
      <c r="I12" s="277">
        <v>500</v>
      </c>
      <c r="J12" s="340">
        <v>259.57249999999999</v>
      </c>
      <c r="K12" s="342">
        <f>SUM(K13:K322)</f>
        <v>1</v>
      </c>
      <c r="L12" s="344">
        <f>SUM(L13:L629)</f>
        <v>127.21000000000001</v>
      </c>
      <c r="M12" s="193"/>
      <c r="O12" s="337" t="s">
        <v>152</v>
      </c>
      <c r="P12" s="338">
        <v>0</v>
      </c>
      <c r="Q12" s="338">
        <v>38.65</v>
      </c>
      <c r="R12" s="338">
        <v>42.07</v>
      </c>
      <c r="S12" s="338">
        <v>45.8</v>
      </c>
      <c r="T12" s="338">
        <v>49.86</v>
      </c>
      <c r="U12" s="338">
        <v>54.26</v>
      </c>
      <c r="V12" s="338">
        <v>59.05</v>
      </c>
      <c r="W12" s="338">
        <v>64.28</v>
      </c>
      <c r="X12" s="338">
        <v>69.98</v>
      </c>
      <c r="Y12" s="338">
        <v>76.05</v>
      </c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H13" s="8">
        <v>1</v>
      </c>
      <c r="I13" s="243">
        <v>0</v>
      </c>
      <c r="J13" s="341">
        <v>42.500399999999999</v>
      </c>
      <c r="K13" s="285">
        <v>1</v>
      </c>
      <c r="L13" s="237">
        <v>28.33</v>
      </c>
      <c r="M13" s="193"/>
      <c r="O13" s="314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H14" s="8">
        <v>2</v>
      </c>
      <c r="I14" s="243">
        <v>38.65</v>
      </c>
      <c r="J14" s="341">
        <v>41.017299999999999</v>
      </c>
      <c r="K14" s="285"/>
      <c r="L14" s="237">
        <v>41.88</v>
      </c>
      <c r="M14" s="193"/>
      <c r="O14" s="345" t="s">
        <v>146</v>
      </c>
      <c r="P14" s="339">
        <v>28.33</v>
      </c>
      <c r="Q14" s="339">
        <v>41.88</v>
      </c>
      <c r="R14" s="339">
        <v>36.64</v>
      </c>
      <c r="S14" s="339">
        <v>17.41</v>
      </c>
      <c r="T14" s="339">
        <v>2.95</v>
      </c>
      <c r="U14" s="338"/>
      <c r="V14" s="338"/>
      <c r="W14" s="338"/>
      <c r="X14" s="338"/>
      <c r="Y14" s="338"/>
      <c r="Z14" s="338"/>
      <c r="AA14" s="338"/>
      <c r="AB14" s="338"/>
      <c r="AC14" s="338"/>
      <c r="AD14" s="338"/>
      <c r="AE14" s="338"/>
      <c r="AF14" s="338"/>
      <c r="AG14" s="338"/>
      <c r="AH14" s="338"/>
      <c r="AI14" s="338"/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H15" s="8">
        <v>3</v>
      </c>
      <c r="I15" s="243">
        <v>42.07</v>
      </c>
      <c r="J15" s="341">
        <v>37.600700000000003</v>
      </c>
      <c r="K15" s="285"/>
      <c r="L15" s="237">
        <v>36.64</v>
      </c>
      <c r="M15" s="193"/>
      <c r="O15" s="345" t="s">
        <v>152</v>
      </c>
      <c r="P15" s="338">
        <v>1</v>
      </c>
      <c r="Q15" s="338">
        <v>0</v>
      </c>
      <c r="R15" s="338">
        <v>0</v>
      </c>
      <c r="S15" s="338">
        <v>0</v>
      </c>
      <c r="T15" s="338">
        <v>0</v>
      </c>
      <c r="U15" s="338">
        <v>0</v>
      </c>
      <c r="V15" s="338">
        <v>0</v>
      </c>
      <c r="W15" s="338">
        <v>0</v>
      </c>
      <c r="X15" s="338">
        <v>0</v>
      </c>
      <c r="Y15" s="338">
        <v>0</v>
      </c>
      <c r="Z15" s="338"/>
      <c r="AA15" s="338"/>
      <c r="AB15" s="338"/>
      <c r="AC15" s="338"/>
      <c r="AD15" s="338"/>
      <c r="AE15" s="338"/>
      <c r="AF15" s="338"/>
      <c r="AG15" s="338"/>
      <c r="AH15" s="338"/>
      <c r="AI15" s="338"/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H16" s="8">
        <v>4</v>
      </c>
      <c r="I16" s="243">
        <v>45.8</v>
      </c>
      <c r="J16" s="341">
        <v>33.881900000000002</v>
      </c>
      <c r="K16" s="285"/>
      <c r="L16" s="237">
        <v>17.41</v>
      </c>
      <c r="M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>
        <v>0</v>
      </c>
      <c r="F17" s="214">
        <v>500</v>
      </c>
      <c r="H17" s="8">
        <v>5</v>
      </c>
      <c r="I17" s="243">
        <v>49.86</v>
      </c>
      <c r="J17" s="341">
        <v>29.8337</v>
      </c>
      <c r="K17" s="285"/>
      <c r="L17" s="237">
        <v>2.95</v>
      </c>
      <c r="M17" s="193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H18" s="8">
        <v>6</v>
      </c>
      <c r="I18" s="243">
        <v>54.26</v>
      </c>
      <c r="J18" s="341">
        <v>25.426100000000002</v>
      </c>
      <c r="K18" s="285"/>
      <c r="L18" s="237"/>
      <c r="M18" s="193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H19" s="8">
        <v>7</v>
      </c>
      <c r="I19" s="243">
        <v>59.05</v>
      </c>
      <c r="J19" s="341">
        <v>20.630500000000001</v>
      </c>
      <c r="K19" s="285"/>
      <c r="L19" s="237"/>
      <c r="M19" s="193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H20" s="8">
        <v>8</v>
      </c>
      <c r="I20" s="243">
        <v>64.28</v>
      </c>
      <c r="J20" s="341">
        <v>15.4107</v>
      </c>
      <c r="K20" s="285"/>
      <c r="L20" s="237"/>
      <c r="M20" s="193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>
        <v>0</v>
      </c>
      <c r="F21" s="214">
        <v>500</v>
      </c>
      <c r="H21" s="8">
        <v>9</v>
      </c>
      <c r="I21" s="243">
        <v>69.98</v>
      </c>
      <c r="J21" s="341">
        <v>9.7273999999999994</v>
      </c>
      <c r="K21" s="285"/>
      <c r="L21" s="237"/>
      <c r="M21" s="193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H22" s="8">
        <v>10</v>
      </c>
      <c r="I22" s="243">
        <v>76.05</v>
      </c>
      <c r="J22" s="341">
        <v>3.5438000000000001</v>
      </c>
      <c r="K22" s="285"/>
      <c r="L22" s="237"/>
      <c r="M22" s="193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3"/>
      <c r="J23" s="285"/>
      <c r="K23" s="285"/>
      <c r="L23" s="237"/>
      <c r="M23" s="193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0">IF($B$5="","",IF(ROW(A14)&gt;$B$5+$B$8,"",ROW(A14)))</f>
        <v/>
      </c>
      <c r="H24" s="8"/>
      <c r="I24" s="243"/>
      <c r="J24" s="285"/>
      <c r="K24" s="285"/>
      <c r="L24" s="237"/>
      <c r="M24" s="193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>
        <v>0</v>
      </c>
      <c r="F25" s="214">
        <v>496.9</v>
      </c>
      <c r="G25" t="str">
        <f t="shared" si="0"/>
        <v/>
      </c>
      <c r="H25" s="8"/>
      <c r="I25" s="243"/>
      <c r="J25" s="285"/>
      <c r="K25" s="285"/>
      <c r="L25" s="237"/>
      <c r="M25" s="193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0"/>
        <v/>
      </c>
      <c r="H26" s="8"/>
      <c r="I26" s="237"/>
      <c r="J26" s="285"/>
      <c r="K26" s="285"/>
      <c r="L26" s="237"/>
      <c r="M26" s="193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0"/>
        <v/>
      </c>
      <c r="H27" s="8"/>
      <c r="I27" s="237"/>
      <c r="J27" s="285"/>
      <c r="K27" s="285"/>
      <c r="L27" s="237"/>
      <c r="M27" s="193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0"/>
        <v/>
      </c>
      <c r="H28" s="8"/>
      <c r="I28" s="237"/>
      <c r="J28" s="285"/>
      <c r="K28" s="285"/>
      <c r="L28" s="237"/>
      <c r="M28" s="193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0"/>
        <v/>
      </c>
      <c r="H29" s="8"/>
      <c r="I29" s="237"/>
      <c r="J29" s="285"/>
      <c r="K29" s="285"/>
      <c r="L29" s="237"/>
      <c r="M29" s="193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0"/>
        <v/>
      </c>
      <c r="H30" s="8"/>
      <c r="I30" s="237"/>
      <c r="J30" s="285"/>
      <c r="K30" s="285"/>
      <c r="L30" s="237"/>
      <c r="M30" s="193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0"/>
        <v/>
      </c>
      <c r="H31" s="8"/>
      <c r="I31" s="237"/>
      <c r="J31" s="285"/>
      <c r="K31" s="285"/>
      <c r="L31" s="237"/>
      <c r="M31" s="193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0"/>
        <v/>
      </c>
      <c r="H32" s="8"/>
      <c r="I32" s="237"/>
      <c r="J32" s="285"/>
      <c r="K32" s="285"/>
      <c r="L32" s="237"/>
      <c r="M32" s="19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0"/>
        <v/>
      </c>
      <c r="H33" s="8"/>
      <c r="I33" s="237"/>
      <c r="J33" s="285"/>
      <c r="K33" s="285"/>
      <c r="L33" s="237"/>
      <c r="M33" s="19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0"/>
        <v/>
      </c>
      <c r="H34" s="8"/>
      <c r="I34" s="237"/>
      <c r="J34" s="285"/>
      <c r="K34" s="285"/>
      <c r="L34" s="237"/>
      <c r="M34" s="19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0"/>
        <v/>
      </c>
      <c r="H35" s="8"/>
      <c r="I35" s="237"/>
      <c r="J35" s="285"/>
      <c r="K35" s="285"/>
      <c r="L35" s="237"/>
      <c r="M35" s="19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0"/>
        <v/>
      </c>
      <c r="H36" s="8"/>
      <c r="I36" s="237"/>
      <c r="J36" s="285"/>
      <c r="K36" s="285"/>
      <c r="L36" s="237"/>
      <c r="M36" s="19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0"/>
        <v/>
      </c>
      <c r="H37" s="8"/>
      <c r="I37" s="237"/>
      <c r="J37" s="285"/>
      <c r="K37" s="285"/>
      <c r="L37" s="237"/>
      <c r="M37" s="19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0"/>
        <v/>
      </c>
      <c r="H38" s="8"/>
      <c r="I38" s="237"/>
      <c r="J38" s="285"/>
      <c r="K38" s="285"/>
      <c r="L38" s="237"/>
      <c r="M38" s="19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0"/>
        <v/>
      </c>
      <c r="H39" s="8"/>
      <c r="I39" s="237"/>
      <c r="J39" s="285"/>
      <c r="K39" s="285"/>
      <c r="L39" s="237"/>
      <c r="M39" s="19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0"/>
        <v/>
      </c>
      <c r="H40" s="8"/>
      <c r="I40" s="237"/>
      <c r="J40" s="285"/>
      <c r="K40" s="285"/>
      <c r="L40" s="237"/>
      <c r="M40" s="19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0"/>
        <v/>
      </c>
      <c r="H41" s="8"/>
      <c r="I41" s="237"/>
      <c r="J41" s="285"/>
      <c r="K41" s="285"/>
      <c r="L41" s="237"/>
      <c r="M41" s="19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0</v>
      </c>
      <c r="F42" s="214">
        <v>440.76</v>
      </c>
      <c r="G42" t="str">
        <f t="shared" si="0"/>
        <v/>
      </c>
      <c r="H42" s="8"/>
      <c r="I42" s="237"/>
      <c r="J42" s="285"/>
      <c r="K42" s="285"/>
      <c r="L42" s="237"/>
      <c r="M42" s="193"/>
    </row>
    <row r="43" spans="1:13" x14ac:dyDescent="0.3">
      <c r="A43" s="209">
        <v>31</v>
      </c>
      <c r="B43" s="213">
        <v>6.64</v>
      </c>
      <c r="C43" s="193">
        <v>3.1220500000000002</v>
      </c>
      <c r="D43" s="215">
        <v>3.52</v>
      </c>
      <c r="E43" s="205">
        <v>0</v>
      </c>
      <c r="F43" s="214">
        <v>437.24</v>
      </c>
      <c r="G43" t="str">
        <f t="shared" si="0"/>
        <v/>
      </c>
      <c r="H43" s="8"/>
      <c r="I43" s="237"/>
      <c r="J43" s="285"/>
      <c r="K43" s="285"/>
      <c r="L43" s="237"/>
      <c r="M43" s="193"/>
    </row>
    <row r="44" spans="1:13" x14ac:dyDescent="0.3">
      <c r="A44" s="209">
        <v>32</v>
      </c>
      <c r="B44" s="213">
        <v>6.64</v>
      </c>
      <c r="C44" s="193">
        <v>3.097116666666667</v>
      </c>
      <c r="D44" s="215">
        <v>3.54</v>
      </c>
      <c r="E44" s="205">
        <v>0</v>
      </c>
      <c r="F44" s="214">
        <v>433.7</v>
      </c>
      <c r="G44" t="str">
        <f t="shared" si="0"/>
        <v/>
      </c>
      <c r="H44" s="8"/>
      <c r="I44" s="237"/>
      <c r="J44" s="285"/>
      <c r="K44" s="285"/>
      <c r="L44" s="237"/>
      <c r="M44" s="193"/>
    </row>
    <row r="45" spans="1:13" x14ac:dyDescent="0.3">
      <c r="A45" s="209">
        <v>33</v>
      </c>
      <c r="B45" s="213">
        <v>6.64</v>
      </c>
      <c r="C45" s="193">
        <v>3.0720416666666668</v>
      </c>
      <c r="D45" s="215">
        <v>3.57</v>
      </c>
      <c r="E45" s="205">
        <v>0</v>
      </c>
      <c r="F45" s="214">
        <v>430.13</v>
      </c>
      <c r="G45" t="str">
        <f t="shared" si="0"/>
        <v/>
      </c>
      <c r="H45" s="8"/>
      <c r="I45" s="237"/>
      <c r="J45" s="285"/>
      <c r="K45" s="285"/>
      <c r="L45" s="237"/>
      <c r="M45" s="193"/>
    </row>
    <row r="46" spans="1:13" x14ac:dyDescent="0.3">
      <c r="A46" s="209">
        <v>34</v>
      </c>
      <c r="B46" s="213">
        <v>6.64</v>
      </c>
      <c r="C46" s="193">
        <v>3.0467541666666667</v>
      </c>
      <c r="D46" s="215">
        <v>3.59</v>
      </c>
      <c r="E46" s="205">
        <v>0</v>
      </c>
      <c r="F46" s="214">
        <v>426.54</v>
      </c>
      <c r="G46" t="str">
        <f t="shared" si="0"/>
        <v/>
      </c>
      <c r="H46" s="8"/>
      <c r="I46" s="237"/>
      <c r="J46" s="285"/>
      <c r="K46" s="285"/>
      <c r="L46" s="237"/>
      <c r="M46" s="193"/>
    </row>
    <row r="47" spans="1:13" x14ac:dyDescent="0.3">
      <c r="A47" s="209">
        <v>35</v>
      </c>
      <c r="B47" s="213">
        <v>6.64</v>
      </c>
      <c r="C47" s="193">
        <v>3.0213250000000005</v>
      </c>
      <c r="D47" s="215">
        <v>3.62</v>
      </c>
      <c r="E47" s="205">
        <v>0</v>
      </c>
      <c r="F47" s="214">
        <v>422.92</v>
      </c>
      <c r="G47" t="str">
        <f t="shared" si="0"/>
        <v/>
      </c>
      <c r="H47" s="8"/>
      <c r="I47" s="237"/>
      <c r="J47" s="285"/>
      <c r="K47" s="285"/>
      <c r="L47" s="237"/>
      <c r="M47" s="193"/>
    </row>
    <row r="48" spans="1:13" x14ac:dyDescent="0.3">
      <c r="A48" s="209">
        <v>36</v>
      </c>
      <c r="B48" s="213">
        <v>6.64</v>
      </c>
      <c r="C48" s="193">
        <v>2.9956833333333335</v>
      </c>
      <c r="D48" s="215">
        <v>3.64</v>
      </c>
      <c r="E48" s="205">
        <v>0</v>
      </c>
      <c r="F48" s="214">
        <v>419.28000000000003</v>
      </c>
      <c r="G48" s="229"/>
      <c r="H48" s="8"/>
      <c r="I48" s="237"/>
      <c r="J48" s="285"/>
      <c r="K48" s="285"/>
      <c r="L48" s="237"/>
      <c r="M48" s="193"/>
    </row>
    <row r="49" spans="1:13" x14ac:dyDescent="0.3">
      <c r="A49" s="209">
        <v>37</v>
      </c>
      <c r="B49" s="213">
        <v>6.64</v>
      </c>
      <c r="C49" s="193">
        <v>2.9699000000000004</v>
      </c>
      <c r="D49" s="215">
        <v>3.67</v>
      </c>
      <c r="E49" s="205">
        <v>0</v>
      </c>
      <c r="F49" s="214">
        <v>415.60999999999996</v>
      </c>
      <c r="H49" s="8"/>
      <c r="I49" s="237"/>
      <c r="J49" s="285"/>
      <c r="K49" s="285"/>
      <c r="L49" s="237"/>
      <c r="M49" s="193"/>
    </row>
    <row r="50" spans="1:13" x14ac:dyDescent="0.3">
      <c r="A50" s="209">
        <v>38</v>
      </c>
      <c r="B50" s="213">
        <v>6.64</v>
      </c>
      <c r="C50" s="193">
        <v>2.9439041666666665</v>
      </c>
      <c r="D50" s="215">
        <v>3.7</v>
      </c>
      <c r="E50" s="205">
        <v>0</v>
      </c>
      <c r="F50" s="214">
        <v>411.91</v>
      </c>
      <c r="G50" s="281"/>
      <c r="H50" s="8"/>
      <c r="I50" s="237"/>
      <c r="J50" s="285"/>
      <c r="K50" s="285"/>
      <c r="L50" s="237"/>
      <c r="M50" s="193"/>
    </row>
    <row r="51" spans="1:13" x14ac:dyDescent="0.3">
      <c r="A51" s="209">
        <v>39</v>
      </c>
      <c r="B51" s="213">
        <v>6.64</v>
      </c>
      <c r="C51" s="193">
        <v>2.9176958333333336</v>
      </c>
      <c r="D51" s="215">
        <v>3.72</v>
      </c>
      <c r="E51" s="205">
        <v>0</v>
      </c>
      <c r="F51" s="214">
        <v>408.19</v>
      </c>
      <c r="G51" s="229"/>
      <c r="H51" s="8"/>
      <c r="I51" s="237"/>
      <c r="J51" s="285"/>
      <c r="K51" s="285"/>
      <c r="L51" s="237"/>
      <c r="M51" s="193"/>
    </row>
    <row r="52" spans="1:13" x14ac:dyDescent="0.3">
      <c r="A52" s="209">
        <v>40</v>
      </c>
      <c r="B52" s="213">
        <v>6.64</v>
      </c>
      <c r="C52" s="193">
        <v>2.8913458333333337</v>
      </c>
      <c r="D52" s="215">
        <v>3.75</v>
      </c>
      <c r="E52" s="205">
        <v>0</v>
      </c>
      <c r="F52" s="214">
        <v>404.44</v>
      </c>
      <c r="G52" s="229"/>
      <c r="H52" s="8"/>
      <c r="I52" s="237"/>
      <c r="J52" s="285"/>
      <c r="K52" s="285"/>
      <c r="L52" s="237"/>
      <c r="M52" s="193"/>
    </row>
    <row r="53" spans="1:13" x14ac:dyDescent="0.3">
      <c r="A53" s="209">
        <v>41</v>
      </c>
      <c r="B53" s="213">
        <v>6.64</v>
      </c>
      <c r="C53" s="213">
        <v>2.8647833333333335</v>
      </c>
      <c r="D53" s="215">
        <v>3.77</v>
      </c>
      <c r="E53" s="205">
        <v>0</v>
      </c>
      <c r="F53" s="214">
        <v>400.67</v>
      </c>
      <c r="G53" t="str">
        <f t="shared" si="0"/>
        <v/>
      </c>
      <c r="H53" s="8"/>
      <c r="I53" s="237"/>
      <c r="J53" s="285"/>
      <c r="K53" s="285"/>
      <c r="L53" s="237"/>
      <c r="M53" s="193"/>
    </row>
    <row r="54" spans="1:13" x14ac:dyDescent="0.3">
      <c r="A54" s="209">
        <v>42</v>
      </c>
      <c r="B54" s="213">
        <v>6.64</v>
      </c>
      <c r="C54" s="213">
        <v>2.8380791666666672</v>
      </c>
      <c r="D54" s="215">
        <v>3.8</v>
      </c>
      <c r="E54" s="205">
        <v>0</v>
      </c>
      <c r="F54" s="214">
        <v>396.87</v>
      </c>
      <c r="G54" t="str">
        <f t="shared" si="0"/>
        <v/>
      </c>
      <c r="H54" s="8"/>
      <c r="I54" s="237"/>
      <c r="J54" s="285"/>
      <c r="K54" s="285"/>
      <c r="L54" s="237"/>
      <c r="M54" s="193"/>
    </row>
    <row r="55" spans="1:13" x14ac:dyDescent="0.3">
      <c r="A55" s="209">
        <v>43</v>
      </c>
      <c r="B55" s="213">
        <v>6.64</v>
      </c>
      <c r="C55" s="213">
        <v>2.8111625000000005</v>
      </c>
      <c r="D55" s="215">
        <v>3.83</v>
      </c>
      <c r="E55" s="205">
        <v>0</v>
      </c>
      <c r="F55" s="214">
        <v>393.04</v>
      </c>
      <c r="G55" t="str">
        <f t="shared" si="0"/>
        <v/>
      </c>
      <c r="H55" s="8"/>
      <c r="I55" s="237"/>
      <c r="J55" s="285"/>
      <c r="K55" s="285"/>
      <c r="L55" s="237"/>
      <c r="M55" s="193"/>
    </row>
    <row r="56" spans="1:13" x14ac:dyDescent="0.3">
      <c r="A56" s="209">
        <v>44</v>
      </c>
      <c r="B56" s="213">
        <v>6.64</v>
      </c>
      <c r="C56" s="193">
        <v>2.7840333333333338</v>
      </c>
      <c r="D56" s="215">
        <v>3.86</v>
      </c>
      <c r="E56" s="205">
        <v>0</v>
      </c>
      <c r="F56" s="214">
        <v>389.18</v>
      </c>
      <c r="G56" t="str">
        <f t="shared" si="0"/>
        <v/>
      </c>
      <c r="H56" s="8"/>
      <c r="I56" s="237"/>
      <c r="J56" s="285"/>
      <c r="K56" s="285"/>
      <c r="L56" s="237"/>
      <c r="M56" s="193"/>
    </row>
    <row r="57" spans="1:13" x14ac:dyDescent="0.3">
      <c r="A57" s="209">
        <v>45</v>
      </c>
      <c r="B57" s="213">
        <v>6.64</v>
      </c>
      <c r="C57" s="193">
        <v>2.7566916666666668</v>
      </c>
      <c r="D57" s="215">
        <v>3.88</v>
      </c>
      <c r="E57" s="205">
        <v>0</v>
      </c>
      <c r="F57" s="214">
        <v>385.3</v>
      </c>
      <c r="G57" t="str">
        <f t="shared" si="0"/>
        <v/>
      </c>
      <c r="H57" s="8"/>
      <c r="I57" s="237"/>
      <c r="J57" s="285"/>
      <c r="K57" s="285"/>
      <c r="L57" s="237"/>
      <c r="M57" s="193"/>
    </row>
    <row r="58" spans="1:13" x14ac:dyDescent="0.3">
      <c r="A58" s="209">
        <v>46</v>
      </c>
      <c r="B58" s="213">
        <v>6.64</v>
      </c>
      <c r="C58" s="193">
        <v>2.7292083333333337</v>
      </c>
      <c r="D58" s="215">
        <v>3.91</v>
      </c>
      <c r="E58" s="205">
        <v>0</v>
      </c>
      <c r="F58" s="214">
        <v>381.39</v>
      </c>
      <c r="G58" t="str">
        <f t="shared" si="0"/>
        <v/>
      </c>
      <c r="H58" s="8"/>
      <c r="I58" s="237"/>
      <c r="J58" s="285"/>
      <c r="K58" s="285"/>
      <c r="L58" s="237"/>
      <c r="M58" s="193"/>
    </row>
    <row r="59" spans="1:13" x14ac:dyDescent="0.3">
      <c r="A59" s="209">
        <v>47</v>
      </c>
      <c r="B59" s="213">
        <v>6.64</v>
      </c>
      <c r="C59" s="193">
        <v>2.7015125000000002</v>
      </c>
      <c r="D59" s="215">
        <v>3.94</v>
      </c>
      <c r="E59" s="205">
        <v>0</v>
      </c>
      <c r="F59" s="214">
        <v>377.45</v>
      </c>
      <c r="G59" t="str">
        <f t="shared" si="0"/>
        <v/>
      </c>
      <c r="H59" s="8"/>
      <c r="I59" s="237"/>
      <c r="J59" s="285"/>
      <c r="K59" s="285"/>
      <c r="L59" s="237"/>
      <c r="M59" s="193"/>
    </row>
    <row r="60" spans="1:13" x14ac:dyDescent="0.3">
      <c r="A60" s="209">
        <v>48</v>
      </c>
      <c r="B60" s="213">
        <v>6.64</v>
      </c>
      <c r="C60" s="193">
        <v>2.6736041666666668</v>
      </c>
      <c r="D60" s="215">
        <v>3.97</v>
      </c>
      <c r="E60" s="205">
        <v>0</v>
      </c>
      <c r="F60" s="214">
        <v>373.47999999999996</v>
      </c>
      <c r="G60" t="str">
        <f t="shared" si="0"/>
        <v/>
      </c>
      <c r="H60" s="8"/>
      <c r="I60" s="237"/>
      <c r="J60" s="285"/>
      <c r="K60" s="285"/>
      <c r="L60" s="237"/>
      <c r="M60" s="193"/>
    </row>
    <row r="61" spans="1:13" x14ac:dyDescent="0.3">
      <c r="A61" s="209">
        <v>49</v>
      </c>
      <c r="B61" s="213">
        <v>6.64</v>
      </c>
      <c r="C61" s="193">
        <v>2.6454833333333334</v>
      </c>
      <c r="D61" s="215">
        <v>3.99</v>
      </c>
      <c r="E61" s="205">
        <v>0</v>
      </c>
      <c r="F61" s="214">
        <v>369.49</v>
      </c>
      <c r="G61" t="str">
        <f t="shared" si="0"/>
        <v/>
      </c>
      <c r="H61" s="8"/>
      <c r="I61" s="237"/>
      <c r="J61" s="285"/>
      <c r="K61" s="285"/>
      <c r="L61" s="237"/>
      <c r="M61" s="193"/>
    </row>
    <row r="62" spans="1:13" x14ac:dyDescent="0.3">
      <c r="A62" s="209">
        <v>50</v>
      </c>
      <c r="B62" s="213">
        <v>6.64</v>
      </c>
      <c r="C62" s="193">
        <v>2.6172208333333336</v>
      </c>
      <c r="D62" s="215">
        <v>4.0199999999999996</v>
      </c>
      <c r="E62" s="205">
        <v>0</v>
      </c>
      <c r="F62" s="214">
        <v>365.47</v>
      </c>
      <c r="G62" t="str">
        <f t="shared" si="0"/>
        <v/>
      </c>
      <c r="H62" s="8"/>
      <c r="I62" s="237"/>
      <c r="J62" s="285"/>
      <c r="K62" s="285"/>
      <c r="L62" s="237"/>
      <c r="M62" s="193"/>
    </row>
    <row r="63" spans="1:13" x14ac:dyDescent="0.3">
      <c r="A63" s="209">
        <v>51</v>
      </c>
      <c r="B63" s="213">
        <v>6.64</v>
      </c>
      <c r="C63" s="193">
        <v>2.5887458333333337</v>
      </c>
      <c r="D63" s="215">
        <v>4.05</v>
      </c>
      <c r="E63" s="205">
        <v>0</v>
      </c>
      <c r="F63" s="214">
        <v>361.42</v>
      </c>
      <c r="G63" t="str">
        <f t="shared" si="0"/>
        <v/>
      </c>
      <c r="H63" s="8"/>
      <c r="I63" s="237"/>
      <c r="J63" s="285"/>
      <c r="K63" s="285"/>
      <c r="L63" s="237"/>
      <c r="M63" s="193"/>
    </row>
    <row r="64" spans="1:13" x14ac:dyDescent="0.3">
      <c r="A64" s="209">
        <v>52</v>
      </c>
      <c r="B64" s="213">
        <v>6.64</v>
      </c>
      <c r="C64" s="193">
        <v>2.5600583333333335</v>
      </c>
      <c r="D64" s="215">
        <v>4.08</v>
      </c>
      <c r="E64" s="205">
        <v>0</v>
      </c>
      <c r="F64" s="214">
        <v>357.34000000000003</v>
      </c>
      <c r="G64" t="str">
        <f t="shared" si="0"/>
        <v/>
      </c>
      <c r="H64" s="8"/>
      <c r="I64" s="237"/>
      <c r="J64" s="285"/>
      <c r="K64" s="285"/>
      <c r="L64" s="237"/>
      <c r="M64" s="193"/>
    </row>
    <row r="65" spans="1:13" x14ac:dyDescent="0.3">
      <c r="A65" s="209">
        <v>53</v>
      </c>
      <c r="B65" s="213">
        <v>6.64</v>
      </c>
      <c r="C65" s="193">
        <v>2.5311583333333338</v>
      </c>
      <c r="D65" s="215">
        <v>4.1100000000000003</v>
      </c>
      <c r="E65" s="205">
        <v>0</v>
      </c>
      <c r="F65" s="214">
        <v>353.22999999999996</v>
      </c>
      <c r="G65" t="str">
        <f t="shared" si="0"/>
        <v/>
      </c>
      <c r="H65" s="8"/>
      <c r="I65" s="237"/>
      <c r="J65" s="285"/>
      <c r="K65" s="285"/>
      <c r="L65" s="237"/>
      <c r="M65" s="193"/>
    </row>
    <row r="66" spans="1:13" x14ac:dyDescent="0.3">
      <c r="A66" s="209">
        <v>54</v>
      </c>
      <c r="B66" s="213">
        <v>6.64</v>
      </c>
      <c r="C66" s="213">
        <v>2.5020458333333333</v>
      </c>
      <c r="D66" s="215">
        <v>4.1399999999999997</v>
      </c>
      <c r="E66" s="205">
        <v>0</v>
      </c>
      <c r="F66" s="214">
        <v>349.09000000000003</v>
      </c>
      <c r="G66" t="str">
        <f t="shared" si="0"/>
        <v/>
      </c>
      <c r="H66" s="8"/>
      <c r="I66" s="237"/>
      <c r="J66" s="285"/>
      <c r="K66" s="285"/>
      <c r="L66" s="237"/>
      <c r="M66" s="193"/>
    </row>
    <row r="67" spans="1:13" x14ac:dyDescent="0.3">
      <c r="A67" s="209">
        <v>55</v>
      </c>
      <c r="B67" s="213">
        <v>6.64</v>
      </c>
      <c r="C67" s="213">
        <v>2.4727208333333337</v>
      </c>
      <c r="D67" s="215">
        <v>4.17</v>
      </c>
      <c r="E67" s="205">
        <v>0</v>
      </c>
      <c r="F67" s="214">
        <v>344.91999999999996</v>
      </c>
      <c r="G67" t="str">
        <f t="shared" si="0"/>
        <v/>
      </c>
      <c r="H67" s="8"/>
      <c r="I67" s="237"/>
      <c r="J67" s="285"/>
      <c r="K67" s="285"/>
      <c r="L67" s="237"/>
      <c r="M67" s="193"/>
    </row>
    <row r="68" spans="1:13" x14ac:dyDescent="0.3">
      <c r="A68" s="209">
        <v>56</v>
      </c>
      <c r="B68" s="213">
        <v>6.64</v>
      </c>
      <c r="C68" s="193">
        <v>2.4431833333333333</v>
      </c>
      <c r="D68" s="215">
        <v>4.2</v>
      </c>
      <c r="E68" s="205">
        <v>0</v>
      </c>
      <c r="F68" s="214">
        <v>340.72</v>
      </c>
      <c r="G68" t="str">
        <f t="shared" si="0"/>
        <v/>
      </c>
      <c r="H68" s="8"/>
      <c r="I68" s="237"/>
      <c r="J68" s="285"/>
      <c r="K68" s="285"/>
      <c r="L68" s="237"/>
      <c r="M68" s="193"/>
    </row>
    <row r="69" spans="1:13" x14ac:dyDescent="0.3">
      <c r="A69" s="209">
        <v>57</v>
      </c>
      <c r="B69" s="213">
        <v>6.64</v>
      </c>
      <c r="C69" s="193">
        <v>2.4134333333333338</v>
      </c>
      <c r="D69" s="215">
        <v>4.2300000000000004</v>
      </c>
      <c r="E69" s="205">
        <v>0</v>
      </c>
      <c r="F69" s="214">
        <v>336.49</v>
      </c>
      <c r="G69" t="str">
        <f t="shared" si="0"/>
        <v/>
      </c>
      <c r="H69" s="8"/>
      <c r="I69" s="237"/>
      <c r="J69" s="285"/>
      <c r="K69" s="285"/>
      <c r="L69" s="237"/>
      <c r="M69" s="193"/>
    </row>
    <row r="70" spans="1:13" x14ac:dyDescent="0.3">
      <c r="A70" s="209">
        <v>58</v>
      </c>
      <c r="B70" s="213">
        <v>6.64</v>
      </c>
      <c r="C70" s="193">
        <v>2.3834708333333334</v>
      </c>
      <c r="D70" s="215">
        <v>4.26</v>
      </c>
      <c r="E70" s="205">
        <v>0</v>
      </c>
      <c r="F70" s="214">
        <v>332.23</v>
      </c>
      <c r="G70" t="str">
        <f t="shared" si="0"/>
        <v/>
      </c>
      <c r="H70" s="8"/>
      <c r="I70" s="237"/>
      <c r="J70" s="285"/>
      <c r="K70" s="285"/>
      <c r="L70" s="237"/>
      <c r="M70" s="193"/>
    </row>
    <row r="71" spans="1:13" x14ac:dyDescent="0.3">
      <c r="A71" s="209">
        <v>59</v>
      </c>
      <c r="B71" s="213">
        <v>6.64</v>
      </c>
      <c r="C71" s="193">
        <v>2.3532958333333336</v>
      </c>
      <c r="D71" s="215">
        <v>4.29</v>
      </c>
      <c r="E71" s="205">
        <v>0</v>
      </c>
      <c r="F71" s="214">
        <v>327.94</v>
      </c>
      <c r="G71" t="str">
        <f t="shared" si="0"/>
        <v/>
      </c>
      <c r="H71" s="8"/>
      <c r="I71" s="237"/>
      <c r="J71" s="285"/>
      <c r="K71" s="285"/>
      <c r="L71" s="237"/>
      <c r="M71" s="193"/>
    </row>
    <row r="72" spans="1:13" x14ac:dyDescent="0.3">
      <c r="A72" s="209">
        <v>60</v>
      </c>
      <c r="B72" s="213">
        <v>6.64</v>
      </c>
      <c r="C72" s="193">
        <v>2.3229083333333334</v>
      </c>
      <c r="D72" s="215">
        <v>4.32</v>
      </c>
      <c r="E72" s="205">
        <v>0</v>
      </c>
      <c r="F72" s="214">
        <v>323.62</v>
      </c>
      <c r="G72" t="str">
        <f t="shared" si="0"/>
        <v/>
      </c>
      <c r="H72" s="8"/>
      <c r="I72" s="237"/>
      <c r="J72" s="285"/>
      <c r="K72" s="285"/>
      <c r="L72" s="237"/>
      <c r="M72" s="193"/>
    </row>
    <row r="73" spans="1:13" x14ac:dyDescent="0.3">
      <c r="A73" s="209">
        <v>61</v>
      </c>
      <c r="B73" s="213">
        <v>6.64</v>
      </c>
      <c r="C73" s="193">
        <v>2.2923083333333336</v>
      </c>
      <c r="D73" s="215">
        <v>4.3499999999999996</v>
      </c>
      <c r="E73" s="205">
        <v>0</v>
      </c>
      <c r="F73" s="214">
        <v>319.27</v>
      </c>
      <c r="G73" t="str">
        <f t="shared" si="0"/>
        <v/>
      </c>
      <c r="H73" s="8"/>
      <c r="I73" s="237"/>
      <c r="J73" s="285"/>
      <c r="K73" s="285"/>
      <c r="L73" s="237"/>
      <c r="M73" s="193"/>
    </row>
    <row r="74" spans="1:13" x14ac:dyDescent="0.3">
      <c r="A74" s="209">
        <v>62</v>
      </c>
      <c r="B74" s="213">
        <v>6.64</v>
      </c>
      <c r="C74" s="193">
        <v>2.2614958333333335</v>
      </c>
      <c r="D74" s="215">
        <v>4.38</v>
      </c>
      <c r="E74" s="205">
        <v>0</v>
      </c>
      <c r="F74" s="214">
        <v>314.89</v>
      </c>
      <c r="G74" t="str">
        <f t="shared" si="0"/>
        <v/>
      </c>
      <c r="H74" s="8"/>
      <c r="I74" s="237"/>
      <c r="J74" s="285"/>
      <c r="K74" s="285"/>
      <c r="L74" s="237"/>
      <c r="M74" s="193"/>
    </row>
    <row r="75" spans="1:13" x14ac:dyDescent="0.3">
      <c r="A75" s="209">
        <v>63</v>
      </c>
      <c r="B75" s="213">
        <v>6.64</v>
      </c>
      <c r="C75" s="193">
        <v>2.2304708333333334</v>
      </c>
      <c r="D75" s="215">
        <v>4.41</v>
      </c>
      <c r="E75" s="205">
        <v>0</v>
      </c>
      <c r="F75" s="214">
        <v>310.47999999999996</v>
      </c>
      <c r="G75" t="str">
        <f t="shared" si="0"/>
        <v/>
      </c>
      <c r="H75" s="8"/>
      <c r="I75" s="237"/>
      <c r="J75" s="285"/>
      <c r="K75" s="285"/>
      <c r="L75" s="237"/>
      <c r="M75" s="193"/>
    </row>
    <row r="76" spans="1:13" x14ac:dyDescent="0.3">
      <c r="A76" s="209">
        <v>64</v>
      </c>
      <c r="B76" s="213">
        <v>6.64</v>
      </c>
      <c r="C76" s="193">
        <v>2.1992333333333334</v>
      </c>
      <c r="D76" s="215">
        <v>4.4400000000000004</v>
      </c>
      <c r="E76" s="205">
        <v>0</v>
      </c>
      <c r="F76" s="214">
        <v>306.04000000000002</v>
      </c>
      <c r="G76" t="str">
        <f t="shared" si="0"/>
        <v/>
      </c>
      <c r="H76" s="8"/>
      <c r="I76" s="237"/>
      <c r="J76" s="285"/>
      <c r="K76" s="285"/>
      <c r="L76" s="237"/>
      <c r="M76" s="193"/>
    </row>
    <row r="77" spans="1:13" x14ac:dyDescent="0.3">
      <c r="A77" s="209">
        <v>65</v>
      </c>
      <c r="B77" s="213">
        <v>6.64</v>
      </c>
      <c r="C77" s="193">
        <v>2.1677833333333338</v>
      </c>
      <c r="D77" s="215">
        <v>4.47</v>
      </c>
      <c r="E77" s="205">
        <v>0</v>
      </c>
      <c r="F77" s="214">
        <v>301.57</v>
      </c>
      <c r="G77" t="str">
        <f t="shared" si="0"/>
        <v/>
      </c>
      <c r="H77" s="8"/>
      <c r="I77" s="237"/>
      <c r="J77" s="285"/>
      <c r="K77" s="285"/>
      <c r="L77" s="237"/>
      <c r="M77" s="193"/>
    </row>
    <row r="78" spans="1:13" x14ac:dyDescent="0.3">
      <c r="A78" s="209">
        <v>66</v>
      </c>
      <c r="B78" s="213">
        <v>6.64</v>
      </c>
      <c r="C78" s="193">
        <v>2.1361208333333335</v>
      </c>
      <c r="D78" s="215">
        <v>4.5</v>
      </c>
      <c r="E78" s="205">
        <v>0</v>
      </c>
      <c r="F78" s="214">
        <v>297.07</v>
      </c>
      <c r="G78" t="str">
        <f t="shared" si="0"/>
        <v/>
      </c>
      <c r="H78" s="8"/>
      <c r="I78" s="237"/>
      <c r="J78" s="285"/>
      <c r="K78" s="285"/>
      <c r="L78" s="237"/>
      <c r="M78" s="193"/>
    </row>
    <row r="79" spans="1:13" x14ac:dyDescent="0.3">
      <c r="A79" s="209">
        <v>67</v>
      </c>
      <c r="B79" s="213">
        <v>6.64</v>
      </c>
      <c r="C79" s="193">
        <v>2.1042458333333336</v>
      </c>
      <c r="D79" s="215">
        <v>4.54</v>
      </c>
      <c r="E79" s="205">
        <v>0</v>
      </c>
      <c r="F79" s="214">
        <v>292.52999999999997</v>
      </c>
      <c r="G79" t="str">
        <f t="shared" si="0"/>
        <v/>
      </c>
      <c r="H79" s="8"/>
      <c r="I79" s="237"/>
      <c r="J79" s="285"/>
      <c r="K79" s="285"/>
      <c r="L79" s="237"/>
      <c r="M79" s="193"/>
    </row>
    <row r="80" spans="1:13" x14ac:dyDescent="0.3">
      <c r="A80" s="209">
        <v>68</v>
      </c>
      <c r="B80" s="213">
        <v>6.64</v>
      </c>
      <c r="C80" s="193">
        <v>2.0720874999999999</v>
      </c>
      <c r="D80" s="215">
        <v>4.57</v>
      </c>
      <c r="E80" s="205">
        <v>0</v>
      </c>
      <c r="F80" s="214">
        <v>287.95999999999998</v>
      </c>
      <c r="G80" t="str">
        <f t="shared" si="0"/>
        <v/>
      </c>
      <c r="H80" s="8"/>
      <c r="I80" s="237"/>
      <c r="J80" s="285"/>
      <c r="K80" s="285"/>
      <c r="L80" s="237"/>
      <c r="M80" s="193"/>
    </row>
    <row r="81" spans="1:13" x14ac:dyDescent="0.3">
      <c r="A81" s="209">
        <v>69</v>
      </c>
      <c r="B81" s="213">
        <v>6.64</v>
      </c>
      <c r="C81" s="193">
        <v>2.0397166666666666</v>
      </c>
      <c r="D81" s="215">
        <v>4.5999999999999996</v>
      </c>
      <c r="E81" s="205">
        <v>0</v>
      </c>
      <c r="F81" s="214">
        <v>283.35999999999996</v>
      </c>
      <c r="G81" t="str">
        <f t="shared" si="0"/>
        <v/>
      </c>
      <c r="H81" s="8"/>
      <c r="I81" s="237"/>
      <c r="J81" s="285"/>
      <c r="K81" s="285"/>
      <c r="L81" s="237"/>
      <c r="M81" s="193"/>
    </row>
    <row r="82" spans="1:13" x14ac:dyDescent="0.3">
      <c r="A82" s="209">
        <v>70</v>
      </c>
      <c r="B82" s="213">
        <v>6.64</v>
      </c>
      <c r="C82" s="193">
        <v>2.007133333333333</v>
      </c>
      <c r="D82" s="215">
        <v>4.63</v>
      </c>
      <c r="E82" s="205">
        <v>0</v>
      </c>
      <c r="F82" s="214">
        <v>278.73</v>
      </c>
      <c r="G82" t="str">
        <f t="shared" si="0"/>
        <v/>
      </c>
      <c r="H82" s="8"/>
      <c r="I82" s="237"/>
      <c r="J82" s="285"/>
      <c r="K82" s="285"/>
      <c r="L82" s="237"/>
      <c r="M82" s="193"/>
    </row>
    <row r="83" spans="1:13" x14ac:dyDescent="0.3">
      <c r="A83" s="209">
        <v>71</v>
      </c>
      <c r="B83" s="213">
        <v>6.64</v>
      </c>
      <c r="C83" s="193">
        <v>1.9743375000000003</v>
      </c>
      <c r="D83" s="215">
        <v>4.67</v>
      </c>
      <c r="E83" s="205">
        <v>0</v>
      </c>
      <c r="F83" s="214">
        <v>274.06</v>
      </c>
      <c r="G83" t="str">
        <f t="shared" si="0"/>
        <v/>
      </c>
      <c r="H83" s="8"/>
      <c r="I83" s="237"/>
      <c r="J83" s="285"/>
      <c r="K83" s="285"/>
      <c r="L83" s="237"/>
      <c r="M83" s="193"/>
    </row>
    <row r="84" spans="1:13" x14ac:dyDescent="0.3">
      <c r="A84" s="209">
        <v>72</v>
      </c>
      <c r="B84" s="213">
        <v>6.64</v>
      </c>
      <c r="C84" s="193">
        <v>1.9412583333333335</v>
      </c>
      <c r="D84" s="215">
        <v>4.7</v>
      </c>
      <c r="E84" s="205">
        <v>0</v>
      </c>
      <c r="F84" s="214">
        <v>269.36</v>
      </c>
      <c r="G84" t="str">
        <f t="shared" si="0"/>
        <v/>
      </c>
      <c r="H84" s="8"/>
      <c r="I84" s="237"/>
      <c r="J84" s="285"/>
      <c r="K84" s="285"/>
      <c r="L84" s="237"/>
      <c r="M84" s="193"/>
    </row>
    <row r="85" spans="1:13" x14ac:dyDescent="0.3">
      <c r="A85" s="209">
        <v>73</v>
      </c>
      <c r="B85" s="213">
        <v>6.64</v>
      </c>
      <c r="C85" s="193">
        <v>1.9079666666666668</v>
      </c>
      <c r="D85" s="215">
        <v>4.7300000000000004</v>
      </c>
      <c r="E85" s="205">
        <v>0</v>
      </c>
      <c r="F85" s="214">
        <v>264.63</v>
      </c>
      <c r="G85" t="str">
        <f t="shared" si="0"/>
        <v/>
      </c>
      <c r="H85" s="8"/>
      <c r="I85" s="237"/>
      <c r="J85" s="285"/>
      <c r="K85" s="285"/>
      <c r="L85" s="237"/>
      <c r="M85" s="193"/>
    </row>
    <row r="86" spans="1:13" x14ac:dyDescent="0.3">
      <c r="A86" s="209">
        <v>74</v>
      </c>
      <c r="B86" s="213">
        <v>6.64</v>
      </c>
      <c r="C86" s="193">
        <v>1.8744625000000001</v>
      </c>
      <c r="D86" s="215">
        <v>4.7699999999999996</v>
      </c>
      <c r="E86" s="205">
        <v>0</v>
      </c>
      <c r="F86" s="214">
        <v>259.86</v>
      </c>
      <c r="G86" t="str">
        <f t="shared" si="0"/>
        <v/>
      </c>
      <c r="H86" s="8"/>
      <c r="I86" s="237"/>
      <c r="J86" s="285"/>
      <c r="K86" s="285"/>
      <c r="L86" s="237"/>
      <c r="M86" s="193"/>
    </row>
    <row r="87" spans="1:13" x14ac:dyDescent="0.3">
      <c r="A87" s="209">
        <v>75</v>
      </c>
      <c r="B87" s="213">
        <v>6.64</v>
      </c>
      <c r="C87" s="193">
        <v>1.8406750000000003</v>
      </c>
      <c r="D87" s="215">
        <v>4.8</v>
      </c>
      <c r="E87" s="205">
        <v>0</v>
      </c>
      <c r="F87" s="214">
        <v>255.06</v>
      </c>
      <c r="G87" t="str">
        <f t="shared" si="0"/>
        <v/>
      </c>
      <c r="H87" s="8"/>
      <c r="I87" s="237"/>
      <c r="J87" s="285"/>
      <c r="K87" s="285"/>
      <c r="L87" s="237"/>
      <c r="M87" s="193"/>
    </row>
    <row r="88" spans="1:13" x14ac:dyDescent="0.3">
      <c r="A88" s="209">
        <v>76</v>
      </c>
      <c r="B88" s="213">
        <v>6.64</v>
      </c>
      <c r="C88" s="193">
        <v>1.8066750000000003</v>
      </c>
      <c r="D88" s="215">
        <v>4.83</v>
      </c>
      <c r="E88" s="205">
        <v>0</v>
      </c>
      <c r="F88" s="214">
        <v>250.23</v>
      </c>
      <c r="G88" t="str">
        <f t="shared" ref="G88:G125" si="1">IF($B$5="","",IF(ROW(A78)&gt;$B$5+$B$8,"",ROW(A78)))</f>
        <v/>
      </c>
      <c r="H88" s="8"/>
      <c r="I88" s="237"/>
      <c r="J88" s="285"/>
      <c r="K88" s="285"/>
      <c r="L88" s="237"/>
      <c r="M88" s="193"/>
    </row>
    <row r="89" spans="1:13" x14ac:dyDescent="0.3">
      <c r="A89" s="209">
        <v>77</v>
      </c>
      <c r="B89" s="213">
        <v>6.64</v>
      </c>
      <c r="C89" s="193">
        <v>1.7724625000000001</v>
      </c>
      <c r="D89" s="215">
        <v>4.87</v>
      </c>
      <c r="E89" s="205">
        <v>0</v>
      </c>
      <c r="F89" s="214">
        <v>245.35999999999999</v>
      </c>
      <c r="G89" t="str">
        <f t="shared" si="1"/>
        <v/>
      </c>
      <c r="H89" s="8"/>
      <c r="I89" s="237"/>
      <c r="J89" s="285"/>
      <c r="K89" s="285"/>
      <c r="L89" s="237"/>
      <c r="M89" s="193"/>
    </row>
    <row r="90" spans="1:13" x14ac:dyDescent="0.3">
      <c r="A90" s="209">
        <v>78</v>
      </c>
      <c r="B90" s="213">
        <v>6.64</v>
      </c>
      <c r="C90" s="193">
        <v>1.7379666666666667</v>
      </c>
      <c r="D90" s="215">
        <v>4.9000000000000004</v>
      </c>
      <c r="E90" s="205">
        <v>0</v>
      </c>
      <c r="F90" s="214">
        <v>240.46</v>
      </c>
      <c r="G90" t="str">
        <f t="shared" si="1"/>
        <v/>
      </c>
      <c r="H90" s="8"/>
      <c r="I90" s="237"/>
      <c r="J90" s="285"/>
      <c r="K90" s="285"/>
      <c r="L90" s="237"/>
      <c r="M90" s="193"/>
    </row>
    <row r="91" spans="1:13" x14ac:dyDescent="0.3">
      <c r="A91" s="209">
        <v>79</v>
      </c>
      <c r="B91" s="213">
        <v>6.64</v>
      </c>
      <c r="C91" s="193">
        <v>1.7032583333333335</v>
      </c>
      <c r="D91" s="215">
        <v>4.9400000000000004</v>
      </c>
      <c r="E91" s="205">
        <v>0</v>
      </c>
      <c r="F91" s="214">
        <v>235.52</v>
      </c>
      <c r="G91" t="str">
        <f t="shared" si="1"/>
        <v/>
      </c>
      <c r="H91" s="8"/>
      <c r="I91" s="237"/>
      <c r="J91" s="285"/>
      <c r="K91" s="285"/>
      <c r="L91" s="237"/>
      <c r="M91" s="193"/>
    </row>
    <row r="92" spans="1:13" x14ac:dyDescent="0.3">
      <c r="A92" s="209">
        <v>80</v>
      </c>
      <c r="B92" s="213">
        <v>6.64</v>
      </c>
      <c r="C92" s="193">
        <v>1.6682666666666668</v>
      </c>
      <c r="D92" s="215">
        <v>4.97</v>
      </c>
      <c r="E92" s="205">
        <v>0</v>
      </c>
      <c r="F92" s="214">
        <v>230.55</v>
      </c>
      <c r="G92" t="str">
        <f t="shared" si="1"/>
        <v/>
      </c>
      <c r="H92" s="8"/>
      <c r="I92" s="237"/>
      <c r="J92" s="285"/>
      <c r="K92" s="285"/>
      <c r="L92" s="237"/>
      <c r="M92" s="193"/>
    </row>
    <row r="93" spans="1:13" x14ac:dyDescent="0.3">
      <c r="A93" s="209">
        <v>81</v>
      </c>
      <c r="B93" s="213">
        <v>6.64</v>
      </c>
      <c r="C93" s="193">
        <v>1.6330625000000003</v>
      </c>
      <c r="D93" s="215">
        <v>5.01</v>
      </c>
      <c r="E93" s="205">
        <v>0</v>
      </c>
      <c r="F93" s="214">
        <v>225.54000000000002</v>
      </c>
      <c r="G93" t="str">
        <f t="shared" si="1"/>
        <v/>
      </c>
      <c r="H93" s="8"/>
      <c r="I93" s="237"/>
      <c r="J93" s="285"/>
      <c r="K93" s="285"/>
      <c r="L93" s="237"/>
      <c r="M93" s="193"/>
    </row>
    <row r="94" spans="1:13" x14ac:dyDescent="0.3">
      <c r="A94" s="209">
        <v>82</v>
      </c>
      <c r="B94" s="213">
        <v>6.64</v>
      </c>
      <c r="C94" s="193">
        <v>1.5975750000000002</v>
      </c>
      <c r="D94" s="215">
        <v>5.04</v>
      </c>
      <c r="E94" s="205">
        <v>0</v>
      </c>
      <c r="F94" s="214">
        <v>220.5</v>
      </c>
      <c r="G94" t="str">
        <f t="shared" si="1"/>
        <v/>
      </c>
      <c r="H94" s="8"/>
      <c r="I94" s="237"/>
      <c r="J94" s="285"/>
      <c r="K94" s="285"/>
      <c r="L94" s="237"/>
      <c r="M94" s="193"/>
    </row>
    <row r="95" spans="1:13" x14ac:dyDescent="0.3">
      <c r="A95" s="209">
        <v>83</v>
      </c>
      <c r="B95" s="213">
        <v>6.64</v>
      </c>
      <c r="C95" s="193">
        <v>1.5618750000000001</v>
      </c>
      <c r="D95" s="215">
        <v>5.08</v>
      </c>
      <c r="E95" s="205">
        <v>0</v>
      </c>
      <c r="F95" s="214">
        <v>215.42</v>
      </c>
      <c r="G95" t="str">
        <f t="shared" si="1"/>
        <v/>
      </c>
      <c r="H95" s="8"/>
      <c r="I95" s="237"/>
      <c r="J95" s="285"/>
      <c r="K95" s="285"/>
      <c r="L95" s="237"/>
      <c r="M95" s="193"/>
    </row>
    <row r="96" spans="1:13" x14ac:dyDescent="0.3">
      <c r="A96" s="209">
        <v>84</v>
      </c>
      <c r="B96" s="213">
        <v>6.64</v>
      </c>
      <c r="C96" s="193">
        <v>1.5258916666666666</v>
      </c>
      <c r="D96" s="215">
        <v>5.1100000000000003</v>
      </c>
      <c r="E96" s="205">
        <v>0</v>
      </c>
      <c r="F96" s="214">
        <v>210.30999999999997</v>
      </c>
      <c r="G96" t="str">
        <f t="shared" si="1"/>
        <v/>
      </c>
      <c r="H96" s="8"/>
      <c r="I96" s="237"/>
      <c r="J96" s="285"/>
      <c r="K96" s="285"/>
      <c r="L96" s="237"/>
      <c r="M96" s="193"/>
    </row>
    <row r="97" spans="1:13" x14ac:dyDescent="0.3">
      <c r="A97" s="209">
        <v>85</v>
      </c>
      <c r="B97" s="213">
        <v>6.64</v>
      </c>
      <c r="C97" s="193">
        <v>1.4896958333333332</v>
      </c>
      <c r="D97" s="215">
        <v>5.15</v>
      </c>
      <c r="E97" s="205">
        <v>0</v>
      </c>
      <c r="F97" s="214">
        <v>205.16</v>
      </c>
      <c r="G97" t="str">
        <f t="shared" si="1"/>
        <v/>
      </c>
      <c r="H97" s="8"/>
      <c r="I97" s="237"/>
      <c r="J97" s="285"/>
      <c r="K97" s="285"/>
      <c r="L97" s="237"/>
      <c r="M97" s="193"/>
    </row>
    <row r="98" spans="1:13" x14ac:dyDescent="0.3">
      <c r="A98" s="209">
        <v>86</v>
      </c>
      <c r="B98" s="213">
        <v>6.64</v>
      </c>
      <c r="C98" s="193">
        <v>1.4532166666666668</v>
      </c>
      <c r="D98" s="215">
        <v>5.19</v>
      </c>
      <c r="E98" s="205">
        <v>0</v>
      </c>
      <c r="F98" s="214">
        <v>199.97</v>
      </c>
      <c r="G98" t="str">
        <f t="shared" si="1"/>
        <v/>
      </c>
      <c r="H98" s="8"/>
      <c r="I98" s="237"/>
      <c r="J98" s="285"/>
      <c r="K98" s="285"/>
      <c r="L98" s="237"/>
      <c r="M98" s="193"/>
    </row>
    <row r="99" spans="1:13" x14ac:dyDescent="0.3">
      <c r="A99" s="209">
        <v>87</v>
      </c>
      <c r="B99" s="213">
        <v>6.64</v>
      </c>
      <c r="C99" s="193">
        <v>1.4164541666666668</v>
      </c>
      <c r="D99" s="215">
        <v>5.22</v>
      </c>
      <c r="E99" s="205">
        <v>0</v>
      </c>
      <c r="F99" s="214">
        <v>194.75</v>
      </c>
      <c r="G99" t="str">
        <f t="shared" si="1"/>
        <v/>
      </c>
      <c r="H99" s="8"/>
      <c r="I99" s="237"/>
      <c r="J99" s="285"/>
      <c r="K99" s="285"/>
      <c r="L99" s="237"/>
      <c r="M99" s="193"/>
    </row>
    <row r="100" spans="1:13" x14ac:dyDescent="0.3">
      <c r="A100" s="209">
        <v>88</v>
      </c>
      <c r="B100" s="213">
        <v>6.64</v>
      </c>
      <c r="C100" s="193">
        <v>1.3794791666666668</v>
      </c>
      <c r="D100" s="215">
        <v>5.26</v>
      </c>
      <c r="E100" s="205">
        <v>0</v>
      </c>
      <c r="F100" s="214">
        <v>189.49</v>
      </c>
      <c r="G100" t="str">
        <f t="shared" si="1"/>
        <v/>
      </c>
      <c r="H100" s="8"/>
      <c r="I100" s="237"/>
      <c r="J100" s="285"/>
      <c r="K100" s="285"/>
      <c r="L100" s="237"/>
      <c r="M100" s="193"/>
    </row>
    <row r="101" spans="1:13" x14ac:dyDescent="0.3">
      <c r="A101" s="209">
        <v>89</v>
      </c>
      <c r="B101" s="213">
        <v>6.64</v>
      </c>
      <c r="C101" s="193">
        <v>1.3422208333333334</v>
      </c>
      <c r="D101" s="215">
        <v>5.3</v>
      </c>
      <c r="E101" s="205">
        <v>0</v>
      </c>
      <c r="F101" s="214">
        <v>184.19</v>
      </c>
      <c r="G101" t="str">
        <f t="shared" si="1"/>
        <v/>
      </c>
      <c r="H101" s="8"/>
      <c r="I101" s="237"/>
      <c r="J101" s="285"/>
      <c r="K101" s="285"/>
      <c r="L101" s="237"/>
      <c r="M101" s="193"/>
    </row>
    <row r="102" spans="1:13" x14ac:dyDescent="0.3">
      <c r="A102" s="209">
        <v>90</v>
      </c>
      <c r="B102" s="213">
        <v>6.64</v>
      </c>
      <c r="C102" s="193">
        <v>1.3046791666666668</v>
      </c>
      <c r="D102" s="215">
        <v>5.34</v>
      </c>
      <c r="E102" s="205">
        <v>0</v>
      </c>
      <c r="F102" s="214">
        <v>178.85</v>
      </c>
      <c r="G102" t="str">
        <f t="shared" si="1"/>
        <v/>
      </c>
      <c r="H102" s="8"/>
      <c r="I102" s="237"/>
      <c r="J102" s="285"/>
      <c r="K102" s="285"/>
      <c r="L102" s="237"/>
      <c r="M102" s="193"/>
    </row>
    <row r="103" spans="1:13" x14ac:dyDescent="0.3">
      <c r="A103" s="209">
        <v>91</v>
      </c>
      <c r="B103" s="213">
        <v>6.64</v>
      </c>
      <c r="C103" s="193">
        <v>1.2668541666666666</v>
      </c>
      <c r="D103" s="215">
        <v>5.37</v>
      </c>
      <c r="E103" s="205">
        <v>0</v>
      </c>
      <c r="F103" s="214">
        <v>173.48</v>
      </c>
      <c r="G103" t="str">
        <f t="shared" si="1"/>
        <v/>
      </c>
      <c r="H103" s="8"/>
      <c r="I103" s="237"/>
      <c r="J103" s="285"/>
      <c r="K103" s="285"/>
      <c r="L103" s="237"/>
      <c r="M103" s="193"/>
    </row>
    <row r="104" spans="1:13" x14ac:dyDescent="0.3">
      <c r="A104" s="209">
        <v>92</v>
      </c>
      <c r="B104" s="213">
        <v>6.64</v>
      </c>
      <c r="C104" s="193">
        <v>1.2288166666666667</v>
      </c>
      <c r="D104" s="215">
        <v>5.41</v>
      </c>
      <c r="E104" s="205">
        <v>0</v>
      </c>
      <c r="F104" s="214">
        <v>168.07</v>
      </c>
      <c r="G104" t="str">
        <f t="shared" si="1"/>
        <v/>
      </c>
      <c r="H104" s="8"/>
      <c r="I104" s="237"/>
      <c r="J104" s="285"/>
      <c r="K104" s="285"/>
      <c r="L104" s="237"/>
      <c r="M104" s="193"/>
    </row>
    <row r="105" spans="1:13" x14ac:dyDescent="0.3">
      <c r="A105" s="209">
        <v>93</v>
      </c>
      <c r="B105" s="213">
        <v>6.64</v>
      </c>
      <c r="C105" s="193">
        <v>1.1904958333333333</v>
      </c>
      <c r="D105" s="215">
        <v>5.45</v>
      </c>
      <c r="E105" s="205">
        <v>0</v>
      </c>
      <c r="F105" s="214">
        <v>162.62</v>
      </c>
      <c r="G105" t="str">
        <f t="shared" si="1"/>
        <v/>
      </c>
      <c r="H105" s="8"/>
      <c r="I105" s="237"/>
      <c r="J105" s="285"/>
      <c r="K105" s="285"/>
      <c r="L105" s="237"/>
      <c r="M105" s="193"/>
    </row>
    <row r="106" spans="1:13" x14ac:dyDescent="0.3">
      <c r="A106" s="209">
        <v>94</v>
      </c>
      <c r="B106" s="213">
        <v>6.64</v>
      </c>
      <c r="C106" s="193">
        <v>1.1518916666666668</v>
      </c>
      <c r="D106" s="215">
        <v>5.49</v>
      </c>
      <c r="E106" s="205">
        <v>0</v>
      </c>
      <c r="F106" s="214">
        <v>157.13</v>
      </c>
      <c r="G106" t="str">
        <f t="shared" si="1"/>
        <v/>
      </c>
      <c r="H106" s="8"/>
      <c r="I106" s="237"/>
      <c r="J106" s="285"/>
      <c r="K106" s="285"/>
      <c r="L106" s="237"/>
      <c r="M106" s="193"/>
    </row>
    <row r="107" spans="1:13" x14ac:dyDescent="0.3">
      <c r="A107" s="209">
        <v>95</v>
      </c>
      <c r="B107" s="213">
        <v>6.64</v>
      </c>
      <c r="C107" s="193">
        <v>1.1130041666666668</v>
      </c>
      <c r="D107" s="215">
        <v>5.53</v>
      </c>
      <c r="E107" s="205">
        <v>0</v>
      </c>
      <c r="F107" s="214">
        <v>151.6</v>
      </c>
      <c r="G107" t="str">
        <f t="shared" si="1"/>
        <v/>
      </c>
      <c r="H107" s="8"/>
      <c r="I107" s="237"/>
      <c r="J107" s="285"/>
      <c r="K107" s="285"/>
      <c r="L107" s="237"/>
      <c r="M107" s="193"/>
    </row>
    <row r="108" spans="1:13" x14ac:dyDescent="0.3">
      <c r="A108" s="209">
        <v>96</v>
      </c>
      <c r="B108" s="213">
        <v>6.64</v>
      </c>
      <c r="C108" s="193">
        <v>1.0738333333333334</v>
      </c>
      <c r="D108" s="215">
        <v>5.57</v>
      </c>
      <c r="E108" s="205">
        <v>0</v>
      </c>
      <c r="F108" s="214">
        <v>146.03</v>
      </c>
      <c r="G108" t="str">
        <f t="shared" si="1"/>
        <v/>
      </c>
      <c r="H108" s="8"/>
      <c r="I108" s="237"/>
      <c r="J108" s="285"/>
      <c r="K108" s="285"/>
      <c r="L108" s="237"/>
      <c r="M108" s="193"/>
    </row>
    <row r="109" spans="1:13" x14ac:dyDescent="0.3">
      <c r="A109" s="209">
        <v>97</v>
      </c>
      <c r="B109" s="213">
        <v>6.64</v>
      </c>
      <c r="C109" s="193">
        <v>1.0343791666666668</v>
      </c>
      <c r="D109" s="215">
        <v>5.61</v>
      </c>
      <c r="E109" s="205">
        <v>0</v>
      </c>
      <c r="F109" s="214">
        <v>140.41999999999999</v>
      </c>
      <c r="G109" t="str">
        <f t="shared" si="1"/>
        <v/>
      </c>
      <c r="H109" s="8"/>
      <c r="I109" s="237"/>
      <c r="J109" s="285"/>
      <c r="K109" s="285"/>
      <c r="L109" s="237"/>
      <c r="M109" s="193"/>
    </row>
    <row r="110" spans="1:13" x14ac:dyDescent="0.3">
      <c r="A110" s="209">
        <v>98</v>
      </c>
      <c r="B110" s="213">
        <v>6.64</v>
      </c>
      <c r="C110" s="193">
        <v>0.99464166666666665</v>
      </c>
      <c r="D110" s="215">
        <v>5.65</v>
      </c>
      <c r="E110" s="205">
        <v>0</v>
      </c>
      <c r="F110" s="214">
        <v>134.76999999999998</v>
      </c>
      <c r="G110" t="str">
        <f t="shared" si="1"/>
        <v/>
      </c>
      <c r="H110" s="8"/>
      <c r="I110" s="237"/>
      <c r="J110" s="285"/>
      <c r="K110" s="285"/>
      <c r="L110" s="237"/>
      <c r="M110" s="193"/>
    </row>
    <row r="111" spans="1:13" x14ac:dyDescent="0.3">
      <c r="A111" s="209">
        <v>99</v>
      </c>
      <c r="B111" s="213">
        <v>6.64</v>
      </c>
      <c r="C111" s="193">
        <v>0.95462083333333325</v>
      </c>
      <c r="D111" s="215">
        <v>5.69</v>
      </c>
      <c r="E111" s="205">
        <v>0</v>
      </c>
      <c r="F111" s="214">
        <v>129.08000000000001</v>
      </c>
      <c r="G111" t="str">
        <f t="shared" si="1"/>
        <v/>
      </c>
      <c r="H111" s="8"/>
      <c r="I111" s="237"/>
      <c r="J111" s="285"/>
      <c r="K111" s="285"/>
      <c r="L111" s="237"/>
      <c r="M111" s="193"/>
    </row>
    <row r="112" spans="1:13" x14ac:dyDescent="0.3">
      <c r="A112" s="209">
        <v>100</v>
      </c>
      <c r="B112" s="213">
        <v>6.64</v>
      </c>
      <c r="C112" s="193">
        <v>0.91431666666666678</v>
      </c>
      <c r="D112" s="215">
        <v>5.73</v>
      </c>
      <c r="E112" s="205">
        <v>0</v>
      </c>
      <c r="F112" s="214">
        <v>123.35000000000001</v>
      </c>
      <c r="G112" t="str">
        <f t="shared" si="1"/>
        <v/>
      </c>
      <c r="H112" s="8"/>
      <c r="I112" s="237"/>
      <c r="J112" s="285"/>
      <c r="K112" s="285"/>
      <c r="L112" s="237"/>
      <c r="M112" s="193"/>
    </row>
    <row r="113" spans="1:13" x14ac:dyDescent="0.3">
      <c r="A113" s="209">
        <v>101</v>
      </c>
      <c r="B113" s="213">
        <v>6.64</v>
      </c>
      <c r="C113" s="193">
        <v>0.87372916666666678</v>
      </c>
      <c r="D113" s="215">
        <v>5.77</v>
      </c>
      <c r="E113" s="205">
        <v>0</v>
      </c>
      <c r="F113" s="214">
        <v>117.58</v>
      </c>
      <c r="G113" t="str">
        <f t="shared" si="1"/>
        <v/>
      </c>
      <c r="H113" s="8"/>
      <c r="I113" s="237"/>
      <c r="J113" s="285"/>
      <c r="K113" s="285"/>
      <c r="L113" s="237"/>
      <c r="M113" s="193"/>
    </row>
    <row r="114" spans="1:13" x14ac:dyDescent="0.3">
      <c r="A114" s="209">
        <v>102</v>
      </c>
      <c r="B114" s="213">
        <v>6.64</v>
      </c>
      <c r="C114" s="193">
        <v>0.83285833333333337</v>
      </c>
      <c r="D114" s="215">
        <v>5.81</v>
      </c>
      <c r="E114" s="205">
        <v>0</v>
      </c>
      <c r="F114" s="214">
        <v>111.77</v>
      </c>
      <c r="H114" s="8"/>
      <c r="I114" s="237"/>
      <c r="J114" s="285"/>
      <c r="K114" s="285"/>
      <c r="L114" s="237"/>
      <c r="M114" s="193"/>
    </row>
    <row r="115" spans="1:13" x14ac:dyDescent="0.3">
      <c r="A115" s="209">
        <v>103</v>
      </c>
      <c r="B115" s="213">
        <v>6.64</v>
      </c>
      <c r="C115" s="193">
        <v>0.79170416666666665</v>
      </c>
      <c r="D115" s="215">
        <v>5.85</v>
      </c>
      <c r="E115" s="205">
        <v>0</v>
      </c>
      <c r="F115" s="214">
        <v>105.92</v>
      </c>
      <c r="H115" s="8"/>
      <c r="I115" s="237"/>
      <c r="J115" s="285"/>
      <c r="K115" s="285"/>
      <c r="L115" s="237"/>
      <c r="M115" s="193"/>
    </row>
    <row r="116" spans="1:13" x14ac:dyDescent="0.3">
      <c r="A116" s="209">
        <v>104</v>
      </c>
      <c r="B116" s="213">
        <v>6.64</v>
      </c>
      <c r="C116" s="193">
        <v>0.75026666666666675</v>
      </c>
      <c r="D116" s="215">
        <v>5.89</v>
      </c>
      <c r="E116" s="205">
        <v>0</v>
      </c>
      <c r="F116" s="214">
        <v>100.03</v>
      </c>
      <c r="H116" s="8"/>
      <c r="I116" s="237"/>
      <c r="J116" s="285"/>
      <c r="K116" s="285"/>
      <c r="L116" s="237"/>
      <c r="M116" s="193"/>
    </row>
    <row r="117" spans="1:13" x14ac:dyDescent="0.3">
      <c r="A117" s="209">
        <v>105</v>
      </c>
      <c r="B117" s="213">
        <v>6.64</v>
      </c>
      <c r="C117" s="193">
        <v>0.70854583333333343</v>
      </c>
      <c r="D117" s="215">
        <v>5.93</v>
      </c>
      <c r="E117" s="205">
        <v>0</v>
      </c>
      <c r="F117" s="214">
        <v>94.1</v>
      </c>
      <c r="H117" s="8"/>
      <c r="I117" s="237"/>
      <c r="J117" s="285"/>
      <c r="K117" s="285"/>
      <c r="L117" s="237"/>
      <c r="M117" s="193"/>
    </row>
    <row r="118" spans="1:13" x14ac:dyDescent="0.3">
      <c r="A118" s="209">
        <v>106</v>
      </c>
      <c r="B118" s="213">
        <v>6.64</v>
      </c>
      <c r="C118" s="193">
        <v>0.6665416666666667</v>
      </c>
      <c r="D118" s="215">
        <v>5.97</v>
      </c>
      <c r="E118" s="205">
        <v>0</v>
      </c>
      <c r="F118" s="214">
        <v>88.13</v>
      </c>
      <c r="H118" s="8"/>
      <c r="I118" s="237"/>
      <c r="J118" s="285"/>
      <c r="K118" s="285"/>
      <c r="L118" s="237"/>
      <c r="M118" s="193"/>
    </row>
    <row r="119" spans="1:13" x14ac:dyDescent="0.3">
      <c r="A119" s="209">
        <v>107</v>
      </c>
      <c r="B119" s="213">
        <v>6.64</v>
      </c>
      <c r="C119" s="193">
        <v>0.62425416666666667</v>
      </c>
      <c r="D119" s="215">
        <v>6.02</v>
      </c>
      <c r="E119" s="205">
        <v>0</v>
      </c>
      <c r="F119" s="214">
        <v>82.11</v>
      </c>
      <c r="H119" s="8"/>
      <c r="I119" s="237"/>
      <c r="J119" s="285"/>
      <c r="K119" s="285"/>
      <c r="L119" s="237"/>
      <c r="M119" s="193"/>
    </row>
    <row r="120" spans="1:13" x14ac:dyDescent="0.3">
      <c r="A120" s="209">
        <v>108</v>
      </c>
      <c r="B120" s="213">
        <v>6.64</v>
      </c>
      <c r="C120" s="193">
        <v>0.58161250000000009</v>
      </c>
      <c r="D120" s="215">
        <v>6.06</v>
      </c>
      <c r="E120" s="205">
        <v>0</v>
      </c>
      <c r="F120" s="214">
        <v>76.05</v>
      </c>
      <c r="H120" s="8"/>
      <c r="I120" s="237"/>
      <c r="J120" s="285"/>
      <c r="K120" s="285"/>
      <c r="L120" s="237"/>
      <c r="M120" s="193"/>
    </row>
    <row r="121" spans="1:13" x14ac:dyDescent="0.3">
      <c r="A121" s="209">
        <v>109</v>
      </c>
      <c r="B121" s="213">
        <v>6.64</v>
      </c>
      <c r="C121" s="193">
        <v>0.53868749999999999</v>
      </c>
      <c r="D121" s="215">
        <v>6.1</v>
      </c>
      <c r="E121" s="205">
        <v>0</v>
      </c>
      <c r="F121" s="214">
        <v>69.95</v>
      </c>
      <c r="H121" s="8"/>
      <c r="I121" s="237"/>
      <c r="J121" s="285"/>
      <c r="K121" s="285"/>
      <c r="L121" s="237"/>
      <c r="M121" s="193"/>
    </row>
    <row r="122" spans="1:13" x14ac:dyDescent="0.3">
      <c r="A122" s="209">
        <v>110</v>
      </c>
      <c r="B122" s="213">
        <v>6.64</v>
      </c>
      <c r="C122" s="193">
        <v>0.49547916666666675</v>
      </c>
      <c r="D122" s="215">
        <v>6.14</v>
      </c>
      <c r="E122" s="205">
        <v>0</v>
      </c>
      <c r="F122" s="214">
        <v>63.81</v>
      </c>
      <c r="H122" s="8"/>
      <c r="I122" s="237"/>
      <c r="J122" s="285"/>
      <c r="K122" s="285"/>
      <c r="L122" s="237"/>
      <c r="M122" s="193"/>
    </row>
    <row r="123" spans="1:13" x14ac:dyDescent="0.3">
      <c r="A123" s="209">
        <v>111</v>
      </c>
      <c r="B123" s="213">
        <v>6.64</v>
      </c>
      <c r="C123" s="193">
        <v>0.45198750000000004</v>
      </c>
      <c r="D123" s="215">
        <v>6.19</v>
      </c>
      <c r="E123" s="205">
        <v>0</v>
      </c>
      <c r="F123" s="214">
        <v>57.620000000000005</v>
      </c>
      <c r="H123" s="8"/>
      <c r="I123" s="237"/>
      <c r="J123" s="285"/>
      <c r="K123" s="285"/>
      <c r="L123" s="237"/>
      <c r="M123" s="193"/>
    </row>
    <row r="124" spans="1:13" x14ac:dyDescent="0.3">
      <c r="A124" s="209">
        <v>112</v>
      </c>
      <c r="B124" s="213">
        <v>6.64</v>
      </c>
      <c r="C124" s="193">
        <v>0.40814166666666674</v>
      </c>
      <c r="D124" s="215">
        <v>6.23</v>
      </c>
      <c r="E124" s="205">
        <v>0</v>
      </c>
      <c r="F124" s="214">
        <v>51.39</v>
      </c>
      <c r="H124" s="8"/>
      <c r="I124" s="237"/>
      <c r="J124" s="285"/>
      <c r="K124" s="285"/>
      <c r="L124" s="237"/>
      <c r="M124" s="193"/>
    </row>
    <row r="125" spans="1:13" x14ac:dyDescent="0.3">
      <c r="A125" s="209">
        <v>113</v>
      </c>
      <c r="B125" s="213">
        <v>6.64</v>
      </c>
      <c r="C125" s="193">
        <v>0.36401250000000002</v>
      </c>
      <c r="D125" s="215">
        <v>6.28</v>
      </c>
      <c r="E125" s="205">
        <v>0</v>
      </c>
      <c r="F125" s="214">
        <v>45.11</v>
      </c>
      <c r="H125" s="8"/>
      <c r="I125" s="237"/>
      <c r="J125" s="285"/>
      <c r="K125" s="285"/>
      <c r="L125" s="237"/>
      <c r="M125" s="193"/>
    </row>
    <row r="126" spans="1:13" x14ac:dyDescent="0.3">
      <c r="A126" s="209">
        <v>114</v>
      </c>
      <c r="B126" s="213">
        <v>6.64</v>
      </c>
      <c r="C126" s="193">
        <v>0.3195291666666667</v>
      </c>
      <c r="D126" s="215">
        <v>6.32</v>
      </c>
      <c r="E126" s="205">
        <v>0</v>
      </c>
      <c r="F126" s="214">
        <v>38.79</v>
      </c>
      <c r="H126" s="8"/>
      <c r="I126" s="237"/>
      <c r="J126" s="285"/>
      <c r="K126" s="285"/>
      <c r="L126" s="237"/>
      <c r="M126" s="193"/>
    </row>
    <row r="127" spans="1:13" x14ac:dyDescent="0.3">
      <c r="A127" s="209">
        <v>115</v>
      </c>
      <c r="B127" s="213">
        <v>6.64</v>
      </c>
      <c r="C127" s="193">
        <v>0.27476250000000002</v>
      </c>
      <c r="D127" s="215">
        <v>6.36</v>
      </c>
      <c r="E127" s="205">
        <v>0</v>
      </c>
      <c r="F127" s="214">
        <v>32.43</v>
      </c>
      <c r="H127" s="8"/>
      <c r="I127" s="237"/>
      <c r="J127" s="285"/>
      <c r="K127" s="285"/>
      <c r="L127" s="237"/>
      <c r="M127" s="193"/>
    </row>
    <row r="128" spans="1:13" x14ac:dyDescent="0.3">
      <c r="A128" s="209">
        <v>116</v>
      </c>
      <c r="B128" s="213">
        <v>6.64</v>
      </c>
      <c r="C128" s="193">
        <v>0.22971250000000001</v>
      </c>
      <c r="D128" s="215">
        <v>6.41</v>
      </c>
      <c r="E128" s="205">
        <v>0</v>
      </c>
      <c r="F128" s="214">
        <v>26.02</v>
      </c>
      <c r="H128" s="8"/>
      <c r="I128" s="237"/>
      <c r="J128" s="285"/>
      <c r="K128" s="285"/>
      <c r="L128" s="237"/>
      <c r="M128" s="193"/>
    </row>
    <row r="129" spans="1:13" x14ac:dyDescent="0.3">
      <c r="A129" s="209">
        <v>117</v>
      </c>
      <c r="B129" s="213">
        <v>6.64</v>
      </c>
      <c r="C129" s="193">
        <v>0.18430833333333335</v>
      </c>
      <c r="D129" s="215">
        <v>6.46</v>
      </c>
      <c r="E129" s="205">
        <v>0</v>
      </c>
      <c r="F129" s="214">
        <v>19.559999999999999</v>
      </c>
      <c r="H129" s="8"/>
      <c r="I129" s="237"/>
      <c r="J129" s="285"/>
      <c r="K129" s="285"/>
      <c r="L129" s="237"/>
      <c r="M129" s="193"/>
    </row>
    <row r="130" spans="1:13" x14ac:dyDescent="0.3">
      <c r="A130" s="209">
        <v>118</v>
      </c>
      <c r="B130" s="213">
        <v>6.64</v>
      </c>
      <c r="C130" s="193">
        <v>0.13855000000000001</v>
      </c>
      <c r="D130" s="215">
        <v>6.5</v>
      </c>
      <c r="E130" s="205">
        <v>0</v>
      </c>
      <c r="F130" s="214">
        <v>13.059999999999999</v>
      </c>
      <c r="H130" s="8"/>
      <c r="I130" s="237"/>
      <c r="J130" s="285"/>
      <c r="K130" s="285"/>
      <c r="L130" s="237"/>
      <c r="M130" s="193"/>
    </row>
    <row r="131" spans="1:13" x14ac:dyDescent="0.3">
      <c r="A131" s="209">
        <v>119</v>
      </c>
      <c r="B131" s="213">
        <v>6.64</v>
      </c>
      <c r="C131" s="193">
        <v>9.2508333333333331E-2</v>
      </c>
      <c r="D131" s="215">
        <v>6.55</v>
      </c>
      <c r="E131" s="205">
        <v>0</v>
      </c>
      <c r="F131" s="214">
        <v>6.5100000000000007</v>
      </c>
      <c r="H131" s="8"/>
      <c r="I131" s="237"/>
      <c r="J131" s="285"/>
      <c r="K131" s="285"/>
      <c r="L131" s="237"/>
      <c r="M131" s="193"/>
    </row>
    <row r="132" spans="1:13" x14ac:dyDescent="0.3">
      <c r="A132" s="209">
        <v>120</v>
      </c>
      <c r="B132" s="213">
        <v>6.56</v>
      </c>
      <c r="C132" s="193">
        <v>4.6112500000000008E-2</v>
      </c>
      <c r="D132" s="215">
        <v>6.51</v>
      </c>
      <c r="E132" s="205">
        <v>0</v>
      </c>
      <c r="F132" s="214">
        <v>0</v>
      </c>
      <c r="H132" s="8"/>
      <c r="I132" s="237"/>
      <c r="J132" s="285"/>
      <c r="K132" s="285"/>
      <c r="L132" s="237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7"/>
      <c r="J133" s="285"/>
      <c r="K133" s="285"/>
      <c r="L133" s="237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7"/>
      <c r="J134" s="285"/>
      <c r="K134" s="285"/>
      <c r="L134" s="237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7"/>
      <c r="J135" s="285"/>
      <c r="K135" s="285"/>
      <c r="L135" s="237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7"/>
      <c r="J136" s="285"/>
      <c r="K136" s="285"/>
      <c r="L136" s="237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7"/>
      <c r="J137" s="285"/>
      <c r="K137" s="285"/>
      <c r="L137" s="237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7"/>
      <c r="J138" s="285"/>
      <c r="K138" s="285"/>
      <c r="L138" s="237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7"/>
      <c r="J139" s="285"/>
      <c r="K139" s="285"/>
      <c r="L139" s="237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7"/>
      <c r="J140" s="285"/>
      <c r="K140" s="285"/>
      <c r="L140" s="237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7"/>
      <c r="J141" s="285"/>
      <c r="K141" s="285"/>
      <c r="L141" s="237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7"/>
      <c r="J142" s="285"/>
      <c r="K142" s="285"/>
      <c r="L142" s="237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7"/>
      <c r="J143" s="285"/>
      <c r="K143" s="285"/>
      <c r="L143" s="237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7"/>
      <c r="J144" s="285"/>
      <c r="K144" s="285"/>
      <c r="L144" s="237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7"/>
      <c r="J145" s="285"/>
      <c r="K145" s="285"/>
      <c r="L145" s="237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7"/>
      <c r="J146" s="285"/>
      <c r="K146" s="285"/>
      <c r="L146" s="237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7"/>
      <c r="J147" s="285"/>
      <c r="K147" s="285"/>
      <c r="L147" s="237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7"/>
      <c r="J148" s="285"/>
      <c r="K148" s="285"/>
      <c r="L148" s="237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7"/>
      <c r="J149" s="285"/>
      <c r="K149" s="285"/>
      <c r="L149" s="237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7"/>
      <c r="J150" s="285"/>
      <c r="K150" s="285"/>
      <c r="L150" s="237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7"/>
      <c r="J151" s="285"/>
      <c r="K151" s="285"/>
      <c r="L151" s="237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7"/>
      <c r="J152" s="285"/>
      <c r="K152" s="285"/>
      <c r="L152" s="237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7"/>
      <c r="J153" s="285"/>
      <c r="K153" s="285"/>
      <c r="L153" s="237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7"/>
      <c r="J154" s="285"/>
      <c r="K154" s="285"/>
      <c r="L154" s="237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7"/>
      <c r="J155" s="285"/>
      <c r="K155" s="285"/>
      <c r="L155" s="237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7"/>
      <c r="J156" s="285"/>
      <c r="K156" s="285"/>
      <c r="L156" s="237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7"/>
      <c r="J157" s="285"/>
      <c r="K157" s="285"/>
      <c r="L157" s="237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7"/>
      <c r="J158" s="285"/>
      <c r="K158" s="285"/>
      <c r="L158" s="237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7"/>
      <c r="J159" s="285"/>
      <c r="K159" s="285"/>
      <c r="L159" s="237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7"/>
      <c r="J160" s="285"/>
      <c r="K160" s="285"/>
      <c r="L160" s="237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7"/>
      <c r="J161" s="285"/>
      <c r="K161" s="285"/>
      <c r="L161" s="237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7"/>
      <c r="J162" s="285"/>
      <c r="K162" s="285"/>
      <c r="L162" s="237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7"/>
      <c r="J163" s="285"/>
      <c r="K163" s="285"/>
      <c r="L163" s="237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7"/>
      <c r="J164" s="285"/>
      <c r="K164" s="285"/>
      <c r="L164" s="237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7"/>
      <c r="J165" s="285"/>
      <c r="K165" s="285"/>
      <c r="L165" s="237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7"/>
      <c r="J166" s="285"/>
      <c r="K166" s="285"/>
      <c r="L166" s="237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7"/>
      <c r="J167" s="285"/>
      <c r="K167" s="285"/>
      <c r="L167" s="237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7"/>
      <c r="J168" s="285"/>
      <c r="K168" s="285"/>
      <c r="L168" s="237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7"/>
      <c r="J169" s="285"/>
      <c r="K169" s="285"/>
      <c r="L169" s="237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7"/>
      <c r="J170" s="285"/>
      <c r="K170" s="285"/>
      <c r="L170" s="237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7"/>
      <c r="J171" s="285"/>
      <c r="K171" s="285"/>
      <c r="L171" s="237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7"/>
      <c r="J172" s="285"/>
      <c r="K172" s="285"/>
      <c r="L172" s="237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7"/>
      <c r="J173" s="285"/>
      <c r="K173" s="285"/>
      <c r="L173" s="237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7"/>
      <c r="J174" s="285"/>
      <c r="K174" s="285"/>
      <c r="L174" s="237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7"/>
      <c r="J175" s="285"/>
      <c r="K175" s="285"/>
      <c r="L175" s="237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7"/>
      <c r="J176" s="285"/>
      <c r="K176" s="285"/>
      <c r="L176" s="237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7"/>
      <c r="J177" s="285"/>
      <c r="K177" s="285"/>
      <c r="L177" s="237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7"/>
      <c r="J178" s="285"/>
      <c r="K178" s="285"/>
      <c r="L178" s="237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7"/>
      <c r="J179" s="285"/>
      <c r="K179" s="285"/>
      <c r="L179" s="237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7"/>
      <c r="J180" s="285"/>
      <c r="K180" s="285"/>
      <c r="L180" s="237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7"/>
      <c r="J181" s="285"/>
      <c r="K181" s="285"/>
      <c r="L181" s="237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7"/>
      <c r="J182" s="285"/>
      <c r="K182" s="285"/>
      <c r="L182" s="237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7"/>
      <c r="J183" s="285"/>
      <c r="K183" s="285"/>
      <c r="L183" s="237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7"/>
      <c r="J184" s="285"/>
      <c r="K184" s="285"/>
      <c r="L184" s="237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7"/>
      <c r="J185" s="285"/>
      <c r="K185" s="285"/>
      <c r="L185" s="237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7"/>
      <c r="J186" s="285"/>
      <c r="K186" s="285"/>
      <c r="L186" s="237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7"/>
      <c r="J187" s="285"/>
      <c r="K187" s="285"/>
      <c r="L187" s="237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7"/>
      <c r="J188" s="285"/>
      <c r="K188" s="285"/>
      <c r="L188" s="237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7"/>
      <c r="J189" s="285"/>
      <c r="K189" s="285"/>
      <c r="L189" s="237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7"/>
      <c r="J190" s="285"/>
      <c r="K190" s="285"/>
      <c r="L190" s="237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7"/>
      <c r="J191" s="285"/>
      <c r="K191" s="285"/>
      <c r="L191" s="237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7"/>
      <c r="J192" s="285"/>
      <c r="K192" s="285"/>
      <c r="L192" s="237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7"/>
      <c r="J193" s="285"/>
      <c r="K193" s="285"/>
      <c r="L193" s="237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7"/>
      <c r="J194" s="285"/>
      <c r="K194" s="285"/>
      <c r="L194" s="237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7"/>
      <c r="J195" s="285"/>
      <c r="K195" s="285"/>
      <c r="L195" s="237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7"/>
      <c r="J196" s="285"/>
      <c r="K196" s="285"/>
      <c r="L196" s="237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7"/>
      <c r="J197" s="285"/>
      <c r="K197" s="285"/>
      <c r="L197" s="237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7"/>
      <c r="J198" s="285"/>
      <c r="K198" s="285"/>
      <c r="L198" s="237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7"/>
      <c r="J199" s="285"/>
      <c r="K199" s="285"/>
      <c r="L199" s="237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7"/>
      <c r="J200" s="285"/>
      <c r="K200" s="285"/>
      <c r="L200" s="237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7"/>
      <c r="J201" s="285"/>
      <c r="K201" s="285"/>
      <c r="L201" s="237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7"/>
      <c r="J202" s="285"/>
      <c r="K202" s="285"/>
      <c r="L202" s="237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7"/>
      <c r="J203" s="285"/>
      <c r="K203" s="285"/>
      <c r="L203" s="237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7"/>
      <c r="J204" s="285"/>
      <c r="K204" s="285"/>
      <c r="L204" s="237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7"/>
      <c r="J205" s="285"/>
      <c r="K205" s="285"/>
      <c r="L205" s="237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7"/>
      <c r="J206" s="285"/>
      <c r="K206" s="285"/>
      <c r="L206" s="237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7"/>
      <c r="J207" s="285"/>
      <c r="K207" s="285"/>
      <c r="L207" s="237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7"/>
      <c r="J208" s="285"/>
      <c r="K208" s="285"/>
      <c r="L208" s="237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7"/>
      <c r="J209" s="285"/>
      <c r="K209" s="285"/>
      <c r="L209" s="237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7"/>
      <c r="J210" s="285"/>
      <c r="K210" s="285"/>
      <c r="L210" s="237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7"/>
      <c r="J211" s="285"/>
      <c r="K211" s="285"/>
      <c r="L211" s="237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7"/>
      <c r="J212" s="285"/>
      <c r="K212" s="285"/>
      <c r="L212" s="237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7"/>
      <c r="J213" s="285"/>
      <c r="K213" s="285"/>
      <c r="L213" s="237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7"/>
      <c r="J214" s="285"/>
      <c r="K214" s="285"/>
      <c r="L214" s="237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7"/>
      <c r="J215" s="285"/>
      <c r="K215" s="285"/>
      <c r="L215" s="237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7"/>
      <c r="J216" s="285"/>
      <c r="K216" s="285"/>
      <c r="L216" s="237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7"/>
      <c r="J217" s="285"/>
      <c r="K217" s="285"/>
      <c r="L217" s="237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7"/>
      <c r="J218" s="285"/>
      <c r="K218" s="285"/>
      <c r="L218" s="237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7"/>
      <c r="J219" s="285"/>
      <c r="K219" s="285"/>
      <c r="L219" s="237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7"/>
      <c r="J220" s="285"/>
      <c r="K220" s="285"/>
      <c r="L220" s="237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7"/>
      <c r="J221" s="285"/>
      <c r="K221" s="285"/>
      <c r="L221" s="237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7"/>
      <c r="J222" s="285"/>
      <c r="K222" s="285"/>
      <c r="L222" s="237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7"/>
      <c r="J223" s="285"/>
      <c r="K223" s="285"/>
      <c r="L223" s="237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7"/>
      <c r="J224" s="285"/>
      <c r="K224" s="285"/>
      <c r="L224" s="237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7"/>
      <c r="J225" s="285"/>
      <c r="K225" s="285"/>
      <c r="L225" s="237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7"/>
      <c r="J226" s="285"/>
      <c r="K226" s="285"/>
      <c r="L226" s="237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7"/>
      <c r="J227" s="285"/>
      <c r="K227" s="285"/>
      <c r="L227" s="237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7"/>
      <c r="J228" s="285"/>
      <c r="K228" s="285"/>
      <c r="L228" s="237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7"/>
      <c r="J229" s="285"/>
      <c r="K229" s="285"/>
      <c r="L229" s="237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7"/>
      <c r="J230" s="285"/>
      <c r="K230" s="285"/>
      <c r="L230" s="237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7"/>
      <c r="J231" s="285"/>
      <c r="K231" s="285"/>
      <c r="L231" s="237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7"/>
      <c r="J232" s="285"/>
      <c r="K232" s="285"/>
      <c r="L232" s="237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7"/>
      <c r="J233" s="285"/>
      <c r="K233" s="285"/>
      <c r="L233" s="237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7"/>
      <c r="J234" s="285"/>
      <c r="K234" s="285"/>
      <c r="L234" s="237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7"/>
      <c r="J235" s="285"/>
      <c r="K235" s="285"/>
      <c r="L235" s="237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7"/>
      <c r="J236" s="285"/>
      <c r="K236" s="285"/>
      <c r="L236" s="237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7"/>
      <c r="J237" s="285"/>
      <c r="K237" s="285"/>
      <c r="L237" s="237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7"/>
      <c r="J238" s="285"/>
      <c r="K238" s="285"/>
      <c r="L238" s="237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7"/>
      <c r="J239" s="285"/>
      <c r="K239" s="285"/>
      <c r="L239" s="237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7"/>
      <c r="J240" s="285"/>
      <c r="K240" s="285"/>
      <c r="L240" s="237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7"/>
      <c r="J241" s="285"/>
      <c r="K241" s="285"/>
      <c r="L241" s="237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7"/>
      <c r="J242" s="285"/>
      <c r="K242" s="285"/>
      <c r="L242" s="237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7"/>
      <c r="J243" s="285"/>
      <c r="K243" s="285"/>
      <c r="L243" s="237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7"/>
      <c r="J244" s="285"/>
      <c r="K244" s="285"/>
      <c r="L244" s="237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7"/>
      <c r="J245" s="285"/>
      <c r="K245" s="285"/>
      <c r="L245" s="237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7"/>
      <c r="J246" s="285"/>
      <c r="K246" s="285"/>
      <c r="L246" s="237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7"/>
      <c r="J247" s="285"/>
      <c r="K247" s="285"/>
      <c r="L247" s="237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7"/>
      <c r="J248" s="285"/>
      <c r="K248" s="285"/>
      <c r="L248" s="237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7"/>
      <c r="J249" s="285"/>
      <c r="K249" s="285"/>
      <c r="L249" s="237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7"/>
      <c r="J250" s="285"/>
      <c r="K250" s="285"/>
      <c r="L250" s="237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7"/>
      <c r="J251" s="285"/>
      <c r="K251" s="285"/>
      <c r="L251" s="237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7"/>
      <c r="J252" s="285"/>
      <c r="K252" s="285"/>
      <c r="L252" s="237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7"/>
      <c r="J253" s="285"/>
      <c r="K253" s="285"/>
      <c r="L253" s="237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7"/>
      <c r="J254" s="285"/>
      <c r="K254" s="285"/>
      <c r="L254" s="237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7"/>
      <c r="J255" s="285"/>
      <c r="K255" s="285"/>
      <c r="L255" s="237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7"/>
      <c r="J256" s="285"/>
      <c r="K256" s="285"/>
      <c r="L256" s="237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7"/>
      <c r="J257" s="285"/>
      <c r="K257" s="285"/>
      <c r="L257" s="237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7"/>
      <c r="J258" s="285"/>
      <c r="K258" s="285"/>
      <c r="L258" s="237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7"/>
      <c r="J259" s="285"/>
      <c r="K259" s="285"/>
      <c r="L259" s="237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7"/>
      <c r="J260" s="285"/>
      <c r="K260" s="285"/>
      <c r="L260" s="237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7"/>
      <c r="J261" s="285"/>
      <c r="K261" s="285"/>
      <c r="L261" s="237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7"/>
      <c r="J262" s="285"/>
      <c r="K262" s="285"/>
      <c r="L262" s="237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7"/>
      <c r="J263" s="285"/>
      <c r="K263" s="285"/>
      <c r="L263" s="237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7"/>
      <c r="J264" s="285"/>
      <c r="K264" s="285"/>
      <c r="L264" s="237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7"/>
      <c r="J265" s="285"/>
      <c r="K265" s="285"/>
      <c r="L265" s="237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7"/>
      <c r="J266" s="285"/>
      <c r="K266" s="285"/>
      <c r="L266" s="237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7"/>
      <c r="J267" s="285"/>
      <c r="K267" s="285"/>
      <c r="L267" s="237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7"/>
      <c r="J268" s="285"/>
      <c r="K268" s="285"/>
      <c r="L268" s="237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7"/>
      <c r="J269" s="285"/>
      <c r="K269" s="285"/>
      <c r="L269" s="237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7"/>
      <c r="J270" s="285"/>
      <c r="K270" s="285"/>
      <c r="L270" s="237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7"/>
      <c r="J271" s="285"/>
      <c r="K271" s="285"/>
      <c r="L271" s="237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7"/>
      <c r="J272" s="285"/>
      <c r="K272" s="285"/>
      <c r="L272" s="237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7"/>
      <c r="J273" s="285"/>
      <c r="K273" s="285"/>
      <c r="L273" s="237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7"/>
      <c r="J274" s="285"/>
      <c r="K274" s="285"/>
      <c r="L274" s="237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7"/>
      <c r="J275" s="285"/>
      <c r="K275" s="285"/>
      <c r="L275" s="237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7"/>
      <c r="J276" s="285"/>
      <c r="K276" s="285"/>
      <c r="L276" s="237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7"/>
      <c r="J277" s="285"/>
      <c r="K277" s="285"/>
      <c r="L277" s="237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7"/>
      <c r="J278" s="285"/>
      <c r="K278" s="285"/>
      <c r="L278" s="237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7"/>
      <c r="J279" s="285"/>
      <c r="K279" s="285"/>
      <c r="L279" s="237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7"/>
      <c r="J280" s="285"/>
      <c r="K280" s="285"/>
      <c r="L280" s="237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7"/>
      <c r="J281" s="285"/>
      <c r="K281" s="285"/>
      <c r="L281" s="237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7"/>
      <c r="J282" s="285"/>
      <c r="K282" s="285"/>
      <c r="L282" s="237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7"/>
      <c r="J283" s="285"/>
      <c r="K283" s="285"/>
      <c r="L283" s="237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7"/>
      <c r="J284" s="285"/>
      <c r="K284" s="285"/>
      <c r="L284" s="237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7"/>
      <c r="J285" s="285"/>
      <c r="K285" s="285"/>
      <c r="L285" s="237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7"/>
      <c r="J286" s="285"/>
      <c r="K286" s="285"/>
      <c r="L286" s="237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7"/>
      <c r="J287" s="285"/>
      <c r="K287" s="285"/>
      <c r="L287" s="237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7"/>
      <c r="J288" s="285"/>
      <c r="K288" s="285"/>
      <c r="L288" s="237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7"/>
      <c r="J289" s="285"/>
      <c r="K289" s="285"/>
      <c r="L289" s="237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7"/>
      <c r="J290" s="285"/>
      <c r="K290" s="285"/>
      <c r="L290" s="237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7"/>
      <c r="J291" s="285"/>
      <c r="K291" s="285"/>
      <c r="L291" s="237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7"/>
      <c r="J292" s="285"/>
      <c r="K292" s="285"/>
      <c r="L292" s="237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7"/>
      <c r="J293" s="285"/>
      <c r="K293" s="285"/>
      <c r="L293" s="237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7"/>
      <c r="J294" s="285"/>
      <c r="K294" s="285"/>
      <c r="L294" s="237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7"/>
      <c r="J295" s="285"/>
      <c r="K295" s="285"/>
      <c r="L295" s="237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7"/>
      <c r="J296" s="285"/>
      <c r="K296" s="285"/>
      <c r="L296" s="237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7"/>
      <c r="J297" s="285"/>
      <c r="K297" s="285"/>
      <c r="L297" s="237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7"/>
      <c r="J298" s="285"/>
      <c r="K298" s="285"/>
      <c r="L298" s="237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7"/>
      <c r="J299" s="285"/>
      <c r="K299" s="285"/>
      <c r="L299" s="237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7"/>
      <c r="J300" s="285"/>
      <c r="K300" s="285"/>
      <c r="L300" s="237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7"/>
      <c r="J301" s="285"/>
      <c r="K301" s="285"/>
      <c r="L301" s="237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7"/>
      <c r="J302" s="285"/>
      <c r="K302" s="285"/>
      <c r="L302" s="237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7"/>
      <c r="J303" s="285"/>
      <c r="K303" s="285"/>
      <c r="L303" s="237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7"/>
      <c r="J304" s="285"/>
      <c r="K304" s="285"/>
      <c r="L304" s="237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7"/>
      <c r="J305" s="285"/>
      <c r="K305" s="285"/>
      <c r="L305" s="237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7"/>
      <c r="J306" s="285"/>
      <c r="K306" s="285"/>
      <c r="L306" s="237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7"/>
      <c r="J307" s="285"/>
      <c r="K307" s="285"/>
      <c r="L307" s="237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7"/>
      <c r="J308" s="285"/>
      <c r="K308" s="285"/>
      <c r="L308" s="237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7"/>
      <c r="J309" s="285"/>
      <c r="K309" s="285"/>
      <c r="L309" s="237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7"/>
      <c r="J310" s="285"/>
      <c r="K310" s="285"/>
      <c r="L310" s="237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7"/>
      <c r="J311" s="285"/>
      <c r="K311" s="285"/>
      <c r="L311" s="237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7"/>
      <c r="J312" s="285"/>
      <c r="K312" s="285"/>
      <c r="L312" s="237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7"/>
      <c r="J313" s="285"/>
      <c r="K313" s="285"/>
      <c r="L313" s="237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7"/>
      <c r="J314" s="285"/>
      <c r="K314" s="285"/>
      <c r="L314" s="237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7"/>
      <c r="J315" s="285"/>
      <c r="K315" s="285"/>
      <c r="L315" s="237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7"/>
      <c r="J316" s="285"/>
      <c r="K316" s="285"/>
      <c r="L316" s="237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7"/>
      <c r="J317" s="285"/>
      <c r="K317" s="285"/>
      <c r="L317" s="237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7"/>
      <c r="J318" s="285"/>
      <c r="K318" s="285"/>
      <c r="L318" s="237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7"/>
      <c r="J319" s="285"/>
      <c r="K319" s="285"/>
      <c r="L319" s="237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7"/>
      <c r="J320" s="285"/>
      <c r="K320" s="285"/>
      <c r="L320" s="237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7"/>
      <c r="J321" s="285"/>
      <c r="K321" s="285"/>
      <c r="L321" s="237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7"/>
      <c r="J322" s="285"/>
      <c r="K322" s="285"/>
      <c r="L322" s="237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7"/>
      <c r="J323" s="285"/>
      <c r="K323" s="285"/>
      <c r="L323" s="237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7"/>
      <c r="J324" s="285"/>
      <c r="K324" s="285"/>
      <c r="L324" s="237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7"/>
      <c r="J325" s="285"/>
      <c r="K325" s="285"/>
      <c r="L325" s="237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7"/>
      <c r="J326" s="285"/>
      <c r="K326" s="285"/>
      <c r="L326" s="237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7"/>
      <c r="J327" s="285"/>
      <c r="K327" s="285"/>
      <c r="L327" s="237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7"/>
      <c r="J328" s="285"/>
      <c r="K328" s="285"/>
      <c r="L328" s="237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7"/>
      <c r="J329" s="285"/>
      <c r="K329" s="285"/>
      <c r="L329" s="237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7"/>
      <c r="J330" s="285"/>
      <c r="K330" s="285"/>
      <c r="L330" s="237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7"/>
      <c r="J331" s="285"/>
      <c r="K331" s="285"/>
      <c r="L331" s="237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7"/>
      <c r="J332" s="285"/>
      <c r="K332" s="285"/>
      <c r="L332" s="237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7"/>
      <c r="J333" s="285"/>
      <c r="K333" s="285"/>
      <c r="L333" s="237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7"/>
      <c r="J334" s="285"/>
      <c r="K334" s="285"/>
      <c r="L334" s="237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7"/>
      <c r="J335" s="285"/>
      <c r="K335" s="285"/>
      <c r="L335" s="237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7"/>
      <c r="J336" s="285"/>
      <c r="K336" s="285"/>
      <c r="L336" s="237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7"/>
      <c r="J337" s="285"/>
      <c r="K337" s="285"/>
      <c r="L337" s="237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7"/>
      <c r="J338" s="285"/>
      <c r="K338" s="285"/>
      <c r="L338" s="237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7"/>
      <c r="J339" s="285"/>
      <c r="K339" s="285"/>
      <c r="L339" s="237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7"/>
      <c r="J340" s="285"/>
      <c r="K340" s="285"/>
      <c r="L340" s="237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7"/>
      <c r="J341" s="285"/>
      <c r="K341" s="285"/>
      <c r="L341" s="237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7"/>
      <c r="J342" s="285"/>
      <c r="K342" s="285"/>
      <c r="L342" s="237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7"/>
      <c r="J343" s="285"/>
      <c r="K343" s="285"/>
      <c r="L343" s="237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7"/>
      <c r="J344" s="285"/>
      <c r="K344" s="285"/>
      <c r="L344" s="237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7"/>
      <c r="J345" s="285"/>
      <c r="K345" s="285"/>
      <c r="L345" s="237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7"/>
      <c r="J346" s="285"/>
      <c r="K346" s="285"/>
      <c r="L346" s="237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7"/>
      <c r="J347" s="285"/>
      <c r="K347" s="343"/>
      <c r="L347" s="238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7"/>
      <c r="J348" s="237"/>
      <c r="K348" s="285"/>
      <c r="L348" s="237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7"/>
      <c r="J349" s="237"/>
      <c r="K349" s="285"/>
      <c r="L349" s="237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7"/>
      <c r="J350" s="237"/>
      <c r="K350" s="285"/>
      <c r="L350" s="237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7"/>
      <c r="J351" s="237"/>
      <c r="K351" s="285"/>
      <c r="L351" s="237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7"/>
      <c r="J352" s="237"/>
      <c r="K352" s="285"/>
      <c r="L352" s="237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7"/>
      <c r="J353" s="237"/>
      <c r="K353" s="285"/>
      <c r="L353" s="237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7"/>
      <c r="J354" s="237"/>
      <c r="K354" s="285"/>
      <c r="L354" s="237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7"/>
      <c r="J355" s="237"/>
      <c r="K355" s="285"/>
      <c r="L355" s="237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7"/>
      <c r="J356" s="237"/>
      <c r="K356" s="285"/>
      <c r="L356" s="237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7"/>
      <c r="J357" s="237"/>
      <c r="K357" s="285"/>
      <c r="L357" s="237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7"/>
      <c r="J358" s="237"/>
      <c r="K358" s="285"/>
      <c r="L358" s="237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7"/>
      <c r="J359" s="237"/>
      <c r="K359" s="285"/>
      <c r="L359" s="237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7"/>
      <c r="J360" s="237"/>
      <c r="K360" s="285"/>
      <c r="L360" s="237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7"/>
      <c r="J361" s="237"/>
      <c r="K361" s="285"/>
      <c r="L361" s="237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7"/>
      <c r="J362" s="237"/>
      <c r="K362" s="285"/>
      <c r="L362" s="237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7"/>
      <c r="J363" s="237"/>
      <c r="K363" s="285"/>
      <c r="L363" s="237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7"/>
      <c r="J364" s="237"/>
      <c r="K364" s="285"/>
      <c r="L364" s="237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7"/>
      <c r="J365" s="237"/>
      <c r="K365" s="285"/>
      <c r="L365" s="237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7"/>
      <c r="J366" s="237"/>
      <c r="K366" s="285"/>
      <c r="L366" s="237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7"/>
      <c r="J367" s="237"/>
      <c r="K367" s="285"/>
      <c r="L367" s="237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7"/>
      <c r="J368" s="237"/>
      <c r="K368" s="285"/>
      <c r="L368" s="237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7"/>
      <c r="J369" s="237"/>
      <c r="K369" s="285"/>
      <c r="L369" s="237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7"/>
      <c r="J370" s="237"/>
      <c r="K370" s="285"/>
      <c r="L370" s="237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7"/>
      <c r="J371" s="237"/>
      <c r="K371" s="285"/>
      <c r="L371" s="237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7"/>
      <c r="J372" s="237"/>
      <c r="K372" s="285"/>
      <c r="L372" s="237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7"/>
      <c r="J373" s="237"/>
      <c r="K373" s="285"/>
      <c r="L373" s="237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7"/>
      <c r="J374" s="237"/>
      <c r="K374" s="285"/>
      <c r="L374" s="237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7"/>
      <c r="J375" s="237"/>
      <c r="K375" s="285"/>
      <c r="L375" s="237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7"/>
      <c r="J376" s="237"/>
      <c r="K376" s="285"/>
      <c r="L376" s="237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7"/>
      <c r="J377" s="237"/>
      <c r="K377" s="285"/>
      <c r="L377" s="237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7"/>
      <c r="J378" s="237"/>
      <c r="K378" s="285"/>
      <c r="L378" s="237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7"/>
      <c r="J379" s="237"/>
      <c r="K379" s="285"/>
      <c r="L379" s="237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7"/>
      <c r="J380" s="237"/>
      <c r="K380" s="285"/>
      <c r="L380" s="237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7"/>
      <c r="J381" s="237"/>
      <c r="K381" s="285"/>
      <c r="L381" s="237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7"/>
      <c r="J382" s="237"/>
      <c r="K382" s="285"/>
      <c r="L382" s="237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7"/>
      <c r="J383" s="237"/>
      <c r="K383" s="285"/>
      <c r="L383" s="237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7"/>
      <c r="J384" s="237"/>
      <c r="K384" s="285"/>
      <c r="L384" s="237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7"/>
      <c r="J385" s="237"/>
      <c r="K385" s="285"/>
      <c r="L385" s="237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7"/>
      <c r="J386" s="237"/>
      <c r="K386" s="285"/>
      <c r="L386" s="237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7"/>
      <c r="J387" s="237"/>
      <c r="K387" s="285"/>
      <c r="L387" s="237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7"/>
      <c r="J388" s="237"/>
      <c r="K388" s="285"/>
      <c r="L388" s="237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7"/>
      <c r="J389" s="237"/>
      <c r="K389" s="285"/>
      <c r="L389" s="237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7"/>
      <c r="J390" s="237"/>
      <c r="K390" s="285"/>
      <c r="L390" s="237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7"/>
      <c r="J391" s="237"/>
      <c r="K391" s="285"/>
      <c r="L391" s="237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7"/>
      <c r="J392" s="237"/>
      <c r="K392" s="285"/>
      <c r="L392" s="237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7"/>
      <c r="J393" s="237"/>
      <c r="K393" s="285"/>
      <c r="L393" s="237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7"/>
      <c r="J394" s="237"/>
      <c r="K394" s="285"/>
      <c r="L394" s="237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7"/>
      <c r="J395" s="237"/>
      <c r="K395" s="285"/>
      <c r="L395" s="237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7"/>
      <c r="J396" s="237"/>
      <c r="K396" s="285"/>
      <c r="L396" s="237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7"/>
      <c r="J397" s="237"/>
      <c r="K397" s="285"/>
      <c r="L397" s="237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7"/>
      <c r="J398" s="237"/>
      <c r="K398" s="285"/>
      <c r="L398" s="237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7"/>
      <c r="J399" s="237"/>
      <c r="K399" s="285"/>
      <c r="L399" s="237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7"/>
      <c r="J400" s="237"/>
      <c r="K400" s="285"/>
      <c r="L400" s="237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7"/>
      <c r="J401" s="237"/>
      <c r="K401" s="285"/>
      <c r="L401" s="237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7"/>
      <c r="J402" s="237"/>
      <c r="K402" s="285"/>
      <c r="L402" s="237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7"/>
      <c r="J403" s="237"/>
      <c r="K403" s="285"/>
      <c r="L403" s="237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7"/>
      <c r="J404" s="237"/>
      <c r="K404" s="285"/>
      <c r="L404" s="237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7"/>
      <c r="J405" s="237"/>
      <c r="K405" s="285"/>
      <c r="L405" s="237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7"/>
      <c r="J406" s="237"/>
      <c r="K406" s="285"/>
      <c r="L406" s="237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7"/>
      <c r="J407" s="237"/>
      <c r="K407" s="285"/>
      <c r="L407" s="237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7"/>
      <c r="J408" s="237"/>
      <c r="K408" s="285"/>
      <c r="L408" s="237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7"/>
      <c r="J409" s="237"/>
      <c r="K409" s="285"/>
      <c r="L409" s="237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7"/>
      <c r="J410" s="237"/>
      <c r="K410" s="285"/>
      <c r="L410" s="237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7"/>
      <c r="J411" s="237"/>
      <c r="K411" s="285"/>
      <c r="L411" s="237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7"/>
      <c r="J412" s="237"/>
      <c r="K412" s="285"/>
      <c r="L412" s="237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7"/>
      <c r="J413" s="237"/>
      <c r="K413" s="285"/>
      <c r="L413" s="237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7"/>
      <c r="J414" s="237"/>
      <c r="K414" s="285"/>
      <c r="L414" s="237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7"/>
      <c r="J415" s="237"/>
      <c r="K415" s="285"/>
      <c r="L415" s="237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7"/>
      <c r="J416" s="237"/>
      <c r="K416" s="285"/>
      <c r="L416" s="237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7"/>
      <c r="J417" s="237"/>
      <c r="K417" s="285"/>
      <c r="L417" s="237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7"/>
      <c r="J418" s="237"/>
      <c r="K418" s="285"/>
      <c r="L418" s="237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7"/>
      <c r="J419" s="237"/>
      <c r="K419" s="285"/>
      <c r="L419" s="237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7"/>
      <c r="J420" s="237"/>
      <c r="K420" s="285"/>
      <c r="L420" s="237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7"/>
      <c r="J421" s="237"/>
      <c r="K421" s="285"/>
      <c r="L421" s="237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7"/>
      <c r="J422" s="237"/>
      <c r="K422" s="285"/>
      <c r="L422" s="237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7"/>
      <c r="J423" s="237"/>
      <c r="K423" s="285"/>
      <c r="L423" s="237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7"/>
      <c r="J424" s="237"/>
      <c r="K424" s="285"/>
      <c r="L424" s="237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7"/>
      <c r="J425" s="237"/>
      <c r="K425" s="343"/>
      <c r="L425" s="237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7"/>
      <c r="J426" s="237"/>
      <c r="K426" s="193"/>
      <c r="L426" s="237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7"/>
      <c r="J427" s="237"/>
      <c r="K427" s="193"/>
      <c r="L427" s="237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7"/>
      <c r="J428" s="237"/>
      <c r="K428" s="193"/>
      <c r="L428" s="237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7"/>
      <c r="J429" s="237"/>
      <c r="K429" s="193"/>
      <c r="L429" s="237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7"/>
      <c r="J430" s="237"/>
      <c r="K430" s="193"/>
      <c r="L430" s="237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7"/>
      <c r="J431" s="237"/>
      <c r="K431" s="193"/>
      <c r="L431" s="237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7"/>
      <c r="J432" s="237"/>
      <c r="K432" s="193"/>
      <c r="L432" s="237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7"/>
      <c r="J433" s="237"/>
      <c r="K433" s="193"/>
      <c r="L433" s="237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7"/>
      <c r="J434" s="237"/>
      <c r="K434" s="193"/>
      <c r="L434" s="237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7"/>
      <c r="J435" s="237"/>
      <c r="K435" s="193"/>
      <c r="L435" s="237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7"/>
      <c r="J436" s="237"/>
      <c r="K436" s="193"/>
      <c r="L436" s="237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7"/>
      <c r="J437" s="237"/>
      <c r="K437" s="193"/>
      <c r="L437" s="237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7"/>
      <c r="J438" s="237"/>
      <c r="K438" s="193"/>
      <c r="L438" s="237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7"/>
      <c r="J439" s="237"/>
      <c r="K439" s="193"/>
      <c r="L439" s="237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7"/>
      <c r="J440" s="237"/>
      <c r="K440" s="193"/>
      <c r="L440" s="237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7"/>
      <c r="J441" s="237"/>
      <c r="K441" s="193"/>
      <c r="L441" s="237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7"/>
      <c r="J442" s="237"/>
      <c r="K442" s="193"/>
      <c r="L442" s="237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7"/>
      <c r="J443" s="237"/>
      <c r="K443" s="193"/>
      <c r="L443" s="237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7"/>
      <c r="J444" s="237"/>
      <c r="K444" s="193"/>
      <c r="L444" s="237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7"/>
      <c r="J445" s="237"/>
      <c r="K445" s="193"/>
      <c r="L445" s="237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7"/>
      <c r="J446" s="237"/>
      <c r="K446" s="193"/>
      <c r="L446" s="237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7"/>
      <c r="J447" s="237"/>
      <c r="K447" s="193"/>
      <c r="L447" s="237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7"/>
      <c r="J448" s="237"/>
      <c r="K448" s="193"/>
      <c r="L448" s="237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7"/>
      <c r="J449" s="237"/>
      <c r="K449" s="193"/>
      <c r="L449" s="237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7"/>
      <c r="J450" s="237"/>
      <c r="K450" s="193"/>
      <c r="L450" s="237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7"/>
      <c r="J451" s="237"/>
      <c r="K451" s="193"/>
      <c r="L451" s="237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7"/>
      <c r="J452" s="237"/>
      <c r="K452" s="193"/>
      <c r="L452" s="237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7"/>
      <c r="J453" s="237"/>
      <c r="K453" s="193"/>
      <c r="L453" s="237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7"/>
      <c r="J454" s="237"/>
      <c r="K454" s="193"/>
      <c r="L454" s="237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7"/>
      <c r="J455" s="237"/>
      <c r="K455" s="193"/>
      <c r="L455" s="237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7"/>
      <c r="J456" s="237"/>
      <c r="K456" s="193"/>
      <c r="L456" s="237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7"/>
      <c r="J457" s="237"/>
      <c r="K457" s="193"/>
      <c r="L457" s="237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7"/>
      <c r="J458" s="237"/>
      <c r="K458" s="193"/>
      <c r="L458" s="237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7"/>
      <c r="J459" s="237"/>
      <c r="K459" s="193"/>
      <c r="L459" s="237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7"/>
      <c r="J460" s="237"/>
      <c r="K460" s="193"/>
      <c r="L460" s="237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7"/>
      <c r="J461" s="237"/>
      <c r="K461" s="193"/>
      <c r="L461" s="237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7"/>
      <c r="J462" s="237"/>
      <c r="K462" s="193"/>
      <c r="L462" s="237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7"/>
      <c r="J463" s="237"/>
      <c r="K463" s="193"/>
      <c r="L463" s="237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7"/>
      <c r="J464" s="237"/>
      <c r="K464" s="193"/>
      <c r="L464" s="237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7"/>
      <c r="J465" s="237"/>
      <c r="K465" s="193"/>
      <c r="L465" s="237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7"/>
      <c r="J466" s="237"/>
      <c r="K466" s="193"/>
      <c r="L466" s="237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7"/>
      <c r="J467" s="237"/>
      <c r="K467" s="193"/>
      <c r="L467" s="237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7"/>
      <c r="J468" s="237"/>
      <c r="K468" s="193"/>
      <c r="L468" s="237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7"/>
      <c r="J469" s="237"/>
      <c r="K469" s="193"/>
      <c r="L469" s="237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7"/>
      <c r="J470" s="237"/>
      <c r="K470" s="193"/>
      <c r="L470" s="237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7"/>
      <c r="J471" s="237"/>
      <c r="K471" s="193"/>
      <c r="L471" s="237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7"/>
      <c r="J472" s="237"/>
      <c r="K472" s="193"/>
      <c r="L472" s="237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7"/>
      <c r="J473" s="237"/>
      <c r="K473" s="193"/>
      <c r="L473" s="237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7"/>
      <c r="J474" s="237"/>
      <c r="K474" s="193"/>
      <c r="L474" s="237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7"/>
      <c r="J475" s="237"/>
      <c r="K475" s="193"/>
      <c r="L475" s="237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7"/>
      <c r="J476" s="237"/>
      <c r="K476" s="193"/>
      <c r="L476" s="237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7"/>
      <c r="J477" s="237"/>
      <c r="K477" s="193"/>
      <c r="L477" s="237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7"/>
      <c r="J478" s="237"/>
      <c r="K478" s="193"/>
      <c r="L478" s="237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7"/>
      <c r="J479" s="237"/>
      <c r="K479" s="193"/>
      <c r="L479" s="237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7"/>
      <c r="J480" s="237"/>
      <c r="K480" s="193"/>
      <c r="L480" s="237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7"/>
      <c r="J481" s="237"/>
      <c r="K481" s="193"/>
      <c r="L481" s="237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7"/>
      <c r="J482" s="237"/>
      <c r="K482" s="193"/>
      <c r="L482" s="237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7"/>
      <c r="J483" s="237"/>
      <c r="K483" s="193"/>
      <c r="L483" s="237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7"/>
      <c r="J484" s="237"/>
      <c r="K484" s="193"/>
      <c r="L484" s="237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7"/>
      <c r="J485" s="237"/>
      <c r="K485" s="193"/>
      <c r="L485" s="237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7"/>
      <c r="J486" s="237"/>
      <c r="K486" s="193"/>
      <c r="L486" s="237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7"/>
      <c r="J487" s="237"/>
      <c r="K487" s="193"/>
      <c r="L487" s="237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7"/>
      <c r="J488" s="237"/>
      <c r="K488" s="193"/>
      <c r="L488" s="237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7"/>
      <c r="J489" s="237"/>
      <c r="K489" s="193"/>
      <c r="L489" s="237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7"/>
      <c r="J490" s="237"/>
      <c r="K490" s="193"/>
      <c r="L490" s="237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7"/>
      <c r="J491" s="237"/>
      <c r="K491" s="193"/>
      <c r="L491" s="237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7"/>
      <c r="J492" s="237"/>
      <c r="K492" s="193"/>
      <c r="L492" s="237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7"/>
      <c r="J493" s="237"/>
      <c r="K493" s="193"/>
      <c r="L493" s="237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7"/>
      <c r="J494" s="237"/>
      <c r="K494" s="193"/>
      <c r="L494" s="237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7"/>
      <c r="J495" s="237"/>
      <c r="K495" s="193"/>
      <c r="L495" s="237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7"/>
      <c r="J496" s="237"/>
      <c r="K496" s="193"/>
      <c r="L496" s="237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7"/>
      <c r="J497" s="237"/>
      <c r="K497" s="193"/>
      <c r="L497" s="237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7"/>
      <c r="J498" s="237"/>
      <c r="K498" s="193"/>
      <c r="L498" s="237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7"/>
      <c r="J499" s="237"/>
      <c r="K499" s="193"/>
      <c r="L499" s="237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7"/>
      <c r="J500" s="237"/>
      <c r="K500" s="193"/>
      <c r="L500" s="237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7"/>
      <c r="J501" s="237"/>
      <c r="K501" s="193"/>
      <c r="L501" s="237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7"/>
      <c r="J502" s="237"/>
      <c r="K502" s="193"/>
      <c r="L502" s="237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7"/>
      <c r="J503" s="237"/>
      <c r="K503" s="193"/>
      <c r="L503" s="237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7"/>
      <c r="J504" s="237"/>
      <c r="K504" s="193"/>
      <c r="L504" s="237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7"/>
      <c r="J505" s="237"/>
      <c r="K505" s="193"/>
      <c r="L505" s="237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7"/>
      <c r="J506" s="237"/>
      <c r="K506" s="193"/>
      <c r="L506" s="237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7"/>
      <c r="J507" s="237"/>
      <c r="K507" s="193"/>
      <c r="L507" s="237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7"/>
      <c r="J508" s="237"/>
      <c r="K508" s="193"/>
      <c r="L508" s="237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7"/>
      <c r="J509" s="237"/>
      <c r="K509" s="193"/>
      <c r="L509" s="237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7"/>
      <c r="J510" s="237"/>
      <c r="K510" s="193"/>
      <c r="L510" s="237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7"/>
      <c r="J511" s="237"/>
      <c r="K511" s="193"/>
      <c r="L511" s="237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7"/>
      <c r="J512" s="237"/>
      <c r="K512" s="193"/>
      <c r="L512" s="237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7"/>
      <c r="J513" s="237"/>
      <c r="K513" s="193"/>
      <c r="L513" s="237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7"/>
      <c r="J514" s="237"/>
      <c r="K514" s="193"/>
      <c r="L514" s="237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7"/>
      <c r="J515" s="237"/>
      <c r="K515" s="193"/>
      <c r="L515" s="237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7"/>
      <c r="J516" s="237"/>
      <c r="K516" s="193"/>
      <c r="L516" s="237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7"/>
      <c r="J517" s="237"/>
      <c r="K517" s="193"/>
      <c r="L517" s="237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7"/>
      <c r="J518" s="237"/>
      <c r="K518" s="193"/>
      <c r="L518" s="237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7"/>
      <c r="J519" s="237"/>
      <c r="K519" s="193"/>
      <c r="L519" s="237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7"/>
      <c r="J520" s="237"/>
      <c r="K520" s="193"/>
      <c r="L520" s="237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7"/>
      <c r="J521" s="237"/>
      <c r="K521" s="193"/>
      <c r="L521" s="237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7"/>
      <c r="J522" s="237"/>
      <c r="K522" s="193"/>
      <c r="L522" s="237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7"/>
      <c r="J523" s="237"/>
      <c r="K523" s="193"/>
      <c r="L523" s="237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7"/>
      <c r="J524" s="237"/>
      <c r="K524" s="193"/>
      <c r="L524" s="237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7"/>
      <c r="J525" s="237"/>
      <c r="K525" s="193"/>
      <c r="L525" s="237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7"/>
      <c r="J526" s="237"/>
      <c r="K526" s="193"/>
      <c r="L526" s="237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7"/>
      <c r="J527" s="237"/>
      <c r="K527" s="193"/>
      <c r="L527" s="237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7"/>
      <c r="J528" s="237"/>
      <c r="K528" s="193"/>
      <c r="L528" s="237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7"/>
      <c r="J529" s="237"/>
      <c r="K529" s="193"/>
      <c r="L529" s="237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7"/>
      <c r="J530" s="237"/>
      <c r="K530" s="193"/>
      <c r="L530" s="237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7"/>
      <c r="J531" s="237"/>
      <c r="K531" s="193"/>
      <c r="L531" s="237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7"/>
      <c r="J532" s="237"/>
      <c r="K532" s="193"/>
      <c r="L532" s="237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7"/>
      <c r="J533" s="237"/>
      <c r="K533" s="193"/>
      <c r="L533" s="237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7"/>
      <c r="J534" s="237"/>
      <c r="K534" s="193"/>
      <c r="L534" s="237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7"/>
      <c r="J535" s="237"/>
      <c r="K535" s="193"/>
      <c r="L535" s="237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7"/>
      <c r="J536" s="237"/>
      <c r="K536" s="193"/>
      <c r="L536" s="237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7"/>
      <c r="J537" s="237"/>
      <c r="K537" s="193"/>
      <c r="L537" s="237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7"/>
      <c r="J538" s="237"/>
      <c r="K538" s="193"/>
      <c r="L538" s="237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7"/>
      <c r="J539" s="237"/>
      <c r="K539" s="193"/>
      <c r="L539" s="237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7"/>
      <c r="J540" s="237"/>
      <c r="K540" s="193"/>
      <c r="L540" s="237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7"/>
      <c r="J541" s="237"/>
      <c r="K541" s="193"/>
      <c r="L541" s="237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7"/>
      <c r="J542" s="237"/>
      <c r="K542" s="193"/>
      <c r="L542" s="237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7"/>
      <c r="J543" s="237"/>
      <c r="K543" s="193"/>
      <c r="L543" s="237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7"/>
      <c r="J544" s="237"/>
      <c r="K544" s="193"/>
      <c r="L544" s="237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7"/>
      <c r="J545" s="237"/>
      <c r="K545" s="193"/>
      <c r="L545" s="237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7"/>
      <c r="J546" s="237"/>
      <c r="K546" s="193"/>
      <c r="L546" s="237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7"/>
      <c r="J547" s="237"/>
      <c r="K547" s="193"/>
      <c r="L547" s="237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7"/>
      <c r="J548" s="237"/>
      <c r="K548" s="193"/>
      <c r="L548" s="237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7"/>
      <c r="J549" s="237"/>
      <c r="K549" s="193"/>
      <c r="L549" s="237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7"/>
      <c r="J550" s="237"/>
      <c r="K550" s="193"/>
      <c r="L550" s="237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7"/>
      <c r="J551" s="237"/>
      <c r="K551" s="193"/>
      <c r="L551" s="237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7"/>
      <c r="J552" s="237"/>
      <c r="K552" s="193"/>
      <c r="L552" s="237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7"/>
      <c r="J553" s="237"/>
      <c r="K553" s="193"/>
      <c r="L553" s="237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7"/>
      <c r="J554" s="237"/>
      <c r="K554" s="193"/>
      <c r="L554" s="237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7"/>
      <c r="J555" s="237"/>
      <c r="K555" s="193"/>
      <c r="L555" s="237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7"/>
      <c r="J556" s="237"/>
      <c r="K556" s="193"/>
      <c r="L556" s="237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7"/>
      <c r="J557" s="237"/>
      <c r="K557" s="193"/>
      <c r="L557" s="237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7"/>
      <c r="J558" s="237"/>
      <c r="K558" s="193"/>
      <c r="L558" s="237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7"/>
      <c r="J559" s="237"/>
      <c r="K559" s="193"/>
      <c r="L559" s="237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7"/>
      <c r="J560" s="237"/>
      <c r="K560" s="193"/>
      <c r="L560" s="237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7"/>
      <c r="J561" s="237"/>
      <c r="K561" s="193"/>
      <c r="L561" s="237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7"/>
      <c r="J562" s="237"/>
      <c r="K562" s="193"/>
      <c r="L562" s="237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7"/>
      <c r="J563" s="237"/>
      <c r="K563" s="193"/>
      <c r="L563" s="237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7"/>
      <c r="J564" s="237"/>
      <c r="K564" s="193"/>
      <c r="L564" s="237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7"/>
      <c r="J565" s="237"/>
      <c r="K565" s="193"/>
      <c r="L565" s="237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7"/>
      <c r="J566" s="237"/>
      <c r="K566" s="193"/>
      <c r="L566" s="237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7"/>
      <c r="J567" s="237"/>
      <c r="K567" s="193"/>
      <c r="L567" s="237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7"/>
      <c r="J568" s="237"/>
      <c r="K568" s="193"/>
      <c r="L568" s="237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7"/>
      <c r="J569" s="237"/>
      <c r="K569" s="193"/>
      <c r="L569" s="237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7"/>
      <c r="J570" s="237"/>
      <c r="K570" s="193"/>
      <c r="L570" s="237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7"/>
      <c r="J571" s="237"/>
      <c r="K571" s="193"/>
      <c r="L571" s="237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7"/>
      <c r="J572" s="237"/>
      <c r="K572" s="193"/>
      <c r="L572" s="237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7"/>
      <c r="J573" s="237"/>
      <c r="K573" s="193"/>
      <c r="L573" s="237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7"/>
      <c r="J574" s="237"/>
      <c r="K574" s="193"/>
      <c r="L574" s="237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7"/>
      <c r="J575" s="237"/>
      <c r="K575" s="193"/>
      <c r="L575" s="237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7"/>
      <c r="J576" s="237"/>
      <c r="K576" s="193"/>
      <c r="L576" s="237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7"/>
      <c r="J577" s="237"/>
      <c r="K577" s="193"/>
      <c r="L577" s="237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7"/>
      <c r="J578" s="237"/>
      <c r="K578" s="193"/>
      <c r="L578" s="237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7"/>
      <c r="J579" s="237"/>
      <c r="K579" s="193"/>
      <c r="L579" s="237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7"/>
      <c r="J580" s="237"/>
      <c r="K580" s="193"/>
      <c r="L580" s="237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7"/>
      <c r="J581" s="237"/>
      <c r="K581" s="193"/>
      <c r="L581" s="237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7"/>
      <c r="J582" s="237"/>
      <c r="K582" s="193"/>
      <c r="L582" s="237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7"/>
      <c r="J583" s="237"/>
      <c r="K583" s="193"/>
      <c r="L583" s="237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7"/>
      <c r="J584" s="237"/>
      <c r="K584" s="193"/>
      <c r="L584" s="237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7"/>
      <c r="J585" s="237"/>
      <c r="K585" s="193"/>
      <c r="L585" s="237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7"/>
      <c r="J586" s="237"/>
      <c r="K586" s="193"/>
      <c r="L586" s="237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7"/>
      <c r="J587" s="237"/>
      <c r="K587" s="193"/>
      <c r="L587" s="237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7"/>
      <c r="J588" s="237"/>
      <c r="K588" s="193"/>
      <c r="L588" s="237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7"/>
      <c r="J589" s="237"/>
      <c r="K589" s="193"/>
      <c r="L589" s="237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7"/>
      <c r="J590" s="237"/>
      <c r="K590" s="193"/>
      <c r="L590" s="237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7"/>
      <c r="J591" s="237"/>
      <c r="K591" s="193"/>
      <c r="L591" s="237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7"/>
      <c r="J592" s="237"/>
      <c r="K592" s="193"/>
      <c r="L592" s="237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7"/>
      <c r="J593" s="237"/>
      <c r="K593" s="193"/>
      <c r="L593" s="237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7"/>
      <c r="J594" s="237"/>
      <c r="K594" s="193"/>
      <c r="L594" s="237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7"/>
      <c r="J595" s="237"/>
      <c r="K595" s="193"/>
      <c r="L595" s="237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7"/>
      <c r="J596" s="237"/>
      <c r="K596" s="193"/>
      <c r="L596" s="237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7"/>
      <c r="J597" s="237"/>
      <c r="K597" s="193"/>
      <c r="L597" s="237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7"/>
      <c r="J598" s="237"/>
      <c r="K598" s="193"/>
      <c r="L598" s="237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7"/>
      <c r="J599" s="237"/>
      <c r="K599" s="193"/>
      <c r="L599" s="237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7"/>
      <c r="J600" s="237"/>
      <c r="K600" s="193"/>
      <c r="L600" s="237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7"/>
      <c r="J601" s="237"/>
      <c r="K601" s="193"/>
      <c r="L601" s="237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7"/>
      <c r="J602" s="237"/>
      <c r="K602" s="193"/>
      <c r="L602" s="237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7"/>
      <c r="J603" s="237"/>
      <c r="K603" s="193"/>
      <c r="L603" s="237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7"/>
      <c r="J604" s="237"/>
      <c r="K604" s="193"/>
      <c r="L604" s="237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7"/>
      <c r="J605" s="237"/>
      <c r="K605" s="193"/>
      <c r="L605" s="237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7"/>
      <c r="J606" s="237"/>
      <c r="K606" s="193"/>
      <c r="L606" s="237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7"/>
      <c r="J607" s="237"/>
      <c r="K607" s="193"/>
      <c r="L607" s="237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7"/>
      <c r="J608" s="237"/>
      <c r="K608" s="193"/>
      <c r="L608" s="237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7"/>
      <c r="J609" s="237"/>
      <c r="K609" s="193"/>
      <c r="L609" s="237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7"/>
      <c r="J610" s="237"/>
      <c r="K610" s="193"/>
      <c r="L610" s="237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7"/>
      <c r="J611" s="237"/>
      <c r="K611" s="193"/>
      <c r="L611" s="237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7"/>
      <c r="J612" s="237"/>
      <c r="K612" s="193"/>
      <c r="L612" s="237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7"/>
      <c r="J613" s="237"/>
      <c r="K613" s="193"/>
      <c r="L613" s="237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7"/>
      <c r="J614" s="237"/>
      <c r="K614" s="193"/>
      <c r="L614" s="237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7"/>
      <c r="J615" s="237"/>
      <c r="K615" s="193"/>
      <c r="L615" s="237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7"/>
      <c r="J616" s="237"/>
      <c r="K616" s="193"/>
      <c r="L616" s="237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7"/>
      <c r="J617" s="237"/>
      <c r="K617" s="193"/>
      <c r="L617" s="237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7"/>
      <c r="J618" s="237"/>
      <c r="K618" s="193"/>
      <c r="L618" s="237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7"/>
      <c r="J619" s="237"/>
      <c r="K619" s="193"/>
      <c r="L619" s="237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7"/>
      <c r="J620" s="237"/>
      <c r="K620" s="193"/>
      <c r="L620" s="237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7"/>
      <c r="J621" s="237"/>
      <c r="K621" s="193"/>
      <c r="L621" s="237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7"/>
      <c r="J622" s="237"/>
      <c r="K622" s="193"/>
      <c r="L622" s="237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7"/>
      <c r="J623" s="237"/>
      <c r="K623" s="193"/>
      <c r="L623" s="237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7"/>
      <c r="J624" s="237"/>
      <c r="K624" s="193"/>
      <c r="L624" s="237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7"/>
      <c r="J625" s="237"/>
      <c r="K625" s="193"/>
      <c r="L625" s="237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7"/>
      <c r="J626" s="237"/>
      <c r="K626" s="193"/>
      <c r="L626" s="237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7"/>
      <c r="J627" s="237"/>
      <c r="K627" s="193"/>
      <c r="L627" s="237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7"/>
      <c r="J628" s="237"/>
      <c r="K628" s="193"/>
      <c r="L628" s="237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7"/>
      <c r="J629" s="237"/>
      <c r="K629" s="193"/>
      <c r="L629" s="237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7"/>
      <c r="J630" s="237"/>
      <c r="K630" s="193"/>
      <c r="L630" s="237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7"/>
      <c r="J631" s="237"/>
      <c r="K631" s="193"/>
      <c r="L631" s="237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7"/>
      <c r="J632" s="237"/>
      <c r="K632" s="193"/>
      <c r="L632" s="237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7"/>
      <c r="J633" s="237"/>
      <c r="K633" s="193"/>
      <c r="L633" s="237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7"/>
      <c r="J634" s="237"/>
      <c r="K634" s="193"/>
      <c r="L634" s="237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7"/>
      <c r="J635" s="237"/>
      <c r="K635" s="193"/>
      <c r="L635" s="237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7"/>
      <c r="J636" s="237"/>
      <c r="K636" s="193"/>
      <c r="L636" s="237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7"/>
      <c r="J637" s="237"/>
      <c r="K637" s="193"/>
      <c r="L637" s="237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7"/>
      <c r="J638" s="237"/>
      <c r="K638" s="193"/>
      <c r="L638" s="237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7"/>
      <c r="J639" s="237"/>
      <c r="K639" s="193"/>
      <c r="L639" s="237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7"/>
      <c r="J640" s="237"/>
      <c r="K640" s="193"/>
      <c r="L640" s="237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7"/>
      <c r="J641" s="237"/>
      <c r="K641" s="193"/>
      <c r="L641" s="237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7"/>
      <c r="J642" s="237"/>
      <c r="K642" s="193"/>
      <c r="L642" s="237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7"/>
      <c r="J643" s="237"/>
      <c r="K643" s="193"/>
      <c r="L643" s="237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7"/>
      <c r="J644" s="237"/>
      <c r="K644" s="193"/>
      <c r="L644" s="237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7"/>
      <c r="J645" s="237"/>
      <c r="K645" s="193"/>
      <c r="L645" s="237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7"/>
      <c r="J646" s="237"/>
      <c r="K646" s="193"/>
      <c r="L646" s="237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7"/>
      <c r="J647" s="237"/>
      <c r="K647" s="193"/>
      <c r="L647" s="237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7"/>
      <c r="J648" s="237"/>
      <c r="K648" s="193"/>
      <c r="L648" s="237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7"/>
      <c r="J649" s="237"/>
      <c r="K649" s="193"/>
      <c r="L649" s="237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7"/>
      <c r="J650" s="237"/>
      <c r="K650" s="193"/>
      <c r="L650" s="237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7"/>
      <c r="J651" s="237"/>
      <c r="K651" s="193"/>
      <c r="L651" s="237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7"/>
      <c r="J652" s="237"/>
      <c r="K652" s="193"/>
      <c r="L652" s="237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7"/>
      <c r="J653" s="237"/>
      <c r="K653" s="193"/>
      <c r="L653" s="237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7"/>
      <c r="J654" s="237"/>
      <c r="K654" s="193"/>
      <c r="L654" s="237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7"/>
      <c r="J655" s="237"/>
      <c r="K655" s="193"/>
      <c r="L655" s="237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7"/>
      <c r="J656" s="237"/>
      <c r="K656" s="193"/>
      <c r="L656" s="237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7"/>
      <c r="J657" s="237"/>
      <c r="K657" s="193"/>
      <c r="L657" s="237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7"/>
      <c r="J658" s="237"/>
      <c r="K658" s="193"/>
      <c r="L658" s="237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7"/>
      <c r="J659" s="237"/>
      <c r="K659" s="193"/>
      <c r="L659" s="237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7"/>
      <c r="J660" s="237"/>
      <c r="K660" s="193"/>
      <c r="L660" s="237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7"/>
      <c r="J661" s="237"/>
      <c r="K661" s="193"/>
      <c r="L661" s="237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7"/>
      <c r="J662" s="237"/>
      <c r="K662" s="193"/>
      <c r="L662" s="237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7"/>
      <c r="J663" s="237"/>
      <c r="K663" s="193"/>
      <c r="L663" s="237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7"/>
      <c r="J664" s="237"/>
      <c r="K664" s="193"/>
      <c r="L664" s="237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7"/>
      <c r="J665" s="237"/>
      <c r="K665" s="193"/>
      <c r="L665" s="237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7"/>
      <c r="J666" s="237"/>
      <c r="K666" s="193"/>
      <c r="L666" s="237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7"/>
      <c r="J667" s="237"/>
      <c r="K667" s="193"/>
      <c r="L667" s="237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7"/>
      <c r="J668" s="237"/>
      <c r="K668" s="193"/>
      <c r="L668" s="237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7"/>
      <c r="J669" s="237"/>
      <c r="K669" s="193"/>
      <c r="L669" s="237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7"/>
      <c r="J670" s="237"/>
      <c r="K670" s="193"/>
      <c r="L670" s="237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7"/>
      <c r="J671" s="237"/>
      <c r="K671" s="193"/>
      <c r="L671" s="237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7"/>
      <c r="J672" s="237"/>
      <c r="K672" s="193"/>
      <c r="L672" s="237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7"/>
      <c r="J673" s="237"/>
      <c r="K673" s="193"/>
      <c r="L673" s="237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7"/>
      <c r="J674" s="237"/>
      <c r="K674" s="193"/>
      <c r="L674" s="237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7"/>
      <c r="J675" s="237"/>
      <c r="K675" s="193"/>
      <c r="L675" s="237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7"/>
      <c r="J676" s="237"/>
      <c r="K676" s="193"/>
      <c r="L676" s="237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7"/>
      <c r="J677" s="237"/>
      <c r="K677" s="193"/>
      <c r="L677" s="237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7"/>
      <c r="J678" s="237"/>
      <c r="K678" s="193"/>
      <c r="L678" s="237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7"/>
      <c r="J679" s="237"/>
      <c r="K679" s="193"/>
      <c r="L679" s="237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7"/>
      <c r="J680" s="237"/>
      <c r="K680" s="193"/>
      <c r="L680" s="237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7"/>
      <c r="J681" s="237"/>
      <c r="K681" s="193"/>
      <c r="L681" s="237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7"/>
      <c r="J682" s="237"/>
      <c r="K682" s="193"/>
      <c r="L682" s="237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7"/>
      <c r="J683" s="237"/>
      <c r="K683" s="193"/>
      <c r="L683" s="237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7"/>
      <c r="J684" s="237"/>
      <c r="K684" s="193"/>
      <c r="L684" s="237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7"/>
      <c r="J685" s="237"/>
      <c r="K685" s="193"/>
      <c r="L685" s="237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7"/>
      <c r="J686" s="237"/>
      <c r="K686" s="193"/>
      <c r="L686" s="237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7"/>
      <c r="J687" s="237"/>
      <c r="K687" s="193"/>
      <c r="L687" s="237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7"/>
      <c r="J688" s="237"/>
      <c r="K688" s="193"/>
      <c r="L688" s="237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7"/>
      <c r="J689" s="237"/>
      <c r="K689" s="193"/>
      <c r="L689" s="237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7"/>
      <c r="J690" s="237"/>
      <c r="K690" s="193"/>
      <c r="L690" s="237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7"/>
      <c r="J691" s="237"/>
      <c r="K691" s="193"/>
      <c r="L691" s="237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7"/>
      <c r="J692" s="237"/>
      <c r="K692" s="193"/>
      <c r="L692" s="237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7"/>
      <c r="J693" s="237"/>
      <c r="K693" s="193"/>
      <c r="L693" s="237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7"/>
      <c r="J694" s="237"/>
      <c r="K694" s="193"/>
      <c r="L694" s="237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7"/>
      <c r="J695" s="237"/>
      <c r="K695" s="193"/>
      <c r="L695" s="237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7"/>
      <c r="J696" s="237"/>
      <c r="K696" s="193"/>
      <c r="L696" s="237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7"/>
      <c r="J697" s="237"/>
      <c r="K697" s="193"/>
      <c r="L697" s="237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7"/>
      <c r="J698" s="237"/>
      <c r="K698" s="193"/>
      <c r="L698" s="237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7"/>
      <c r="J699" s="237"/>
      <c r="K699" s="193"/>
      <c r="L699" s="237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7"/>
      <c r="J700" s="237"/>
      <c r="K700" s="193"/>
      <c r="L700" s="237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7"/>
      <c r="J701" s="237"/>
      <c r="K701" s="193"/>
      <c r="L701" s="237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7"/>
      <c r="J702" s="237"/>
      <c r="K702" s="193"/>
      <c r="L702" s="237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7"/>
      <c r="J703" s="237"/>
      <c r="K703" s="193"/>
      <c r="L703" s="237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7"/>
      <c r="J704" s="237"/>
      <c r="K704" s="193"/>
      <c r="L704" s="237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7"/>
      <c r="J705" s="237"/>
      <c r="K705" s="193"/>
      <c r="L705" s="237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7"/>
      <c r="J706" s="237"/>
      <c r="K706" s="193"/>
      <c r="L706" s="237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7"/>
      <c r="J707" s="237"/>
      <c r="K707" s="193"/>
      <c r="L707" s="237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7"/>
      <c r="J708" s="237"/>
      <c r="K708" s="193"/>
      <c r="L708" s="237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7"/>
      <c r="J709" s="237"/>
      <c r="K709" s="193"/>
      <c r="L709" s="237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7"/>
      <c r="J710" s="237"/>
      <c r="K710" s="193"/>
      <c r="L710" s="237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7"/>
      <c r="J711" s="237"/>
      <c r="K711" s="193"/>
      <c r="L711" s="237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7"/>
      <c r="J712" s="237"/>
      <c r="K712" s="193"/>
      <c r="L712" s="237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7"/>
      <c r="J713" s="237"/>
      <c r="K713" s="193"/>
      <c r="L713" s="237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7"/>
      <c r="J714" s="237"/>
      <c r="K714" s="193"/>
      <c r="L714" s="237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7"/>
      <c r="J715" s="237"/>
      <c r="K715" s="193"/>
      <c r="L715" s="237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7"/>
      <c r="J716" s="237"/>
      <c r="K716" s="193"/>
      <c r="L716" s="237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7"/>
      <c r="J717" s="237"/>
      <c r="K717" s="193"/>
      <c r="L717" s="237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7"/>
      <c r="J718" s="237"/>
      <c r="K718" s="193"/>
      <c r="L718" s="237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7"/>
      <c r="J719" s="237"/>
      <c r="K719" s="193"/>
      <c r="L719" s="237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7"/>
      <c r="J720" s="237"/>
      <c r="K720" s="193"/>
      <c r="L720" s="237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7"/>
      <c r="J721" s="237"/>
      <c r="K721" s="193"/>
      <c r="L721" s="237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7"/>
      <c r="J722" s="237"/>
      <c r="K722" s="193"/>
      <c r="L722" s="237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7"/>
      <c r="J723" s="237"/>
      <c r="K723" s="193"/>
      <c r="L723" s="237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7"/>
      <c r="J724" s="237"/>
      <c r="K724" s="193"/>
      <c r="L724" s="237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7"/>
      <c r="J725" s="237"/>
      <c r="K725" s="193"/>
      <c r="L725" s="237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7"/>
      <c r="J726" s="237"/>
      <c r="K726" s="193"/>
      <c r="L726" s="237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7"/>
      <c r="J727" s="237"/>
      <c r="K727" s="193"/>
      <c r="L727" s="237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7"/>
      <c r="J728" s="237"/>
      <c r="K728" s="193"/>
      <c r="L728" s="237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7"/>
      <c r="J729" s="237"/>
      <c r="K729" s="193"/>
      <c r="L729" s="237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7"/>
      <c r="J730" s="237"/>
      <c r="K730" s="193"/>
      <c r="L730" s="237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7"/>
      <c r="J731" s="237"/>
      <c r="K731" s="193"/>
      <c r="L731" s="237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7"/>
      <c r="J732" s="237"/>
      <c r="K732" s="193"/>
      <c r="L732" s="237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7"/>
      <c r="J733" s="237"/>
      <c r="K733" s="193"/>
      <c r="L733" s="237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7"/>
      <c r="J734" s="237"/>
      <c r="K734" s="193"/>
      <c r="L734" s="237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7"/>
      <c r="J735" s="237"/>
      <c r="K735" s="193"/>
      <c r="L735" s="237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7"/>
      <c r="J736" s="237"/>
      <c r="K736" s="193"/>
      <c r="L736" s="237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7"/>
      <c r="J737" s="237"/>
      <c r="K737" s="193"/>
      <c r="L737" s="237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7"/>
      <c r="J738" s="237"/>
      <c r="K738" s="193"/>
      <c r="L738" s="237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7"/>
      <c r="J739" s="237"/>
      <c r="K739" s="193"/>
      <c r="L739" s="237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7"/>
      <c r="J740" s="237"/>
      <c r="K740" s="193"/>
      <c r="L740" s="237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7"/>
      <c r="J741" s="237"/>
      <c r="K741" s="193"/>
      <c r="L741" s="237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7"/>
      <c r="J742" s="237"/>
      <c r="K742" s="193"/>
      <c r="L742" s="237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7"/>
      <c r="J743" s="237"/>
      <c r="K743" s="193"/>
      <c r="L743" s="237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7"/>
      <c r="J744" s="237"/>
      <c r="K744" s="193"/>
      <c r="L744" s="237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7"/>
      <c r="J745" s="237"/>
      <c r="K745" s="193"/>
      <c r="L745" s="237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7"/>
      <c r="J746" s="237"/>
      <c r="K746" s="193"/>
      <c r="L746" s="237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7"/>
      <c r="J747" s="237"/>
      <c r="K747" s="193"/>
      <c r="L747" s="237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7"/>
      <c r="J748" s="237"/>
      <c r="K748" s="193"/>
      <c r="L748" s="237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7"/>
      <c r="J749" s="237"/>
      <c r="K749" s="193"/>
      <c r="L749" s="237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7"/>
      <c r="J750" s="237"/>
      <c r="K750" s="193"/>
      <c r="L750" s="237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7"/>
      <c r="J751" s="237"/>
      <c r="K751" s="193"/>
      <c r="L751" s="237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7"/>
      <c r="J752" s="237"/>
      <c r="K752" s="193"/>
      <c r="L752" s="237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7"/>
      <c r="J753" s="237"/>
      <c r="K753" s="193"/>
      <c r="L753" s="237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7"/>
      <c r="J754" s="237"/>
      <c r="K754" s="193"/>
      <c r="L754" s="237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7"/>
      <c r="J755" s="237"/>
      <c r="K755" s="193"/>
      <c r="L755" s="237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7"/>
      <c r="J756" s="237"/>
      <c r="K756" s="193"/>
      <c r="L756" s="237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7"/>
      <c r="J757" s="237"/>
      <c r="K757" s="193"/>
      <c r="L757" s="237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7"/>
      <c r="J758" s="237"/>
      <c r="K758" s="193"/>
      <c r="L758" s="237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7"/>
      <c r="J759" s="237"/>
      <c r="K759" s="193"/>
      <c r="L759" s="237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7"/>
      <c r="J760" s="237"/>
      <c r="K760" s="193"/>
      <c r="L760" s="237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7"/>
      <c r="J761" s="237"/>
      <c r="K761" s="193"/>
      <c r="L761" s="237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7"/>
      <c r="J762" s="237"/>
      <c r="K762" s="193"/>
      <c r="L762" s="237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7"/>
      <c r="J763" s="237"/>
      <c r="K763" s="193"/>
      <c r="L763" s="237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7"/>
      <c r="J764" s="237"/>
      <c r="K764" s="193"/>
      <c r="L764" s="237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7"/>
      <c r="J765" s="237"/>
      <c r="K765" s="193"/>
      <c r="L765" s="237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8"/>
      <c r="J766" s="238"/>
      <c r="K766" s="234"/>
      <c r="L766" s="238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9"/>
      <c r="J767" s="239"/>
      <c r="K767" s="236"/>
      <c r="L767" s="239"/>
      <c r="M767" s="260"/>
    </row>
    <row r="768" spans="1:13" x14ac:dyDescent="0.3">
      <c r="A768" s="220"/>
      <c r="B768" s="176"/>
      <c r="C768" s="176"/>
      <c r="D768" s="176"/>
      <c r="E768" s="176"/>
      <c r="F768" s="176"/>
      <c r="I768" s="239"/>
      <c r="J768" s="239"/>
      <c r="K768" s="236"/>
      <c r="L768" s="239"/>
      <c r="M768" s="260"/>
    </row>
    <row r="769" spans="1:13" x14ac:dyDescent="0.3">
      <c r="A769" s="220"/>
      <c r="B769" s="176"/>
      <c r="C769" s="176"/>
      <c r="D769" s="176"/>
      <c r="E769" s="176"/>
      <c r="F769" s="176"/>
      <c r="I769" s="239"/>
      <c r="J769" s="239"/>
      <c r="K769" s="236"/>
      <c r="L769" s="239"/>
      <c r="M769" s="260"/>
    </row>
    <row r="770" spans="1:13" x14ac:dyDescent="0.3">
      <c r="A770" s="220"/>
      <c r="B770" s="176"/>
      <c r="C770" s="176"/>
      <c r="D770" s="176"/>
      <c r="E770" s="176"/>
      <c r="F770" s="176"/>
      <c r="I770" s="239"/>
      <c r="J770" s="239"/>
      <c r="K770" s="236"/>
      <c r="L770" s="239"/>
      <c r="M770" s="260"/>
    </row>
    <row r="771" spans="1:13" x14ac:dyDescent="0.3">
      <c r="A771" s="220"/>
      <c r="B771" s="176"/>
      <c r="C771" s="176"/>
      <c r="D771" s="176"/>
      <c r="E771" s="176"/>
      <c r="F771" s="176"/>
      <c r="I771" s="239"/>
      <c r="J771" s="239"/>
      <c r="K771" s="236"/>
      <c r="L771" s="239"/>
      <c r="M771" s="260"/>
    </row>
    <row r="772" spans="1:13" x14ac:dyDescent="0.3">
      <c r="A772" s="220"/>
      <c r="B772" s="176"/>
      <c r="C772" s="176"/>
      <c r="D772" s="176"/>
      <c r="E772" s="176"/>
      <c r="F772" s="176"/>
      <c r="I772" s="239"/>
      <c r="J772" s="239"/>
      <c r="K772" s="236"/>
      <c r="L772" s="239"/>
      <c r="M772" s="260"/>
    </row>
    <row r="773" spans="1:13" x14ac:dyDescent="0.3">
      <c r="A773" s="220"/>
      <c r="B773" s="176"/>
      <c r="C773" s="176"/>
      <c r="D773" s="176"/>
      <c r="E773" s="176"/>
      <c r="F773" s="176"/>
      <c r="I773" s="239"/>
      <c r="J773" s="239"/>
      <c r="K773" s="236"/>
      <c r="L773" s="239"/>
      <c r="M773" s="260"/>
    </row>
    <row r="774" spans="1:13" x14ac:dyDescent="0.3">
      <c r="A774" s="220"/>
      <c r="B774" s="176"/>
      <c r="C774" s="176"/>
      <c r="D774" s="176"/>
      <c r="E774" s="176"/>
      <c r="F774" s="176"/>
      <c r="I774" s="239"/>
      <c r="J774" s="239"/>
      <c r="K774" s="236"/>
      <c r="L774" s="239"/>
      <c r="M774" s="260"/>
    </row>
    <row r="775" spans="1:13" x14ac:dyDescent="0.3">
      <c r="A775" s="220"/>
      <c r="B775" s="176"/>
      <c r="C775" s="176"/>
      <c r="D775" s="176"/>
      <c r="E775" s="176"/>
      <c r="F775" s="176"/>
      <c r="I775" s="239"/>
      <c r="J775" s="239"/>
      <c r="K775" s="236"/>
      <c r="L775" s="239"/>
      <c r="M775" s="260"/>
    </row>
    <row r="776" spans="1:13" x14ac:dyDescent="0.3">
      <c r="A776" s="220"/>
      <c r="B776" s="176"/>
      <c r="C776" s="176"/>
      <c r="D776" s="176"/>
      <c r="E776" s="176"/>
      <c r="F776" s="176"/>
      <c r="I776" s="239"/>
      <c r="J776" s="239"/>
      <c r="K776" s="236"/>
      <c r="L776" s="239"/>
      <c r="M776" s="260"/>
    </row>
    <row r="777" spans="1:13" x14ac:dyDescent="0.3">
      <c r="A777" s="220"/>
      <c r="B777" s="176"/>
      <c r="C777" s="176"/>
      <c r="D777" s="176"/>
      <c r="E777" s="176"/>
      <c r="F777" s="176"/>
      <c r="I777" s="239"/>
      <c r="J777" s="239"/>
      <c r="K777" s="236"/>
      <c r="L777" s="239"/>
      <c r="M777" s="260"/>
    </row>
    <row r="778" spans="1:13" x14ac:dyDescent="0.3">
      <c r="A778" s="220"/>
      <c r="B778" s="176"/>
      <c r="C778" s="176"/>
      <c r="D778" s="176"/>
      <c r="E778" s="176"/>
      <c r="F778" s="176"/>
      <c r="I778" s="239"/>
      <c r="J778" s="239"/>
      <c r="K778" s="236"/>
      <c r="L778" s="239"/>
      <c r="M778" s="260"/>
    </row>
    <row r="779" spans="1:13" x14ac:dyDescent="0.3">
      <c r="A779" s="220"/>
      <c r="B779" s="176"/>
      <c r="C779" s="176"/>
      <c r="D779" s="176"/>
      <c r="E779" s="176"/>
      <c r="F779" s="176"/>
      <c r="I779" s="239"/>
      <c r="J779" s="239"/>
      <c r="K779" s="236"/>
      <c r="L779" s="239"/>
      <c r="M779" s="260"/>
    </row>
    <row r="780" spans="1:13" x14ac:dyDescent="0.3">
      <c r="A780" s="220"/>
      <c r="B780" s="176"/>
      <c r="C780" s="176"/>
      <c r="D780" s="176"/>
      <c r="E780" s="176"/>
      <c r="F780" s="176"/>
      <c r="I780" s="239"/>
      <c r="J780" s="239"/>
      <c r="K780" s="236"/>
      <c r="L780" s="239"/>
      <c r="M780" s="260"/>
    </row>
    <row r="781" spans="1:13" x14ac:dyDescent="0.3">
      <c r="A781" s="220"/>
      <c r="B781" s="176"/>
      <c r="C781" s="176"/>
      <c r="D781" s="176"/>
      <c r="E781" s="176"/>
      <c r="F781" s="176"/>
      <c r="I781" s="239"/>
      <c r="J781" s="239"/>
      <c r="K781" s="236"/>
      <c r="L781" s="239"/>
      <c r="M781" s="260"/>
    </row>
    <row r="782" spans="1:13" x14ac:dyDescent="0.3">
      <c r="A782" s="220"/>
      <c r="B782" s="176"/>
      <c r="C782" s="176"/>
      <c r="D782" s="176"/>
      <c r="E782" s="176"/>
      <c r="F782" s="176"/>
      <c r="I782" s="239"/>
      <c r="J782" s="239"/>
      <c r="K782" s="236"/>
      <c r="L782" s="239"/>
      <c r="M782" s="260"/>
    </row>
    <row r="783" spans="1:13" x14ac:dyDescent="0.3">
      <c r="A783" s="220"/>
      <c r="B783" s="176"/>
      <c r="C783" s="176"/>
      <c r="D783" s="176"/>
      <c r="E783" s="176"/>
      <c r="F783" s="176"/>
      <c r="I783" s="239"/>
      <c r="J783" s="239"/>
      <c r="K783" s="236"/>
      <c r="L783" s="239"/>
      <c r="M783" s="260"/>
    </row>
    <row r="784" spans="1:13" x14ac:dyDescent="0.3">
      <c r="A784" s="220"/>
      <c r="B784" s="176"/>
      <c r="C784" s="176"/>
      <c r="D784" s="176"/>
      <c r="E784" s="176"/>
      <c r="F784" s="176"/>
      <c r="I784" s="239"/>
      <c r="J784" s="239"/>
      <c r="K784" s="236"/>
      <c r="L784" s="239"/>
      <c r="M784" s="260"/>
    </row>
    <row r="785" spans="1:13" x14ac:dyDescent="0.3">
      <c r="A785" s="220"/>
      <c r="B785" s="176"/>
      <c r="C785" s="176"/>
      <c r="D785" s="176"/>
      <c r="E785" s="176"/>
      <c r="F785" s="176"/>
      <c r="I785" s="239"/>
      <c r="J785" s="239"/>
      <c r="K785" s="236"/>
      <c r="L785" s="239"/>
      <c r="M785" s="260"/>
    </row>
    <row r="786" spans="1:13" x14ac:dyDescent="0.3">
      <c r="A786" s="220"/>
      <c r="B786" s="176"/>
      <c r="C786" s="176"/>
      <c r="D786" s="176"/>
      <c r="E786" s="176"/>
      <c r="F786" s="176"/>
      <c r="I786" s="239"/>
      <c r="J786" s="239"/>
      <c r="K786" s="236"/>
      <c r="L786" s="239"/>
      <c r="M786" s="260"/>
    </row>
    <row r="787" spans="1:13" x14ac:dyDescent="0.3">
      <c r="A787" s="220"/>
      <c r="B787" s="176"/>
      <c r="C787" s="176"/>
      <c r="D787" s="176"/>
      <c r="E787" s="176"/>
      <c r="F787" s="176"/>
      <c r="I787" s="239"/>
      <c r="J787" s="239"/>
      <c r="K787" s="236"/>
      <c r="L787" s="239"/>
      <c r="M787" s="260"/>
    </row>
    <row r="788" spans="1:13" x14ac:dyDescent="0.3">
      <c r="A788" s="220"/>
      <c r="B788" s="176"/>
      <c r="C788" s="176"/>
      <c r="D788" s="176"/>
      <c r="E788" s="176"/>
      <c r="F788" s="176"/>
      <c r="I788" s="239"/>
      <c r="J788" s="239"/>
      <c r="K788" s="236"/>
      <c r="L788" s="239"/>
      <c r="M788" s="260"/>
    </row>
    <row r="789" spans="1:13" x14ac:dyDescent="0.3">
      <c r="A789" s="220"/>
      <c r="B789" s="176"/>
      <c r="C789" s="176"/>
      <c r="D789" s="176"/>
      <c r="E789" s="176"/>
      <c r="F789" s="176"/>
      <c r="I789" s="239"/>
      <c r="J789" s="239"/>
      <c r="K789" s="236"/>
      <c r="L789" s="239"/>
      <c r="M789" s="260"/>
    </row>
    <row r="790" spans="1:13" x14ac:dyDescent="0.3">
      <c r="A790" s="220"/>
      <c r="B790" s="176"/>
      <c r="C790" s="176"/>
      <c r="D790" s="176"/>
      <c r="E790" s="176"/>
      <c r="F790" s="176"/>
      <c r="I790" s="239"/>
      <c r="J790" s="239"/>
      <c r="K790" s="236"/>
      <c r="L790" s="239"/>
      <c r="M790" s="260"/>
    </row>
    <row r="791" spans="1:13" x14ac:dyDescent="0.3">
      <c r="A791" s="220"/>
      <c r="B791" s="176"/>
      <c r="C791" s="176"/>
      <c r="D791" s="176"/>
      <c r="E791" s="176"/>
      <c r="F791" s="176"/>
      <c r="I791" s="239"/>
      <c r="J791" s="239"/>
      <c r="K791" s="236"/>
      <c r="L791" s="239"/>
      <c r="M791" s="260"/>
    </row>
    <row r="792" spans="1:13" x14ac:dyDescent="0.3">
      <c r="A792" s="220"/>
      <c r="B792" s="176"/>
      <c r="C792" s="176"/>
      <c r="D792" s="176"/>
      <c r="E792" s="176"/>
      <c r="F792" s="176"/>
      <c r="I792" s="239"/>
      <c r="J792" s="239"/>
      <c r="K792" s="236"/>
      <c r="L792" s="239"/>
      <c r="M792" s="260"/>
    </row>
    <row r="793" spans="1:13" x14ac:dyDescent="0.3">
      <c r="A793" s="220"/>
      <c r="B793" s="176"/>
      <c r="C793" s="176"/>
      <c r="D793" s="176"/>
      <c r="E793" s="176"/>
      <c r="F793" s="176"/>
      <c r="I793" s="239"/>
      <c r="J793" s="239"/>
      <c r="K793" s="236"/>
      <c r="L793" s="239"/>
      <c r="M793" s="260"/>
    </row>
    <row r="794" spans="1:13" x14ac:dyDescent="0.3">
      <c r="A794" s="220"/>
      <c r="B794" s="176"/>
      <c r="C794" s="176"/>
      <c r="D794" s="176"/>
      <c r="E794" s="176"/>
      <c r="F794" s="176"/>
      <c r="I794" s="239"/>
      <c r="J794" s="239"/>
      <c r="K794" s="236"/>
      <c r="L794" s="239"/>
      <c r="M794" s="260"/>
    </row>
    <row r="795" spans="1:13" x14ac:dyDescent="0.3">
      <c r="A795" s="220"/>
      <c r="B795" s="176"/>
      <c r="C795" s="176"/>
      <c r="D795" s="176"/>
      <c r="E795" s="176"/>
      <c r="F795" s="176"/>
      <c r="I795" s="239"/>
      <c r="J795" s="239"/>
      <c r="K795" s="236"/>
      <c r="L795" s="239"/>
      <c r="M795" s="260"/>
    </row>
    <row r="796" spans="1:13" x14ac:dyDescent="0.3">
      <c r="A796" s="220"/>
      <c r="B796" s="55"/>
      <c r="C796" s="55"/>
      <c r="D796" s="55"/>
      <c r="E796" s="176"/>
      <c r="F796" s="55"/>
      <c r="I796" s="239"/>
      <c r="J796" s="239"/>
      <c r="K796" s="236"/>
      <c r="L796" s="239"/>
      <c r="M796" s="260"/>
    </row>
    <row r="797" spans="1:13" x14ac:dyDescent="0.3">
      <c r="A797" s="220"/>
      <c r="B797" s="55"/>
      <c r="C797" s="55"/>
      <c r="D797" s="55"/>
      <c r="E797" s="176"/>
      <c r="F797" s="55"/>
      <c r="I797" s="239"/>
      <c r="J797" s="239"/>
      <c r="K797" s="236"/>
      <c r="L797" s="239"/>
      <c r="M797" s="260"/>
    </row>
    <row r="798" spans="1:13" x14ac:dyDescent="0.3">
      <c r="A798" s="220"/>
      <c r="B798" s="55"/>
      <c r="C798" s="55"/>
      <c r="D798" s="55"/>
      <c r="E798" s="176"/>
      <c r="F798" s="55"/>
      <c r="I798" s="239"/>
      <c r="J798" s="239"/>
      <c r="K798" s="236"/>
      <c r="L798" s="239"/>
      <c r="M798" s="260"/>
    </row>
    <row r="799" spans="1:13" x14ac:dyDescent="0.3">
      <c r="A799" s="220"/>
      <c r="B799" s="55"/>
      <c r="C799" s="55"/>
      <c r="D799" s="55"/>
      <c r="E799" s="176"/>
      <c r="F799" s="55"/>
      <c r="I799" s="239"/>
      <c r="J799" s="239"/>
      <c r="K799" s="236"/>
      <c r="L799" s="239"/>
      <c r="M799" s="260"/>
    </row>
    <row r="800" spans="1:13" x14ac:dyDescent="0.3">
      <c r="A800" s="220"/>
      <c r="B800" s="55"/>
      <c r="C800" s="55"/>
      <c r="D800" s="55"/>
      <c r="E800" s="176"/>
      <c r="F800" s="55"/>
      <c r="I800" s="239"/>
      <c r="J800" s="239"/>
      <c r="K800" s="236"/>
      <c r="L800" s="239"/>
      <c r="M800" s="260"/>
    </row>
    <row r="801" spans="1:13" x14ac:dyDescent="0.3">
      <c r="A801" s="220"/>
      <c r="B801" s="55"/>
      <c r="C801" s="55"/>
      <c r="D801" s="55"/>
      <c r="E801" s="176"/>
      <c r="F801" s="55"/>
      <c r="I801" s="239"/>
      <c r="J801" s="239"/>
      <c r="K801" s="236"/>
      <c r="L801" s="239"/>
      <c r="M801" s="260"/>
    </row>
    <row r="802" spans="1:13" x14ac:dyDescent="0.3">
      <c r="A802" s="220"/>
      <c r="B802" s="55"/>
      <c r="C802" s="55"/>
      <c r="D802" s="55"/>
      <c r="E802" s="176"/>
      <c r="F802" s="55"/>
      <c r="I802" s="239"/>
      <c r="J802" s="239"/>
      <c r="K802" s="236"/>
      <c r="L802" s="239"/>
      <c r="M802" s="260"/>
    </row>
    <row r="803" spans="1:13" x14ac:dyDescent="0.3">
      <c r="A803" s="220"/>
      <c r="B803" s="55"/>
      <c r="C803" s="55"/>
      <c r="D803" s="55"/>
      <c r="E803" s="176"/>
      <c r="F803" s="55"/>
      <c r="I803" s="239"/>
      <c r="J803" s="239"/>
      <c r="K803" s="236"/>
      <c r="L803" s="239"/>
      <c r="M803" s="260"/>
    </row>
    <row r="804" spans="1:13" x14ac:dyDescent="0.3">
      <c r="A804" s="220"/>
      <c r="B804" s="55"/>
      <c r="C804" s="55"/>
      <c r="D804" s="55"/>
      <c r="E804" s="176"/>
      <c r="F804" s="55"/>
      <c r="I804" s="239"/>
      <c r="J804" s="239"/>
      <c r="K804" s="236"/>
      <c r="L804" s="239"/>
      <c r="M804" s="260"/>
    </row>
    <row r="805" spans="1:13" x14ac:dyDescent="0.3">
      <c r="A805" s="220"/>
      <c r="B805" s="55"/>
      <c r="C805" s="55"/>
      <c r="D805" s="55"/>
      <c r="E805" s="176"/>
      <c r="F805" s="55"/>
      <c r="I805" s="239"/>
      <c r="J805" s="239"/>
      <c r="K805" s="236"/>
      <c r="L805" s="239"/>
      <c r="M805" s="260"/>
    </row>
    <row r="806" spans="1:13" x14ac:dyDescent="0.3">
      <c r="A806" s="220"/>
      <c r="B806" s="55"/>
      <c r="C806" s="55"/>
      <c r="D806" s="55"/>
      <c r="E806" s="176"/>
      <c r="F806" s="55"/>
      <c r="I806" s="239"/>
      <c r="J806" s="239"/>
      <c r="K806" s="236"/>
      <c r="L806" s="239"/>
      <c r="M806" s="260"/>
    </row>
    <row r="807" spans="1:13" x14ac:dyDescent="0.3">
      <c r="A807" s="220"/>
      <c r="B807" s="55"/>
      <c r="C807" s="55"/>
      <c r="D807" s="55"/>
      <c r="E807" s="176"/>
      <c r="F807" s="55"/>
      <c r="I807" s="239"/>
      <c r="J807" s="239"/>
      <c r="K807" s="236"/>
      <c r="L807" s="239"/>
      <c r="M807" s="260"/>
    </row>
    <row r="808" spans="1:13" x14ac:dyDescent="0.3">
      <c r="A808" s="220"/>
      <c r="B808" s="55"/>
      <c r="C808" s="55"/>
      <c r="D808" s="55"/>
      <c r="E808" s="176"/>
      <c r="F808" s="55"/>
      <c r="I808" s="239"/>
      <c r="J808" s="239"/>
      <c r="K808" s="236"/>
      <c r="L808" s="239"/>
      <c r="M808" s="260"/>
    </row>
    <row r="809" spans="1:13" x14ac:dyDescent="0.3">
      <c r="A809" s="220"/>
      <c r="B809" s="55"/>
      <c r="C809" s="55"/>
      <c r="D809" s="55"/>
      <c r="E809" s="176"/>
      <c r="F809" s="55"/>
      <c r="I809" s="239"/>
      <c r="J809" s="239"/>
      <c r="K809" s="236"/>
      <c r="L809" s="239"/>
      <c r="M809" s="260"/>
    </row>
    <row r="810" spans="1:13" x14ac:dyDescent="0.3">
      <c r="A810" s="220"/>
      <c r="B810" s="55"/>
      <c r="C810" s="55"/>
      <c r="D810" s="55"/>
      <c r="E810" s="176"/>
      <c r="F810" s="55"/>
      <c r="I810" s="239"/>
      <c r="J810" s="239"/>
      <c r="K810" s="236"/>
      <c r="L810" s="239"/>
      <c r="M810" s="260"/>
    </row>
    <row r="811" spans="1:13" x14ac:dyDescent="0.3">
      <c r="A811" s="220"/>
      <c r="B811" s="55"/>
      <c r="C811" s="55"/>
      <c r="D811" s="55"/>
      <c r="E811" s="176"/>
      <c r="F811" s="55"/>
      <c r="I811" s="239"/>
      <c r="J811" s="239"/>
      <c r="K811" s="236"/>
      <c r="L811" s="239"/>
      <c r="M811" s="260"/>
    </row>
    <row r="812" spans="1:13" x14ac:dyDescent="0.3">
      <c r="A812" s="220"/>
      <c r="B812" s="55"/>
      <c r="C812" s="55"/>
      <c r="D812" s="55"/>
      <c r="E812" s="176"/>
      <c r="F812" s="55"/>
      <c r="I812" s="239"/>
      <c r="J812" s="239"/>
      <c r="K812" s="236"/>
      <c r="L812" s="239"/>
      <c r="M812" s="260"/>
    </row>
    <row r="813" spans="1:13" x14ac:dyDescent="0.3">
      <c r="A813" s="220"/>
      <c r="B813" s="55"/>
      <c r="C813" s="55"/>
      <c r="D813" s="55"/>
      <c r="E813" s="176"/>
      <c r="F813" s="55"/>
      <c r="I813" s="239"/>
      <c r="J813" s="239"/>
      <c r="K813" s="236"/>
      <c r="L813" s="239"/>
      <c r="M813" s="260"/>
    </row>
    <row r="814" spans="1:13" x14ac:dyDescent="0.3">
      <c r="A814" s="220"/>
      <c r="B814" s="55"/>
      <c r="C814" s="55"/>
      <c r="D814" s="55"/>
      <c r="E814" s="176"/>
      <c r="F814" s="55"/>
      <c r="I814" s="239"/>
      <c r="J814" s="239"/>
      <c r="K814" s="236"/>
      <c r="L814" s="239"/>
      <c r="M814" s="260"/>
    </row>
    <row r="815" spans="1:13" x14ac:dyDescent="0.3">
      <c r="A815" s="220"/>
      <c r="B815" s="55"/>
      <c r="C815" s="55"/>
      <c r="D815" s="55"/>
      <c r="E815" s="176"/>
      <c r="F815" s="55"/>
      <c r="I815" s="239"/>
      <c r="J815" s="239"/>
      <c r="K815" s="236"/>
      <c r="L815" s="239"/>
      <c r="M815" s="260"/>
    </row>
    <row r="816" spans="1:13" x14ac:dyDescent="0.3">
      <c r="A816" s="220"/>
      <c r="B816" s="55"/>
      <c r="C816" s="55"/>
      <c r="D816" s="55"/>
      <c r="E816" s="176"/>
      <c r="F816" s="55"/>
      <c r="I816" s="239"/>
      <c r="J816" s="239"/>
      <c r="K816" s="236"/>
      <c r="L816" s="239"/>
      <c r="M816" s="260"/>
    </row>
    <row r="817" spans="1:13" x14ac:dyDescent="0.3">
      <c r="A817" s="220"/>
      <c r="B817" s="55"/>
      <c r="C817" s="55"/>
      <c r="D817" s="55"/>
      <c r="E817" s="176"/>
      <c r="F817" s="55"/>
      <c r="I817" s="239"/>
      <c r="J817" s="239"/>
      <c r="K817" s="236"/>
      <c r="L817" s="239"/>
      <c r="M817" s="260"/>
    </row>
    <row r="818" spans="1:13" x14ac:dyDescent="0.3">
      <c r="A818" s="220"/>
      <c r="B818" s="55"/>
      <c r="C818" s="55"/>
      <c r="D818" s="55"/>
      <c r="E818" s="176"/>
      <c r="F818" s="55"/>
      <c r="I818" s="239"/>
      <c r="J818" s="239"/>
      <c r="K818" s="236"/>
      <c r="L818" s="239"/>
      <c r="M818" s="260"/>
    </row>
    <row r="819" spans="1:13" x14ac:dyDescent="0.3">
      <c r="A819" s="220"/>
      <c r="B819" s="55"/>
      <c r="C819" s="55"/>
      <c r="D819" s="55"/>
      <c r="E819" s="176"/>
      <c r="F819" s="55"/>
      <c r="I819" s="239"/>
      <c r="J819" s="239"/>
      <c r="K819" s="236"/>
      <c r="L819" s="239"/>
      <c r="M819" s="236"/>
    </row>
    <row r="820" spans="1:13" x14ac:dyDescent="0.3">
      <c r="A820" s="220"/>
      <c r="B820" s="55"/>
      <c r="C820" s="55"/>
      <c r="D820" s="55"/>
      <c r="E820" s="176"/>
      <c r="F820" s="55"/>
      <c r="I820" s="239"/>
      <c r="J820" s="239"/>
      <c r="K820" s="236"/>
      <c r="L820" s="239"/>
      <c r="M820" s="236"/>
    </row>
    <row r="821" spans="1:13" x14ac:dyDescent="0.3">
      <c r="A821" s="220"/>
      <c r="B821" s="55"/>
      <c r="C821" s="55"/>
      <c r="D821" s="55"/>
      <c r="E821" s="176"/>
      <c r="F821" s="55"/>
      <c r="I821" s="239"/>
      <c r="J821" s="239"/>
      <c r="K821" s="236"/>
      <c r="L821" s="239"/>
      <c r="M821" s="236"/>
    </row>
    <row r="822" spans="1:13" x14ac:dyDescent="0.3">
      <c r="A822" s="220"/>
      <c r="B822" s="55"/>
      <c r="C822" s="55"/>
      <c r="D822" s="55"/>
      <c r="E822" s="176"/>
      <c r="F822" s="55"/>
      <c r="I822" s="239"/>
      <c r="J822" s="239"/>
      <c r="K822" s="236"/>
      <c r="L822" s="239"/>
      <c r="M822" s="236"/>
    </row>
    <row r="823" spans="1:13" x14ac:dyDescent="0.3">
      <c r="A823" s="220"/>
      <c r="B823" s="55"/>
      <c r="C823" s="55"/>
      <c r="D823" s="55"/>
      <c r="E823" s="176"/>
      <c r="F823" s="55"/>
      <c r="I823" s="239"/>
      <c r="J823" s="239"/>
      <c r="K823" s="236"/>
      <c r="L823" s="239"/>
      <c r="M823" s="236"/>
    </row>
    <row r="824" spans="1:13" x14ac:dyDescent="0.3">
      <c r="A824" s="220"/>
      <c r="B824" s="55"/>
      <c r="C824" s="55"/>
      <c r="D824" s="55"/>
      <c r="E824" s="176"/>
      <c r="F824" s="55"/>
      <c r="I824" s="239"/>
      <c r="J824" s="239"/>
      <c r="K824" s="236"/>
      <c r="L824" s="239"/>
      <c r="M824" s="236"/>
    </row>
    <row r="825" spans="1:13" x14ac:dyDescent="0.3">
      <c r="A825" s="220"/>
      <c r="B825" s="55"/>
      <c r="C825" s="55"/>
      <c r="D825" s="55"/>
      <c r="E825" s="176"/>
      <c r="F825" s="55"/>
      <c r="I825" s="239"/>
      <c r="J825" s="239"/>
      <c r="K825" s="236"/>
      <c r="L825" s="239"/>
      <c r="M825" s="236"/>
    </row>
    <row r="826" spans="1:13" x14ac:dyDescent="0.3">
      <c r="A826" s="220"/>
      <c r="B826" s="55"/>
      <c r="C826" s="55"/>
      <c r="D826" s="55"/>
      <c r="E826" s="176"/>
      <c r="F826" s="55"/>
      <c r="I826" s="239"/>
      <c r="J826" s="239"/>
      <c r="K826" s="236"/>
      <c r="L826" s="239"/>
      <c r="M826" s="236"/>
    </row>
    <row r="827" spans="1:13" x14ac:dyDescent="0.3">
      <c r="A827" s="220"/>
      <c r="B827" s="55"/>
      <c r="C827" s="55"/>
      <c r="D827" s="55"/>
      <c r="E827" s="176"/>
      <c r="F827" s="55"/>
      <c r="I827" s="239"/>
      <c r="J827" s="239"/>
      <c r="K827" s="236"/>
      <c r="L827" s="239"/>
      <c r="M827" s="236"/>
    </row>
    <row r="828" spans="1:13" x14ac:dyDescent="0.3">
      <c r="A828" s="220"/>
      <c r="B828" s="55"/>
      <c r="C828" s="55"/>
      <c r="D828" s="55"/>
      <c r="E828" s="176"/>
      <c r="F828" s="55"/>
      <c r="I828" s="239"/>
      <c r="J828" s="239"/>
      <c r="K828" s="236"/>
      <c r="L828" s="239"/>
      <c r="M828" s="236"/>
    </row>
    <row r="829" spans="1:13" x14ac:dyDescent="0.3">
      <c r="A829" s="220"/>
      <c r="B829" s="55"/>
      <c r="C829" s="55"/>
      <c r="D829" s="55"/>
      <c r="E829" s="176"/>
      <c r="F829" s="55"/>
      <c r="I829" s="239"/>
      <c r="J829" s="239"/>
      <c r="K829" s="236"/>
      <c r="L829" s="239"/>
      <c r="M829" s="236"/>
    </row>
    <row r="830" spans="1:13" x14ac:dyDescent="0.3">
      <c r="A830" s="220"/>
      <c r="B830" s="55"/>
      <c r="C830" s="55"/>
      <c r="D830" s="55"/>
      <c r="E830" s="176"/>
      <c r="F830" s="55"/>
      <c r="I830" s="239"/>
      <c r="J830" s="239"/>
      <c r="K830" s="236"/>
      <c r="L830" s="239"/>
      <c r="M830" s="236"/>
    </row>
    <row r="831" spans="1:13" x14ac:dyDescent="0.3">
      <c r="A831" s="220"/>
      <c r="B831" s="55"/>
      <c r="C831" s="55"/>
      <c r="D831" s="55"/>
      <c r="E831" s="176"/>
      <c r="F831" s="55"/>
      <c r="I831" s="239"/>
      <c r="J831" s="239"/>
      <c r="K831" s="236"/>
      <c r="L831" s="239"/>
      <c r="M831" s="236"/>
    </row>
    <row r="832" spans="1:13" x14ac:dyDescent="0.3">
      <c r="A832" s="220"/>
      <c r="B832" s="55"/>
      <c r="C832" s="55"/>
      <c r="D832" s="55"/>
      <c r="E832" s="176"/>
      <c r="F832" s="55"/>
      <c r="I832" s="239"/>
      <c r="J832" s="239"/>
      <c r="K832" s="236"/>
      <c r="L832" s="239"/>
      <c r="M832" s="236"/>
    </row>
    <row r="833" spans="1:13" x14ac:dyDescent="0.3">
      <c r="A833" s="220"/>
      <c r="B833" s="55"/>
      <c r="C833" s="55"/>
      <c r="D833" s="55"/>
      <c r="E833" s="176"/>
      <c r="F833" s="55"/>
      <c r="I833" s="239"/>
      <c r="J833" s="239"/>
      <c r="K833" s="236"/>
      <c r="L833" s="239"/>
      <c r="M833" s="236"/>
    </row>
    <row r="834" spans="1:13" x14ac:dyDescent="0.3">
      <c r="A834" s="220"/>
      <c r="B834" s="55"/>
      <c r="C834" s="55"/>
      <c r="D834" s="55"/>
      <c r="E834" s="176"/>
      <c r="F834" s="55"/>
      <c r="I834" s="239"/>
      <c r="J834" s="239"/>
      <c r="K834" s="236"/>
      <c r="L834" s="239"/>
      <c r="M834" s="236"/>
    </row>
    <row r="835" spans="1:13" x14ac:dyDescent="0.3">
      <c r="A835" s="220"/>
      <c r="B835" s="55"/>
      <c r="C835" s="55"/>
      <c r="D835" s="55"/>
      <c r="E835" s="176"/>
      <c r="F835" s="55"/>
      <c r="I835" s="239"/>
      <c r="J835" s="239"/>
      <c r="K835" s="236"/>
      <c r="L835" s="239"/>
      <c r="M835" s="236"/>
    </row>
    <row r="836" spans="1:13" x14ac:dyDescent="0.3">
      <c r="A836" s="220"/>
      <c r="B836" s="55"/>
      <c r="C836" s="55"/>
      <c r="D836" s="55"/>
      <c r="E836" s="176"/>
      <c r="F836" s="55"/>
      <c r="I836" s="239"/>
      <c r="J836" s="239"/>
      <c r="K836" s="236"/>
      <c r="L836" s="239"/>
      <c r="M836" s="236"/>
    </row>
    <row r="837" spans="1:13" x14ac:dyDescent="0.3">
      <c r="A837" s="220"/>
      <c r="B837" s="55"/>
      <c r="C837" s="55"/>
      <c r="D837" s="55"/>
      <c r="E837" s="176"/>
      <c r="F837" s="55"/>
      <c r="I837" s="239"/>
      <c r="J837" s="239"/>
      <c r="K837" s="236"/>
      <c r="L837" s="239"/>
      <c r="M837" s="236"/>
    </row>
    <row r="838" spans="1:13" x14ac:dyDescent="0.3">
      <c r="A838" s="220"/>
      <c r="B838" s="55"/>
      <c r="C838" s="55"/>
      <c r="D838" s="55"/>
      <c r="E838" s="176"/>
      <c r="F838" s="55"/>
      <c r="I838" s="239"/>
      <c r="J838" s="239"/>
      <c r="K838" s="236"/>
      <c r="L838" s="239"/>
      <c r="M838" s="236"/>
    </row>
    <row r="839" spans="1:13" x14ac:dyDescent="0.3">
      <c r="A839" s="220"/>
      <c r="B839" s="55"/>
      <c r="C839" s="55"/>
      <c r="D839" s="55"/>
      <c r="E839" s="176"/>
      <c r="F839" s="55"/>
      <c r="I839" s="239"/>
      <c r="J839" s="239"/>
      <c r="K839" s="236"/>
      <c r="L839" s="239"/>
      <c r="M839" s="236"/>
    </row>
    <row r="840" spans="1:13" x14ac:dyDescent="0.3">
      <c r="A840" s="220"/>
      <c r="B840" s="55"/>
      <c r="C840" s="55"/>
      <c r="D840" s="55"/>
      <c r="E840" s="176"/>
      <c r="F840" s="55"/>
      <c r="I840" s="239"/>
      <c r="J840" s="239"/>
      <c r="K840" s="236"/>
      <c r="L840" s="239"/>
      <c r="M840" s="236"/>
    </row>
    <row r="841" spans="1:13" x14ac:dyDescent="0.3">
      <c r="A841" s="220"/>
      <c r="B841" s="55"/>
      <c r="C841" s="55"/>
      <c r="D841" s="55"/>
      <c r="E841" s="176"/>
      <c r="F841" s="55"/>
      <c r="I841" s="239"/>
      <c r="J841" s="239"/>
      <c r="K841" s="236"/>
      <c r="L841" s="239"/>
      <c r="M841" s="236"/>
    </row>
    <row r="842" spans="1:13" x14ac:dyDescent="0.3">
      <c r="A842" s="220"/>
      <c r="B842" s="55"/>
      <c r="C842" s="55"/>
      <c r="D842" s="55"/>
      <c r="E842" s="176"/>
      <c r="F842" s="55"/>
      <c r="I842" s="239"/>
      <c r="J842" s="239"/>
      <c r="K842" s="236"/>
      <c r="L842" s="239"/>
      <c r="M842" s="236"/>
    </row>
    <row r="843" spans="1:13" x14ac:dyDescent="0.3">
      <c r="A843" s="220"/>
      <c r="B843" s="55"/>
      <c r="C843" s="55"/>
      <c r="D843" s="55"/>
      <c r="E843" s="176"/>
      <c r="F843" s="55"/>
      <c r="I843" s="239"/>
      <c r="J843" s="239"/>
      <c r="K843" s="236"/>
      <c r="L843" s="239"/>
      <c r="M843" s="236"/>
    </row>
    <row r="844" spans="1:13" x14ac:dyDescent="0.3">
      <c r="A844" s="220"/>
      <c r="B844" s="55"/>
      <c r="C844" s="55"/>
      <c r="D844" s="55"/>
      <c r="E844" s="176"/>
      <c r="F844" s="55"/>
      <c r="I844" s="239"/>
      <c r="J844" s="239"/>
      <c r="K844" s="236"/>
      <c r="L844" s="239"/>
      <c r="M844" s="236"/>
    </row>
    <row r="845" spans="1:13" x14ac:dyDescent="0.3">
      <c r="A845" s="220"/>
      <c r="B845" s="55"/>
      <c r="C845" s="55"/>
      <c r="D845" s="55"/>
      <c r="E845" s="176"/>
      <c r="F845" s="55"/>
      <c r="I845" s="239"/>
      <c r="J845" s="239"/>
      <c r="K845" s="236"/>
      <c r="L845" s="239"/>
      <c r="M845" s="236"/>
    </row>
    <row r="846" spans="1:13" x14ac:dyDescent="0.3">
      <c r="A846" s="220"/>
      <c r="B846" s="55"/>
      <c r="C846" s="55"/>
      <c r="D846" s="55"/>
      <c r="E846" s="176"/>
      <c r="F846" s="55"/>
      <c r="I846" s="239"/>
      <c r="J846" s="239"/>
      <c r="K846" s="236"/>
      <c r="L846" s="239"/>
      <c r="M846" s="236"/>
    </row>
    <row r="847" spans="1:13" x14ac:dyDescent="0.3">
      <c r="A847" s="220"/>
      <c r="B847" s="55"/>
      <c r="C847" s="55"/>
      <c r="D847" s="55"/>
      <c r="E847" s="176"/>
      <c r="F847" s="55"/>
      <c r="I847" s="239"/>
      <c r="J847" s="239"/>
      <c r="K847" s="236"/>
      <c r="L847" s="239"/>
      <c r="M847" s="236"/>
    </row>
    <row r="848" spans="1:13" x14ac:dyDescent="0.3">
      <c r="A848" s="220"/>
      <c r="B848" s="55"/>
      <c r="C848" s="55"/>
      <c r="D848" s="55"/>
      <c r="E848" s="176"/>
      <c r="F848" s="55"/>
      <c r="I848" s="239"/>
      <c r="J848" s="239"/>
      <c r="K848" s="236"/>
      <c r="L848" s="239"/>
      <c r="M848" s="236"/>
    </row>
    <row r="849" spans="1:13" x14ac:dyDescent="0.3">
      <c r="A849" s="220"/>
      <c r="B849" s="55"/>
      <c r="C849" s="55"/>
      <c r="D849" s="55"/>
      <c r="E849" s="176"/>
      <c r="F849" s="55"/>
      <c r="I849" s="239"/>
      <c r="J849" s="239"/>
      <c r="K849" s="236"/>
      <c r="L849" s="239"/>
      <c r="M849" s="236"/>
    </row>
    <row r="850" spans="1:13" x14ac:dyDescent="0.3">
      <c r="A850" s="220"/>
      <c r="B850" s="55"/>
      <c r="C850" s="55"/>
      <c r="D850" s="55"/>
      <c r="E850" s="176"/>
      <c r="F850" s="55"/>
      <c r="I850" s="239"/>
      <c r="J850" s="239"/>
      <c r="K850" s="236"/>
      <c r="L850" s="239"/>
      <c r="M850" s="236"/>
    </row>
    <row r="851" spans="1:13" x14ac:dyDescent="0.3">
      <c r="A851" s="220"/>
      <c r="B851" s="55"/>
      <c r="C851" s="55"/>
      <c r="D851" s="55"/>
      <c r="E851" s="176"/>
      <c r="F851" s="55"/>
      <c r="I851" s="239"/>
      <c r="J851" s="239"/>
      <c r="K851" s="236"/>
      <c r="L851" s="239"/>
      <c r="M851" s="236"/>
    </row>
    <row r="852" spans="1:13" x14ac:dyDescent="0.3">
      <c r="A852" s="220"/>
      <c r="B852" s="55"/>
      <c r="C852" s="55"/>
      <c r="D852" s="55"/>
      <c r="E852" s="176"/>
      <c r="F852" s="55"/>
      <c r="I852" s="239"/>
      <c r="J852" s="239"/>
      <c r="K852" s="236"/>
      <c r="L852" s="239"/>
      <c r="M852" s="236"/>
    </row>
    <row r="853" spans="1:13" x14ac:dyDescent="0.3">
      <c r="A853" s="220"/>
      <c r="B853" s="55"/>
      <c r="C853" s="55"/>
      <c r="D853" s="55"/>
      <c r="E853" s="176"/>
      <c r="F853" s="55"/>
      <c r="I853" s="239"/>
      <c r="J853" s="239"/>
      <c r="K853" s="236"/>
      <c r="L853" s="239"/>
      <c r="M853" s="236"/>
    </row>
    <row r="854" spans="1:13" x14ac:dyDescent="0.3">
      <c r="A854" s="220"/>
      <c r="B854" s="55"/>
      <c r="C854" s="55"/>
      <c r="D854" s="55"/>
      <c r="E854" s="176"/>
      <c r="F854" s="55"/>
      <c r="I854" s="239"/>
      <c r="J854" s="239"/>
      <c r="K854" s="236"/>
      <c r="L854" s="239"/>
      <c r="M854" s="236"/>
    </row>
    <row r="855" spans="1:13" x14ac:dyDescent="0.3">
      <c r="A855" s="220"/>
      <c r="B855" s="55"/>
      <c r="C855" s="55"/>
      <c r="D855" s="55"/>
      <c r="E855" s="176"/>
      <c r="F855" s="55"/>
      <c r="I855" s="239"/>
      <c r="J855" s="239"/>
      <c r="K855" s="236"/>
      <c r="L855" s="242"/>
      <c r="M855" s="236"/>
    </row>
    <row r="856" spans="1:13" x14ac:dyDescent="0.3">
      <c r="A856" s="220"/>
      <c r="B856" s="55"/>
      <c r="C856" s="55"/>
      <c r="D856" s="55"/>
      <c r="E856" s="176"/>
      <c r="F856" s="55"/>
      <c r="I856" s="239"/>
      <c r="J856" s="239"/>
      <c r="K856" s="236"/>
      <c r="L856" s="236"/>
      <c r="M856" s="236"/>
    </row>
    <row r="857" spans="1:13" x14ac:dyDescent="0.3">
      <c r="A857" s="220"/>
      <c r="B857" s="55"/>
      <c r="C857" s="55"/>
      <c r="D857" s="55"/>
      <c r="E857" s="176"/>
      <c r="F857" s="55"/>
      <c r="I857" s="239"/>
      <c r="J857" s="239"/>
      <c r="K857" s="236"/>
      <c r="L857" s="236"/>
      <c r="M857" s="236"/>
    </row>
    <row r="858" spans="1:13" x14ac:dyDescent="0.3">
      <c r="A858" s="220"/>
      <c r="B858" s="55"/>
      <c r="C858" s="55"/>
      <c r="D858" s="55"/>
      <c r="E858" s="176"/>
      <c r="F858" s="55"/>
      <c r="I858" s="239"/>
      <c r="J858" s="239"/>
      <c r="K858" s="236"/>
      <c r="L858" s="236"/>
      <c r="M858" s="236"/>
    </row>
    <row r="859" spans="1:13" x14ac:dyDescent="0.3">
      <c r="A859" s="220"/>
      <c r="B859" s="55"/>
      <c r="C859" s="55"/>
      <c r="D859" s="55"/>
      <c r="E859" s="176"/>
      <c r="F859" s="55"/>
      <c r="I859" s="239"/>
      <c r="J859" s="239"/>
      <c r="K859" s="236"/>
      <c r="L859" s="236"/>
      <c r="M859" s="236"/>
    </row>
    <row r="860" spans="1:13" x14ac:dyDescent="0.3">
      <c r="A860" s="220"/>
      <c r="B860" s="55"/>
      <c r="C860" s="55"/>
      <c r="D860" s="55"/>
      <c r="E860" s="176"/>
      <c r="F860" s="55"/>
      <c r="I860" s="239"/>
      <c r="J860" s="239"/>
      <c r="K860" s="236"/>
      <c r="L860" s="236"/>
      <c r="M860" s="236"/>
    </row>
    <row r="861" spans="1:13" x14ac:dyDescent="0.3">
      <c r="A861" s="220"/>
      <c r="B861" s="55"/>
      <c r="C861" s="55"/>
      <c r="D861" s="55"/>
      <c r="E861" s="176"/>
      <c r="F861" s="55"/>
      <c r="I861" s="239"/>
      <c r="J861" s="239"/>
      <c r="K861" s="236"/>
      <c r="L861" s="236"/>
      <c r="M861" s="236"/>
    </row>
    <row r="862" spans="1:13" x14ac:dyDescent="0.3">
      <c r="A862" s="220"/>
      <c r="B862" s="55"/>
      <c r="C862" s="55"/>
      <c r="D862" s="55"/>
      <c r="E862" s="176"/>
      <c r="F862" s="55"/>
      <c r="I862" s="239"/>
      <c r="J862" s="239"/>
      <c r="K862" s="236"/>
      <c r="L862" s="236"/>
      <c r="M862" s="236"/>
    </row>
    <row r="863" spans="1:13" x14ac:dyDescent="0.3">
      <c r="A863" s="220"/>
      <c r="B863" s="55"/>
      <c r="C863" s="55"/>
      <c r="D863" s="55"/>
      <c r="E863" s="176"/>
      <c r="F863" s="55"/>
      <c r="I863" s="239"/>
      <c r="J863" s="239"/>
      <c r="K863" s="236"/>
      <c r="L863" s="236"/>
      <c r="M863" s="236"/>
    </row>
    <row r="864" spans="1:13" x14ac:dyDescent="0.3">
      <c r="A864" s="220"/>
      <c r="B864" s="55"/>
      <c r="C864" s="55"/>
      <c r="D864" s="55"/>
      <c r="E864" s="176"/>
      <c r="F864" s="55"/>
      <c r="I864" s="239"/>
      <c r="J864" s="239"/>
      <c r="K864" s="236"/>
      <c r="L864" s="236"/>
      <c r="M864" s="236"/>
    </row>
    <row r="865" spans="1:13" x14ac:dyDescent="0.3">
      <c r="A865" s="220"/>
      <c r="B865" s="55"/>
      <c r="C865" s="55"/>
      <c r="D865" s="55"/>
      <c r="E865" s="176"/>
      <c r="F865" s="55"/>
      <c r="I865" s="239"/>
      <c r="J865" s="239"/>
      <c r="K865" s="236"/>
      <c r="L865" s="236"/>
      <c r="M865" s="236"/>
    </row>
    <row r="866" spans="1:13" x14ac:dyDescent="0.3">
      <c r="A866" s="220"/>
      <c r="B866" s="55"/>
      <c r="C866" s="55"/>
      <c r="D866" s="55"/>
      <c r="E866" s="176"/>
      <c r="F866" s="55"/>
      <c r="I866" s="239"/>
      <c r="J866" s="239"/>
      <c r="K866" s="236"/>
      <c r="L866" s="236"/>
      <c r="M866" s="236"/>
    </row>
    <row r="867" spans="1:13" x14ac:dyDescent="0.3">
      <c r="A867" s="220"/>
      <c r="B867" s="55"/>
      <c r="C867" s="55"/>
      <c r="D867" s="55"/>
      <c r="E867" s="176"/>
      <c r="F867" s="55"/>
      <c r="I867" s="239"/>
      <c r="J867" s="239"/>
      <c r="K867" s="236"/>
      <c r="L867" s="236"/>
      <c r="M867" s="236"/>
    </row>
    <row r="868" spans="1:13" x14ac:dyDescent="0.3">
      <c r="A868" s="220"/>
      <c r="B868" s="55"/>
      <c r="C868" s="55"/>
      <c r="D868" s="55"/>
      <c r="E868" s="176"/>
      <c r="F868" s="55"/>
      <c r="I868" s="239"/>
      <c r="J868" s="239"/>
      <c r="K868" s="236"/>
      <c r="L868" s="236"/>
      <c r="M868" s="236"/>
    </row>
    <row r="869" spans="1:13" x14ac:dyDescent="0.3">
      <c r="A869" s="220"/>
      <c r="B869" s="55"/>
      <c r="C869" s="55"/>
      <c r="D869" s="55"/>
      <c r="E869" s="176"/>
      <c r="F869" s="55"/>
      <c r="I869" s="239"/>
      <c r="J869" s="239"/>
      <c r="K869" s="236"/>
      <c r="L869" s="236"/>
      <c r="M869" s="236"/>
    </row>
    <row r="870" spans="1:13" x14ac:dyDescent="0.3">
      <c r="A870" s="220"/>
      <c r="B870" s="55"/>
      <c r="C870" s="55"/>
      <c r="D870" s="55"/>
      <c r="E870" s="176"/>
      <c r="F870" s="55"/>
      <c r="I870" s="239"/>
      <c r="J870" s="239"/>
      <c r="K870" s="236"/>
      <c r="L870" s="236"/>
      <c r="M870" s="236"/>
    </row>
    <row r="871" spans="1:13" x14ac:dyDescent="0.3">
      <c r="A871" s="220"/>
      <c r="B871" s="55"/>
      <c r="C871" s="55"/>
      <c r="D871" s="55"/>
      <c r="E871" s="176"/>
      <c r="F871" s="55"/>
      <c r="I871" s="239"/>
      <c r="J871" s="239"/>
      <c r="K871" s="236"/>
      <c r="L871" s="236"/>
      <c r="M871" s="236"/>
    </row>
    <row r="872" spans="1:13" x14ac:dyDescent="0.3">
      <c r="A872" s="220"/>
      <c r="B872" s="55"/>
      <c r="C872" s="55"/>
      <c r="D872" s="55"/>
      <c r="E872" s="176"/>
      <c r="F872" s="55"/>
      <c r="I872" s="239"/>
      <c r="J872" s="239"/>
      <c r="K872" s="236"/>
      <c r="L872" s="236"/>
      <c r="M872" s="236"/>
    </row>
    <row r="873" spans="1:13" x14ac:dyDescent="0.3">
      <c r="A873" s="220"/>
      <c r="B873" s="55"/>
      <c r="C873" s="55"/>
      <c r="D873" s="55"/>
      <c r="E873" s="176"/>
      <c r="F873" s="55"/>
      <c r="I873" s="239"/>
      <c r="J873" s="239"/>
      <c r="K873" s="236"/>
      <c r="L873" s="236"/>
      <c r="M873" s="236"/>
    </row>
    <row r="874" spans="1:13" x14ac:dyDescent="0.3">
      <c r="A874" s="220"/>
      <c r="B874" s="55"/>
      <c r="C874" s="55"/>
      <c r="D874" s="55"/>
      <c r="E874" s="176"/>
      <c r="F874" s="55"/>
      <c r="I874" s="239"/>
      <c r="J874" s="239"/>
      <c r="K874" s="236"/>
      <c r="L874" s="236"/>
      <c r="M874" s="236"/>
    </row>
    <row r="875" spans="1:13" x14ac:dyDescent="0.3">
      <c r="A875" s="220"/>
      <c r="B875" s="55"/>
      <c r="C875" s="55"/>
      <c r="D875" s="55"/>
      <c r="E875" s="176"/>
      <c r="F875" s="55"/>
      <c r="I875" s="239"/>
      <c r="J875" s="239"/>
      <c r="K875" s="236"/>
      <c r="L875" s="236"/>
      <c r="M875" s="236"/>
    </row>
    <row r="876" spans="1:13" x14ac:dyDescent="0.3">
      <c r="A876" s="220"/>
      <c r="B876" s="55"/>
      <c r="C876" s="55"/>
      <c r="D876" s="55"/>
      <c r="E876" s="176"/>
      <c r="F876" s="55"/>
      <c r="I876" s="239"/>
      <c r="J876" s="239"/>
      <c r="K876" s="236"/>
      <c r="L876" s="236"/>
      <c r="M876" s="236"/>
    </row>
    <row r="877" spans="1:13" x14ac:dyDescent="0.3">
      <c r="A877" s="220"/>
      <c r="B877" s="55"/>
      <c r="C877" s="55"/>
      <c r="D877" s="55"/>
      <c r="E877" s="176"/>
      <c r="F877" s="55"/>
      <c r="I877" s="239"/>
      <c r="J877" s="239"/>
      <c r="K877" s="236"/>
      <c r="L877" s="236"/>
      <c r="M877" s="236"/>
    </row>
    <row r="878" spans="1:13" x14ac:dyDescent="0.3">
      <c r="A878" s="220"/>
      <c r="B878" s="55"/>
      <c r="C878" s="55"/>
      <c r="D878" s="55"/>
      <c r="E878" s="176"/>
      <c r="F878" s="55"/>
      <c r="I878" s="239"/>
      <c r="J878" s="239"/>
      <c r="K878" s="236"/>
      <c r="L878" s="236"/>
      <c r="M878" s="236"/>
    </row>
    <row r="879" spans="1:13" x14ac:dyDescent="0.3">
      <c r="A879" s="220"/>
      <c r="B879" s="55"/>
      <c r="C879" s="55"/>
      <c r="D879" s="55"/>
      <c r="E879" s="176"/>
      <c r="F879" s="55"/>
      <c r="I879" s="239"/>
      <c r="J879" s="239"/>
      <c r="K879" s="236"/>
      <c r="L879" s="236"/>
      <c r="M879" s="236"/>
    </row>
    <row r="880" spans="1:13" x14ac:dyDescent="0.3">
      <c r="A880" s="220"/>
      <c r="B880" s="55"/>
      <c r="C880" s="55"/>
      <c r="D880" s="55"/>
      <c r="E880" s="176"/>
      <c r="F880" s="55"/>
      <c r="I880" s="239"/>
      <c r="J880" s="239"/>
      <c r="K880" s="236"/>
      <c r="L880" s="236"/>
      <c r="M880" s="236"/>
    </row>
    <row r="881" spans="1:13" x14ac:dyDescent="0.3">
      <c r="A881" s="220"/>
      <c r="B881" s="55"/>
      <c r="C881" s="55"/>
      <c r="D881" s="55"/>
      <c r="E881" s="176"/>
      <c r="F881" s="55"/>
      <c r="I881" s="239"/>
      <c r="J881" s="239"/>
      <c r="K881" s="236"/>
      <c r="L881" s="236"/>
      <c r="M881" s="236"/>
    </row>
    <row r="882" spans="1:13" x14ac:dyDescent="0.3">
      <c r="A882" s="220"/>
      <c r="B882" s="55"/>
      <c r="C882" s="55"/>
      <c r="D882" s="55"/>
      <c r="E882" s="176"/>
      <c r="F882" s="55"/>
      <c r="I882" s="239"/>
      <c r="J882" s="239"/>
      <c r="K882" s="236"/>
      <c r="L882" s="236"/>
      <c r="M882" s="236"/>
    </row>
    <row r="883" spans="1:13" x14ac:dyDescent="0.3">
      <c r="A883" s="220"/>
      <c r="B883" s="55"/>
      <c r="C883" s="55"/>
      <c r="D883" s="55"/>
      <c r="E883" s="176"/>
      <c r="F883" s="55"/>
      <c r="I883" s="239"/>
      <c r="J883" s="239"/>
      <c r="K883" s="236"/>
      <c r="L883" s="236"/>
      <c r="M883" s="236"/>
    </row>
    <row r="884" spans="1:13" x14ac:dyDescent="0.3">
      <c r="A884" s="220"/>
      <c r="B884" s="55"/>
      <c r="C884" s="55"/>
      <c r="D884" s="55"/>
      <c r="E884" s="176"/>
      <c r="F884" s="55"/>
      <c r="I884" s="239"/>
      <c r="J884" s="239"/>
      <c r="K884" s="236"/>
      <c r="L884" s="236"/>
      <c r="M884" s="236"/>
    </row>
    <row r="885" spans="1:13" x14ac:dyDescent="0.3">
      <c r="A885" s="220"/>
      <c r="B885" s="55"/>
      <c r="C885" s="55"/>
      <c r="D885" s="55"/>
      <c r="E885" s="176"/>
      <c r="F885" s="55"/>
      <c r="I885" s="239"/>
      <c r="J885" s="239"/>
      <c r="K885" s="236"/>
      <c r="L885" s="236"/>
      <c r="M885" s="236"/>
    </row>
    <row r="886" spans="1:13" x14ac:dyDescent="0.3">
      <c r="A886" s="220"/>
      <c r="B886" s="55"/>
      <c r="C886" s="55"/>
      <c r="D886" s="55"/>
      <c r="E886" s="176"/>
      <c r="F886" s="55"/>
      <c r="I886" s="239"/>
      <c r="J886" s="239"/>
      <c r="K886" s="236"/>
      <c r="L886" s="236"/>
      <c r="M886" s="236"/>
    </row>
    <row r="887" spans="1:13" x14ac:dyDescent="0.3">
      <c r="A887" s="220"/>
      <c r="B887" s="55"/>
      <c r="C887" s="55"/>
      <c r="D887" s="55"/>
      <c r="E887" s="176"/>
      <c r="F887" s="55"/>
      <c r="I887" s="239"/>
      <c r="J887" s="239"/>
      <c r="K887" s="236"/>
      <c r="L887" s="236"/>
      <c r="M887" s="236"/>
    </row>
    <row r="888" spans="1:13" x14ac:dyDescent="0.3">
      <c r="A888" s="220"/>
      <c r="B888" s="55"/>
      <c r="C888" s="55"/>
      <c r="D888" s="55"/>
      <c r="E888" s="176"/>
      <c r="F888" s="55"/>
      <c r="I888" s="239"/>
      <c r="J888" s="239"/>
      <c r="K888" s="236"/>
      <c r="L888" s="236"/>
      <c r="M888" s="236"/>
    </row>
    <row r="889" spans="1:13" x14ac:dyDescent="0.3">
      <c r="A889" s="220"/>
      <c r="B889" s="55"/>
      <c r="C889" s="55"/>
      <c r="D889" s="55"/>
      <c r="E889" s="176"/>
      <c r="F889" s="55"/>
      <c r="I889" s="239"/>
      <c r="J889" s="239"/>
      <c r="K889" s="236"/>
      <c r="L889" s="236"/>
      <c r="M889" s="236"/>
    </row>
    <row r="890" spans="1:13" x14ac:dyDescent="0.3">
      <c r="A890" s="220"/>
      <c r="B890" s="55"/>
      <c r="C890" s="55"/>
      <c r="D890" s="55"/>
      <c r="E890" s="176"/>
      <c r="F890" s="55"/>
      <c r="I890" s="239"/>
      <c r="J890" s="239"/>
      <c r="K890" s="236"/>
      <c r="L890" s="236"/>
      <c r="M890" s="236"/>
    </row>
    <row r="891" spans="1:13" x14ac:dyDescent="0.3">
      <c r="A891" s="220"/>
      <c r="B891" s="55"/>
      <c r="C891" s="55"/>
      <c r="D891" s="55"/>
      <c r="E891" s="176"/>
      <c r="F891" s="55"/>
      <c r="I891" s="239"/>
      <c r="J891" s="239"/>
      <c r="K891" s="236"/>
      <c r="L891" s="236"/>
      <c r="M891" s="236"/>
    </row>
    <row r="892" spans="1:13" x14ac:dyDescent="0.3">
      <c r="A892" s="220"/>
      <c r="B892" s="55"/>
      <c r="C892" s="55"/>
      <c r="D892" s="55"/>
      <c r="E892" s="176"/>
      <c r="F892" s="55"/>
      <c r="I892" s="239"/>
      <c r="J892" s="239"/>
      <c r="K892" s="236"/>
      <c r="L892" s="236"/>
      <c r="M892" s="236"/>
    </row>
    <row r="893" spans="1:13" x14ac:dyDescent="0.3">
      <c r="A893" s="220"/>
      <c r="B893" s="55"/>
      <c r="C893" s="55"/>
      <c r="D893" s="55"/>
      <c r="E893" s="176"/>
      <c r="F893" s="55"/>
      <c r="I893" s="239"/>
      <c r="J893" s="239"/>
      <c r="K893" s="236"/>
      <c r="L893" s="236"/>
      <c r="M893" s="236"/>
    </row>
    <row r="894" spans="1:13" x14ac:dyDescent="0.3">
      <c r="A894" s="220"/>
      <c r="B894" s="55"/>
      <c r="C894" s="55"/>
      <c r="D894" s="55"/>
      <c r="E894" s="176"/>
      <c r="F894" s="55"/>
      <c r="I894" s="239"/>
      <c r="J894" s="239"/>
      <c r="K894" s="236"/>
      <c r="L894" s="236"/>
      <c r="M894" s="236"/>
    </row>
    <row r="895" spans="1:13" x14ac:dyDescent="0.3">
      <c r="A895" s="220"/>
      <c r="B895" s="55"/>
      <c r="C895" s="55"/>
      <c r="D895" s="55"/>
      <c r="E895" s="176"/>
      <c r="F895" s="55"/>
      <c r="I895" s="239"/>
      <c r="J895" s="239"/>
      <c r="K895" s="236"/>
      <c r="L895" s="236"/>
      <c r="M895" s="236"/>
    </row>
    <row r="896" spans="1:13" x14ac:dyDescent="0.3">
      <c r="A896" s="220"/>
      <c r="B896" s="55"/>
      <c r="C896" s="55"/>
      <c r="D896" s="55"/>
      <c r="E896" s="176"/>
      <c r="F896" s="55"/>
      <c r="I896" s="239"/>
      <c r="J896" s="239"/>
      <c r="K896" s="236"/>
      <c r="L896" s="236"/>
      <c r="M896" s="236"/>
    </row>
    <row r="897" spans="1:13" x14ac:dyDescent="0.3">
      <c r="A897" s="220"/>
      <c r="B897" s="55"/>
      <c r="C897" s="55"/>
      <c r="D897" s="55"/>
      <c r="E897" s="176"/>
      <c r="F897" s="55"/>
      <c r="I897" s="239"/>
      <c r="J897" s="239"/>
      <c r="K897" s="236"/>
      <c r="L897" s="236"/>
      <c r="M897" s="236"/>
    </row>
    <row r="898" spans="1:13" x14ac:dyDescent="0.3">
      <c r="A898" s="220"/>
      <c r="B898" s="55"/>
      <c r="C898" s="55"/>
      <c r="D898" s="55"/>
      <c r="E898" s="176"/>
      <c r="F898" s="55"/>
      <c r="I898" s="239"/>
      <c r="J898" s="239"/>
      <c r="K898" s="236"/>
      <c r="L898" s="236"/>
      <c r="M898" s="236"/>
    </row>
    <row r="899" spans="1:13" x14ac:dyDescent="0.3">
      <c r="A899" s="220"/>
      <c r="B899" s="55"/>
      <c r="C899" s="55"/>
      <c r="D899" s="55"/>
      <c r="E899" s="176"/>
      <c r="F899" s="55"/>
      <c r="I899" s="242"/>
      <c r="J899" s="239"/>
      <c r="K899" s="236"/>
      <c r="L899" s="236"/>
      <c r="M899" s="236"/>
    </row>
    <row r="900" spans="1:13" x14ac:dyDescent="0.3">
      <c r="A900" s="220"/>
      <c r="B900" s="55"/>
      <c r="C900" s="55"/>
      <c r="D900" s="55"/>
      <c r="E900" s="176"/>
      <c r="F900" s="55"/>
      <c r="I900" s="236"/>
      <c r="J900" s="239"/>
      <c r="K900" s="236"/>
      <c r="L900" s="236"/>
      <c r="M900" s="236"/>
    </row>
    <row r="901" spans="1:13" x14ac:dyDescent="0.3">
      <c r="A901" s="220"/>
      <c r="B901" s="55"/>
      <c r="C901" s="55"/>
      <c r="D901" s="55"/>
      <c r="E901" s="176"/>
      <c r="F901" s="55"/>
      <c r="I901" s="236"/>
      <c r="J901" s="239"/>
      <c r="K901" s="236"/>
      <c r="L901" s="236"/>
      <c r="M901" s="236"/>
    </row>
    <row r="902" spans="1:13" x14ac:dyDescent="0.3">
      <c r="A902" s="220"/>
      <c r="B902" s="55"/>
      <c r="C902" s="55"/>
      <c r="D902" s="55"/>
      <c r="E902" s="176"/>
      <c r="F902" s="55"/>
      <c r="I902" s="236"/>
      <c r="J902" s="239"/>
      <c r="K902" s="236"/>
      <c r="L902" s="236"/>
      <c r="M902" s="236"/>
    </row>
    <row r="903" spans="1:13" x14ac:dyDescent="0.3">
      <c r="A903" s="220"/>
      <c r="B903" s="55"/>
      <c r="C903" s="55"/>
      <c r="D903" s="55"/>
      <c r="E903" s="176"/>
      <c r="F903" s="55"/>
      <c r="I903" s="236"/>
      <c r="J903" s="239"/>
      <c r="K903" s="236"/>
      <c r="L903" s="236"/>
      <c r="M903" s="236"/>
    </row>
    <row r="904" spans="1:13" x14ac:dyDescent="0.3">
      <c r="A904" s="220"/>
      <c r="B904" s="55"/>
      <c r="C904" s="55"/>
      <c r="D904" s="55"/>
      <c r="E904" s="176"/>
      <c r="F904" s="55"/>
      <c r="I904" s="236"/>
      <c r="J904" s="239"/>
      <c r="K904" s="236"/>
      <c r="L904" s="236"/>
      <c r="M904" s="236"/>
    </row>
    <row r="905" spans="1:13" x14ac:dyDescent="0.3">
      <c r="A905" s="220"/>
      <c r="B905" s="55"/>
      <c r="C905" s="55"/>
      <c r="D905" s="55"/>
      <c r="E905" s="176"/>
      <c r="F905" s="55"/>
      <c r="I905" s="236"/>
      <c r="J905" s="239"/>
      <c r="K905" s="236"/>
      <c r="L905" s="236"/>
      <c r="M905" s="236"/>
    </row>
    <row r="906" spans="1:13" x14ac:dyDescent="0.3">
      <c r="A906" s="220"/>
      <c r="B906" s="55"/>
      <c r="C906" s="55"/>
      <c r="D906" s="55"/>
      <c r="E906" s="176"/>
      <c r="F906" s="55"/>
      <c r="I906" s="236"/>
      <c r="J906" s="239"/>
      <c r="K906" s="236"/>
      <c r="L906" s="236"/>
      <c r="M906" s="236"/>
    </row>
    <row r="907" spans="1:13" x14ac:dyDescent="0.3">
      <c r="A907" s="220"/>
      <c r="B907" s="55"/>
      <c r="C907" s="55"/>
      <c r="D907" s="55"/>
      <c r="E907" s="176"/>
      <c r="F907" s="55"/>
      <c r="I907" s="236"/>
      <c r="J907" s="239"/>
      <c r="K907" s="236"/>
      <c r="L907" s="236"/>
      <c r="M907" s="236"/>
    </row>
    <row r="908" spans="1:13" x14ac:dyDescent="0.3">
      <c r="A908" s="220"/>
      <c r="B908" s="55"/>
      <c r="C908" s="55"/>
      <c r="D908" s="55"/>
      <c r="E908" s="176"/>
      <c r="F908" s="55"/>
      <c r="I908" s="236"/>
      <c r="J908" s="239"/>
      <c r="K908" s="236"/>
      <c r="L908" s="236"/>
      <c r="M908" s="236"/>
    </row>
    <row r="909" spans="1:13" x14ac:dyDescent="0.3">
      <c r="A909" s="220"/>
      <c r="B909" s="55"/>
      <c r="C909" s="55"/>
      <c r="D909" s="55"/>
      <c r="E909" s="176"/>
      <c r="F909" s="55"/>
      <c r="I909" s="236"/>
      <c r="J909" s="239"/>
      <c r="K909" s="236"/>
      <c r="L909" s="236"/>
      <c r="M909" s="236"/>
    </row>
    <row r="910" spans="1:13" x14ac:dyDescent="0.3">
      <c r="A910" s="220"/>
      <c r="B910" s="55"/>
      <c r="C910" s="55"/>
      <c r="D910" s="55"/>
      <c r="E910" s="176"/>
      <c r="F910" s="55"/>
      <c r="I910" s="236"/>
      <c r="J910" s="239"/>
      <c r="K910" s="236"/>
      <c r="L910" s="236"/>
      <c r="M910" s="236"/>
    </row>
    <row r="911" spans="1:13" x14ac:dyDescent="0.3">
      <c r="A911" s="220"/>
      <c r="B911" s="55"/>
      <c r="C911" s="55"/>
      <c r="D911" s="55"/>
      <c r="E911" s="176"/>
      <c r="F911" s="55"/>
      <c r="I911" s="236"/>
      <c r="J911" s="239"/>
      <c r="K911" s="236"/>
      <c r="L911" s="236"/>
      <c r="M911" s="236"/>
    </row>
    <row r="912" spans="1:13" x14ac:dyDescent="0.3">
      <c r="A912" s="220"/>
      <c r="B912" s="55"/>
      <c r="C912" s="55"/>
      <c r="D912" s="55"/>
      <c r="E912" s="176"/>
      <c r="F912" s="55"/>
      <c r="I912" s="236"/>
      <c r="J912" s="239"/>
      <c r="K912" s="236"/>
      <c r="L912" s="236"/>
      <c r="M912" s="236"/>
    </row>
    <row r="913" spans="1:13" x14ac:dyDescent="0.3">
      <c r="A913" s="220"/>
      <c r="B913" s="55"/>
      <c r="C913" s="55"/>
      <c r="D913" s="55"/>
      <c r="E913" s="176"/>
      <c r="F913" s="55"/>
      <c r="I913" s="236"/>
      <c r="J913" s="239"/>
      <c r="K913" s="236"/>
      <c r="L913" s="236"/>
      <c r="M913" s="236"/>
    </row>
    <row r="914" spans="1:13" x14ac:dyDescent="0.3">
      <c r="A914" s="220"/>
      <c r="B914" s="55"/>
      <c r="C914" s="55"/>
      <c r="D914" s="55"/>
      <c r="E914" s="176"/>
      <c r="F914" s="55"/>
      <c r="I914" s="236"/>
      <c r="J914" s="239"/>
      <c r="K914" s="236"/>
      <c r="L914" s="236"/>
      <c r="M914" s="236"/>
    </row>
    <row r="915" spans="1:13" x14ac:dyDescent="0.3">
      <c r="A915" s="220"/>
      <c r="B915" s="55"/>
      <c r="C915" s="55"/>
      <c r="D915" s="55"/>
      <c r="E915" s="176"/>
      <c r="F915" s="55"/>
      <c r="I915" s="236"/>
      <c r="J915" s="239"/>
      <c r="K915" s="236"/>
      <c r="L915" s="236"/>
      <c r="M915" s="236"/>
    </row>
    <row r="916" spans="1:13" x14ac:dyDescent="0.3">
      <c r="A916" s="220"/>
      <c r="B916" s="55"/>
      <c r="C916" s="55"/>
      <c r="D916" s="55"/>
      <c r="E916" s="176"/>
      <c r="F916" s="55"/>
      <c r="I916" s="236"/>
      <c r="J916" s="239"/>
      <c r="K916" s="236"/>
      <c r="L916" s="236"/>
      <c r="M916" s="236"/>
    </row>
    <row r="917" spans="1:13" x14ac:dyDescent="0.3">
      <c r="A917" s="220"/>
      <c r="B917" s="55"/>
      <c r="C917" s="55"/>
      <c r="D917" s="55"/>
      <c r="E917" s="176"/>
      <c r="F917" s="55"/>
      <c r="J917" s="240"/>
    </row>
    <row r="918" spans="1:13" x14ac:dyDescent="0.3">
      <c r="A918" s="220"/>
      <c r="B918" s="55"/>
      <c r="C918" s="55"/>
      <c r="D918" s="55"/>
      <c r="E918" s="176"/>
      <c r="F918" s="55"/>
      <c r="J918" s="240"/>
    </row>
    <row r="919" spans="1:13" x14ac:dyDescent="0.3">
      <c r="A919" s="220"/>
      <c r="B919" s="55"/>
      <c r="C919" s="55"/>
      <c r="D919" s="55"/>
      <c r="E919" s="176"/>
      <c r="F919" s="55"/>
      <c r="J919" s="240"/>
    </row>
    <row r="920" spans="1:13" x14ac:dyDescent="0.3">
      <c r="A920" s="220"/>
      <c r="B920" s="55"/>
      <c r="C920" s="55"/>
      <c r="D920" s="55"/>
      <c r="E920" s="176"/>
      <c r="F920" s="55"/>
      <c r="J920" s="240"/>
    </row>
    <row r="921" spans="1:13" x14ac:dyDescent="0.3">
      <c r="A921" s="220"/>
      <c r="B921" s="55"/>
      <c r="C921" s="55"/>
      <c r="D921" s="55"/>
      <c r="E921" s="176"/>
      <c r="F921" s="55"/>
      <c r="J921" s="240"/>
    </row>
    <row r="922" spans="1:13" x14ac:dyDescent="0.3">
      <c r="A922" s="220"/>
      <c r="B922" s="55"/>
      <c r="C922" s="55"/>
      <c r="D922" s="55"/>
      <c r="E922" s="176"/>
      <c r="F922" s="55"/>
      <c r="J922" s="240"/>
    </row>
    <row r="923" spans="1:13" x14ac:dyDescent="0.3">
      <c r="A923" s="220"/>
      <c r="B923" s="55"/>
      <c r="C923" s="55"/>
      <c r="D923" s="55"/>
      <c r="E923" s="176"/>
      <c r="F923" s="55"/>
      <c r="J923" s="240"/>
    </row>
    <row r="924" spans="1:13" x14ac:dyDescent="0.3">
      <c r="A924" s="220"/>
      <c r="B924" s="55"/>
      <c r="C924" s="55"/>
      <c r="D924" s="55"/>
      <c r="E924" s="176"/>
      <c r="F924" s="55"/>
      <c r="J924" s="240"/>
    </row>
    <row r="925" spans="1:13" x14ac:dyDescent="0.3">
      <c r="A925" s="220"/>
      <c r="B925" s="55"/>
      <c r="C925" s="55"/>
      <c r="D925" s="55"/>
      <c r="E925" s="176"/>
      <c r="F925" s="55"/>
      <c r="J925" s="240"/>
    </row>
    <row r="926" spans="1:13" x14ac:dyDescent="0.3">
      <c r="A926" s="220"/>
      <c r="B926" s="55"/>
      <c r="C926" s="55"/>
      <c r="D926" s="55"/>
      <c r="E926" s="176"/>
      <c r="F926" s="55"/>
      <c r="J926" s="240"/>
    </row>
    <row r="927" spans="1:13" x14ac:dyDescent="0.3">
      <c r="A927" s="220"/>
      <c r="B927" s="55"/>
      <c r="C927" s="55"/>
      <c r="D927" s="55"/>
      <c r="E927" s="176"/>
      <c r="F927" s="55"/>
      <c r="J927" s="240"/>
    </row>
    <row r="928" spans="1:13" x14ac:dyDescent="0.3">
      <c r="A928" s="220"/>
      <c r="B928" s="55"/>
      <c r="C928" s="55"/>
      <c r="D928" s="55"/>
      <c r="E928" s="176"/>
      <c r="F928" s="55"/>
      <c r="J928" s="240"/>
    </row>
    <row r="929" spans="1:10" x14ac:dyDescent="0.3">
      <c r="A929" s="220"/>
      <c r="B929" s="55"/>
      <c r="C929" s="55"/>
      <c r="D929" s="55"/>
      <c r="E929" s="176"/>
      <c r="F929" s="55"/>
      <c r="J929" s="240"/>
    </row>
    <row r="930" spans="1:10" x14ac:dyDescent="0.3">
      <c r="A930" s="220"/>
      <c r="B930" s="55"/>
      <c r="C930" s="55"/>
      <c r="D930" s="55"/>
      <c r="E930" s="176"/>
      <c r="F930" s="55"/>
      <c r="J930" s="240"/>
    </row>
    <row r="931" spans="1:10" x14ac:dyDescent="0.3">
      <c r="A931" s="220"/>
      <c r="B931" s="55"/>
      <c r="C931" s="55"/>
      <c r="D931" s="55"/>
      <c r="E931" s="176"/>
      <c r="F931" s="55"/>
      <c r="J931" s="240"/>
    </row>
    <row r="932" spans="1:10" x14ac:dyDescent="0.3">
      <c r="A932" s="220"/>
      <c r="B932" s="55"/>
      <c r="C932" s="55"/>
      <c r="D932" s="55"/>
      <c r="E932" s="176"/>
      <c r="F932" s="55"/>
      <c r="J932" s="240"/>
    </row>
    <row r="933" spans="1:10" x14ac:dyDescent="0.3">
      <c r="A933" s="220"/>
      <c r="B933" s="55"/>
      <c r="C933" s="55"/>
      <c r="D933" s="55"/>
      <c r="E933" s="176"/>
      <c r="F933" s="55"/>
      <c r="J933" s="241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0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I1076"/>
  <sheetViews>
    <sheetView topLeftCell="B1" zoomScaleNormal="100" workbookViewId="0">
      <selection activeCell="F31" sqref="F31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28" t="s">
        <v>139</v>
      </c>
      <c r="B1" s="328"/>
      <c r="C1" s="328"/>
      <c r="D1" s="328"/>
    </row>
    <row r="2" spans="1:35" x14ac:dyDescent="0.3">
      <c r="A2" s="328"/>
      <c r="B2" s="328"/>
      <c r="C2" s="328"/>
      <c r="D2" s="328"/>
    </row>
    <row r="3" spans="1:35" ht="15" thickBot="1" x14ac:dyDescent="0.35">
      <c r="A3" s="197" t="s">
        <v>47</v>
      </c>
      <c r="B3" s="195">
        <v>550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21">
        <f>(B3*(((1+(B7/B6))^(B6/B4))-1))/(1-((1+(B7/B6))^(-B6*B5)))</f>
        <v>7.3466121371512498</v>
      </c>
    </row>
    <row r="7" spans="1:35" x14ac:dyDescent="0.3">
      <c r="A7" s="198" t="s">
        <v>142</v>
      </c>
      <c r="B7" s="196">
        <v>0.09</v>
      </c>
      <c r="C7" s="227" t="s">
        <v>145</v>
      </c>
      <c r="D7" s="199">
        <f>(1+(B7/B6))^((B6/B4))-1</f>
        <v>7.2073233161367156E-3</v>
      </c>
      <c r="G7" s="244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29"/>
      <c r="I10" s="329"/>
      <c r="J10" s="329"/>
      <c r="K10" s="329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H11" s="268" t="s">
        <v>161</v>
      </c>
      <c r="I11" s="206" t="s">
        <v>152</v>
      </c>
      <c r="J11" s="206" t="s">
        <v>157</v>
      </c>
      <c r="K11" s="347" t="s">
        <v>211</v>
      </c>
      <c r="L11" s="345" t="s">
        <v>157</v>
      </c>
      <c r="M11" s="346"/>
      <c r="O11" s="337" t="s">
        <v>146</v>
      </c>
      <c r="P11" s="339">
        <v>47.57</v>
      </c>
      <c r="Q11" s="339">
        <v>45.92</v>
      </c>
      <c r="R11" s="339">
        <v>42.12</v>
      </c>
      <c r="S11" s="339">
        <v>37.97</v>
      </c>
      <c r="T11" s="339">
        <v>33.46</v>
      </c>
      <c r="U11" s="339">
        <v>28.53</v>
      </c>
      <c r="V11" s="339">
        <v>23.17</v>
      </c>
      <c r="W11" s="339">
        <v>17.32</v>
      </c>
      <c r="X11" s="339">
        <v>10.94</v>
      </c>
      <c r="Y11" s="339">
        <v>3.99</v>
      </c>
      <c r="Z11" s="338"/>
      <c r="AA11" s="338"/>
      <c r="AB11" s="338"/>
      <c r="AC11" s="338"/>
      <c r="AD11" s="338"/>
      <c r="AE11" s="338"/>
      <c r="AF11" s="338"/>
      <c r="AG11" s="338"/>
      <c r="AH11" s="338"/>
      <c r="AI11" s="338"/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550</v>
      </c>
      <c r="H12" s="5" t="s">
        <v>155</v>
      </c>
      <c r="I12" s="277">
        <v>550.01</v>
      </c>
      <c r="J12" s="340">
        <v>290.98149999999998</v>
      </c>
      <c r="K12" s="342">
        <f>SUM(K13:K322)</f>
        <v>0</v>
      </c>
      <c r="L12" s="344">
        <f>SUM(L13:L629)</f>
        <v>0</v>
      </c>
      <c r="M12" s="193"/>
      <c r="O12" s="337" t="s">
        <v>152</v>
      </c>
      <c r="P12" s="338">
        <v>0</v>
      </c>
      <c r="Q12" s="338">
        <v>42.24</v>
      </c>
      <c r="R12" s="338">
        <v>46.04</v>
      </c>
      <c r="S12" s="338">
        <v>50.22</v>
      </c>
      <c r="T12" s="338">
        <v>54.7</v>
      </c>
      <c r="U12" s="338">
        <v>59.63</v>
      </c>
      <c r="V12" s="338">
        <v>64.98</v>
      </c>
      <c r="W12" s="338">
        <v>70.849999999999994</v>
      </c>
      <c r="X12" s="338">
        <v>77.209999999999994</v>
      </c>
      <c r="Y12" s="338">
        <v>84.14</v>
      </c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</row>
    <row r="13" spans="1:35" x14ac:dyDescent="0.3">
      <c r="A13" s="209">
        <v>1</v>
      </c>
      <c r="B13" s="213">
        <v>7.35</v>
      </c>
      <c r="C13" s="193">
        <v>3.9640278238751936</v>
      </c>
      <c r="D13" s="215">
        <v>0</v>
      </c>
      <c r="E13" s="205">
        <v>0</v>
      </c>
      <c r="F13" s="214">
        <v>550</v>
      </c>
      <c r="H13" s="8">
        <v>1</v>
      </c>
      <c r="I13" s="243">
        <v>0</v>
      </c>
      <c r="J13" s="341">
        <v>47.567999999999998</v>
      </c>
      <c r="K13" s="285"/>
      <c r="L13" s="237"/>
      <c r="M13" s="193"/>
      <c r="O13" s="314"/>
    </row>
    <row r="14" spans="1:35" x14ac:dyDescent="0.3">
      <c r="A14" s="209">
        <v>2</v>
      </c>
      <c r="B14" s="213">
        <v>7.35</v>
      </c>
      <c r="C14" s="193">
        <v>3.9640278238751936</v>
      </c>
      <c r="D14" s="215">
        <v>0</v>
      </c>
      <c r="E14" s="205">
        <v>0</v>
      </c>
      <c r="F14" s="214">
        <v>550</v>
      </c>
      <c r="H14" s="8">
        <v>2</v>
      </c>
      <c r="I14" s="243">
        <v>42.24</v>
      </c>
      <c r="J14" s="341">
        <v>45.92</v>
      </c>
      <c r="K14" s="285"/>
      <c r="L14" s="237"/>
      <c r="M14" s="193"/>
      <c r="O14" s="345" t="s">
        <v>146</v>
      </c>
      <c r="P14" s="339">
        <v>2</v>
      </c>
      <c r="Q14" s="338"/>
      <c r="R14" s="338"/>
      <c r="S14" s="338"/>
      <c r="T14" s="338"/>
      <c r="U14" s="338"/>
      <c r="V14" s="338"/>
      <c r="W14" s="338"/>
      <c r="X14" s="338"/>
      <c r="Y14" s="338"/>
      <c r="Z14" s="338"/>
      <c r="AA14" s="338"/>
      <c r="AB14" s="338"/>
      <c r="AC14" s="338"/>
      <c r="AD14" s="338"/>
      <c r="AE14" s="338"/>
      <c r="AF14" s="338"/>
      <c r="AG14" s="338"/>
      <c r="AH14" s="338"/>
      <c r="AI14" s="338"/>
    </row>
    <row r="15" spans="1:35" x14ac:dyDescent="0.3">
      <c r="A15" s="209">
        <v>3</v>
      </c>
      <c r="B15" s="213">
        <v>7.35</v>
      </c>
      <c r="C15" s="193">
        <v>3.9640278238751936</v>
      </c>
      <c r="D15" s="215">
        <v>0</v>
      </c>
      <c r="E15" s="205">
        <v>0</v>
      </c>
      <c r="F15" s="214">
        <v>550</v>
      </c>
      <c r="H15" s="8">
        <v>3</v>
      </c>
      <c r="I15" s="243">
        <v>46.04</v>
      </c>
      <c r="J15" s="341">
        <v>42.118499999999997</v>
      </c>
      <c r="K15" s="285"/>
      <c r="L15" s="237"/>
      <c r="M15" s="193"/>
      <c r="O15" s="345" t="s">
        <v>152</v>
      </c>
      <c r="P15" s="338">
        <v>0</v>
      </c>
      <c r="Q15" s="338">
        <v>0</v>
      </c>
      <c r="R15" s="338">
        <v>0</v>
      </c>
      <c r="S15" s="338">
        <v>0</v>
      </c>
      <c r="T15" s="338">
        <v>0</v>
      </c>
      <c r="U15" s="338">
        <v>0</v>
      </c>
      <c r="V15" s="338">
        <v>0</v>
      </c>
      <c r="W15" s="338">
        <v>0</v>
      </c>
      <c r="X15" s="338">
        <v>0</v>
      </c>
      <c r="Y15" s="338">
        <v>0</v>
      </c>
      <c r="Z15" s="338"/>
      <c r="AA15" s="338"/>
      <c r="AB15" s="338"/>
      <c r="AC15" s="338"/>
      <c r="AD15" s="338"/>
      <c r="AE15" s="338"/>
      <c r="AF15" s="338"/>
      <c r="AG15" s="338"/>
      <c r="AH15" s="338"/>
      <c r="AI15" s="338"/>
    </row>
    <row r="16" spans="1:35" x14ac:dyDescent="0.3">
      <c r="A16" s="209">
        <v>4</v>
      </c>
      <c r="B16" s="213">
        <v>7.35</v>
      </c>
      <c r="C16" s="193">
        <v>3.9640278238751936</v>
      </c>
      <c r="D16" s="215">
        <v>0</v>
      </c>
      <c r="E16" s="205">
        <v>0</v>
      </c>
      <c r="F16" s="214">
        <v>550</v>
      </c>
      <c r="H16" s="8">
        <v>4</v>
      </c>
      <c r="I16" s="243">
        <v>50.22</v>
      </c>
      <c r="J16" s="341">
        <v>37.973399999999998</v>
      </c>
      <c r="K16" s="285"/>
      <c r="L16" s="237"/>
      <c r="M16" s="193"/>
    </row>
    <row r="17" spans="1:13" x14ac:dyDescent="0.3">
      <c r="A17" s="209">
        <v>5</v>
      </c>
      <c r="B17" s="213">
        <v>7.35</v>
      </c>
      <c r="C17" s="193">
        <v>3.9640278238751936</v>
      </c>
      <c r="D17" s="215">
        <v>0</v>
      </c>
      <c r="E17" s="205">
        <v>0</v>
      </c>
      <c r="F17" s="214">
        <v>550</v>
      </c>
      <c r="H17" s="8">
        <v>5</v>
      </c>
      <c r="I17" s="243">
        <v>54.7</v>
      </c>
      <c r="J17" s="341">
        <v>33.455300000000001</v>
      </c>
      <c r="K17" s="285"/>
      <c r="L17" s="237"/>
      <c r="M17" s="193"/>
    </row>
    <row r="18" spans="1:13" x14ac:dyDescent="0.3">
      <c r="A18" s="209">
        <v>6</v>
      </c>
      <c r="B18" s="213">
        <v>7.35</v>
      </c>
      <c r="C18" s="193">
        <v>3.9640278238751936</v>
      </c>
      <c r="D18" s="215">
        <v>0</v>
      </c>
      <c r="E18" s="205">
        <v>0</v>
      </c>
      <c r="F18" s="214">
        <v>550</v>
      </c>
      <c r="H18" s="8">
        <v>6</v>
      </c>
      <c r="I18" s="243">
        <v>59.63</v>
      </c>
      <c r="J18" s="341">
        <v>28.5319</v>
      </c>
      <c r="K18" s="285"/>
      <c r="L18" s="237"/>
      <c r="M18" s="193"/>
    </row>
    <row r="19" spans="1:13" x14ac:dyDescent="0.3">
      <c r="A19" s="209">
        <v>7</v>
      </c>
      <c r="B19" s="213">
        <v>7.35</v>
      </c>
      <c r="C19" s="193">
        <v>3.9640278238751936</v>
      </c>
      <c r="D19" s="215">
        <v>0</v>
      </c>
      <c r="E19" s="205">
        <v>0</v>
      </c>
      <c r="F19" s="214">
        <v>550</v>
      </c>
      <c r="H19" s="8">
        <v>7</v>
      </c>
      <c r="I19" s="243">
        <v>64.98</v>
      </c>
      <c r="J19" s="341">
        <v>23.165600000000001</v>
      </c>
      <c r="K19" s="285"/>
      <c r="L19" s="237"/>
      <c r="M19" s="193"/>
    </row>
    <row r="20" spans="1:13" x14ac:dyDescent="0.3">
      <c r="A20" s="209">
        <v>8</v>
      </c>
      <c r="B20" s="213">
        <v>7.35</v>
      </c>
      <c r="C20" s="193">
        <v>3.9640278238751936</v>
      </c>
      <c r="D20" s="215">
        <v>0</v>
      </c>
      <c r="E20" s="205">
        <v>0</v>
      </c>
      <c r="F20" s="214">
        <v>550</v>
      </c>
      <c r="H20" s="8">
        <v>8</v>
      </c>
      <c r="I20" s="243">
        <v>70.849999999999994</v>
      </c>
      <c r="J20" s="341">
        <v>17.317</v>
      </c>
      <c r="K20" s="285"/>
      <c r="L20" s="237"/>
      <c r="M20" s="193"/>
    </row>
    <row r="21" spans="1:13" x14ac:dyDescent="0.3">
      <c r="A21" s="209">
        <v>9</v>
      </c>
      <c r="B21" s="213">
        <v>7.35</v>
      </c>
      <c r="C21" s="193">
        <v>3.9640278238751936</v>
      </c>
      <c r="D21" s="215">
        <v>0</v>
      </c>
      <c r="E21" s="205">
        <v>0</v>
      </c>
      <c r="F21" s="214">
        <v>550</v>
      </c>
      <c r="H21" s="8">
        <v>9</v>
      </c>
      <c r="I21" s="243">
        <v>77.209999999999994</v>
      </c>
      <c r="J21" s="341">
        <v>10.940899999999999</v>
      </c>
      <c r="K21" s="285"/>
      <c r="L21" s="237"/>
      <c r="M21" s="193"/>
    </row>
    <row r="22" spans="1:13" x14ac:dyDescent="0.3">
      <c r="A22" s="209">
        <v>10</v>
      </c>
      <c r="B22" s="213">
        <v>7.35</v>
      </c>
      <c r="C22" s="193">
        <v>3.9640278238751936</v>
      </c>
      <c r="D22" s="215">
        <v>0</v>
      </c>
      <c r="E22" s="205">
        <v>0</v>
      </c>
      <c r="F22" s="214">
        <v>550</v>
      </c>
      <c r="H22" s="8">
        <v>10</v>
      </c>
      <c r="I22" s="243">
        <v>84.14</v>
      </c>
      <c r="J22" s="341">
        <v>3.9908999999999999</v>
      </c>
      <c r="K22" s="285"/>
      <c r="L22" s="237"/>
      <c r="M22" s="193"/>
    </row>
    <row r="23" spans="1:13" x14ac:dyDescent="0.3">
      <c r="A23" s="209">
        <v>11</v>
      </c>
      <c r="B23" s="213">
        <v>7.35</v>
      </c>
      <c r="C23" s="193">
        <v>3.9640278238751936</v>
      </c>
      <c r="D23" s="215">
        <v>0</v>
      </c>
      <c r="E23" s="205">
        <v>0</v>
      </c>
      <c r="F23" s="214">
        <v>550</v>
      </c>
      <c r="H23" s="8"/>
      <c r="I23" s="243"/>
      <c r="J23" s="285"/>
      <c r="K23" s="285"/>
      <c r="L23" s="237"/>
      <c r="M23" s="193"/>
    </row>
    <row r="24" spans="1:13" x14ac:dyDescent="0.3">
      <c r="A24" s="209">
        <v>12</v>
      </c>
      <c r="B24" s="213">
        <v>7.35</v>
      </c>
      <c r="C24" s="193">
        <v>3.9640278238751936</v>
      </c>
      <c r="D24" s="215">
        <v>0</v>
      </c>
      <c r="E24" s="205">
        <v>0</v>
      </c>
      <c r="F24" s="214">
        <v>550</v>
      </c>
      <c r="G24" t="str">
        <f t="shared" ref="G24:G32" si="0">IF($B$5="","",IF(ROW(A14)&gt;$B$5+$B$8,"",ROW(A14)))</f>
        <v/>
      </c>
      <c r="H24" s="8"/>
      <c r="I24" s="243"/>
      <c r="J24" s="285"/>
      <c r="K24" s="285"/>
      <c r="L24" s="237"/>
      <c r="M24" s="193"/>
    </row>
    <row r="25" spans="1:13" x14ac:dyDescent="0.3">
      <c r="A25" s="209">
        <v>13</v>
      </c>
      <c r="B25" s="213">
        <v>7.35</v>
      </c>
      <c r="C25" s="193">
        <v>3.9640278238751936</v>
      </c>
      <c r="D25" s="215">
        <v>3.38</v>
      </c>
      <c r="E25" s="205">
        <v>0</v>
      </c>
      <c r="F25" s="214">
        <v>546.62</v>
      </c>
      <c r="G25" t="str">
        <f t="shared" si="0"/>
        <v/>
      </c>
      <c r="H25" s="8"/>
      <c r="I25" s="243"/>
      <c r="J25" s="285"/>
      <c r="K25" s="285"/>
      <c r="L25" s="237"/>
      <c r="M25" s="193"/>
    </row>
    <row r="26" spans="1:13" x14ac:dyDescent="0.3">
      <c r="A26" s="209">
        <v>14</v>
      </c>
      <c r="B26" s="213">
        <v>7.35</v>
      </c>
      <c r="C26" s="193">
        <v>3.9396670710666517</v>
      </c>
      <c r="D26" s="215">
        <v>3.41</v>
      </c>
      <c r="E26" s="205">
        <v>0</v>
      </c>
      <c r="F26" s="214">
        <v>543.21</v>
      </c>
      <c r="G26" t="str">
        <f t="shared" si="0"/>
        <v/>
      </c>
      <c r="H26" s="8"/>
      <c r="I26" s="237"/>
      <c r="J26" s="285"/>
      <c r="K26" s="285"/>
      <c r="L26" s="237"/>
      <c r="M26" s="193"/>
    </row>
    <row r="27" spans="1:13" x14ac:dyDescent="0.3">
      <c r="A27" s="209">
        <v>15</v>
      </c>
      <c r="B27" s="213">
        <v>7.35</v>
      </c>
      <c r="C27" s="193">
        <v>3.9150900985586254</v>
      </c>
      <c r="D27" s="215">
        <v>3.43</v>
      </c>
      <c r="E27" s="205">
        <v>0</v>
      </c>
      <c r="F27" s="214">
        <v>539.78000000000009</v>
      </c>
      <c r="G27" t="str">
        <f t="shared" si="0"/>
        <v/>
      </c>
      <c r="H27" s="8"/>
      <c r="I27" s="237"/>
      <c r="J27" s="285"/>
      <c r="K27" s="285"/>
      <c r="L27" s="237"/>
      <c r="M27" s="193"/>
    </row>
    <row r="28" spans="1:13" x14ac:dyDescent="0.3">
      <c r="A28" s="209">
        <v>16</v>
      </c>
      <c r="B28" s="213">
        <v>7.35</v>
      </c>
      <c r="C28" s="193">
        <v>3.8903689795842769</v>
      </c>
      <c r="D28" s="215">
        <v>3.46</v>
      </c>
      <c r="E28" s="205">
        <v>0</v>
      </c>
      <c r="F28" s="214">
        <v>536.31999999999994</v>
      </c>
      <c r="G28" t="str">
        <f t="shared" si="0"/>
        <v/>
      </c>
      <c r="H28" s="8"/>
      <c r="I28" s="237"/>
      <c r="J28" s="285"/>
      <c r="K28" s="285"/>
      <c r="L28" s="237"/>
      <c r="M28" s="193"/>
    </row>
    <row r="29" spans="1:13" x14ac:dyDescent="0.3">
      <c r="A29" s="209">
        <v>17</v>
      </c>
      <c r="B29" s="213">
        <v>7.35</v>
      </c>
      <c r="C29" s="193">
        <v>3.865431640910443</v>
      </c>
      <c r="D29" s="215">
        <v>3.48</v>
      </c>
      <c r="E29" s="205">
        <v>0</v>
      </c>
      <c r="F29" s="214">
        <v>532.84</v>
      </c>
      <c r="G29" t="str">
        <f t="shared" si="0"/>
        <v/>
      </c>
      <c r="H29" s="8"/>
      <c r="I29" s="237"/>
      <c r="J29" s="285"/>
      <c r="K29" s="285"/>
      <c r="L29" s="237"/>
      <c r="M29" s="193"/>
    </row>
    <row r="30" spans="1:13" x14ac:dyDescent="0.3">
      <c r="A30" s="209">
        <v>18</v>
      </c>
      <c r="B30" s="213">
        <v>7.35</v>
      </c>
      <c r="C30" s="193">
        <v>3.8403501557702877</v>
      </c>
      <c r="D30" s="215">
        <v>3.51</v>
      </c>
      <c r="E30" s="205">
        <v>0</v>
      </c>
      <c r="F30" s="214">
        <v>529.33000000000004</v>
      </c>
      <c r="G30" t="str">
        <f t="shared" si="0"/>
        <v/>
      </c>
      <c r="H30" s="8"/>
      <c r="I30" s="237"/>
      <c r="J30" s="285"/>
      <c r="K30" s="285"/>
      <c r="L30" s="237"/>
      <c r="M30" s="193"/>
    </row>
    <row r="31" spans="1:13" x14ac:dyDescent="0.3">
      <c r="A31" s="209">
        <v>19</v>
      </c>
      <c r="B31" s="213">
        <v>7.35</v>
      </c>
      <c r="C31" s="193">
        <v>3.815052450930648</v>
      </c>
      <c r="D31" s="215">
        <v>3.53</v>
      </c>
      <c r="E31" s="205">
        <v>0</v>
      </c>
      <c r="F31" s="214">
        <v>525.80000000000007</v>
      </c>
      <c r="G31" t="str">
        <f t="shared" si="0"/>
        <v/>
      </c>
      <c r="H31" s="8"/>
      <c r="I31" s="237"/>
      <c r="J31" s="285"/>
      <c r="K31" s="285"/>
      <c r="L31" s="237"/>
      <c r="M31" s="193"/>
    </row>
    <row r="32" spans="1:13" x14ac:dyDescent="0.3">
      <c r="A32" s="209">
        <v>20</v>
      </c>
      <c r="B32" s="213">
        <v>7.35</v>
      </c>
      <c r="C32" s="193">
        <v>3.7896105996246856</v>
      </c>
      <c r="D32" s="215">
        <v>3.56</v>
      </c>
      <c r="E32" s="205">
        <v>0</v>
      </c>
      <c r="F32" s="214">
        <v>522.24</v>
      </c>
      <c r="G32" t="str">
        <f t="shared" si="0"/>
        <v/>
      </c>
      <c r="H32" s="8"/>
      <c r="I32" s="237"/>
      <c r="J32" s="285"/>
      <c r="K32" s="285"/>
      <c r="L32" s="237"/>
      <c r="M32" s="193"/>
    </row>
    <row r="33" spans="1:13" x14ac:dyDescent="0.3">
      <c r="A33" s="209">
        <v>21</v>
      </c>
      <c r="B33" s="213">
        <v>7.35</v>
      </c>
      <c r="C33" s="193">
        <v>3.7639525286192383</v>
      </c>
      <c r="D33" s="215">
        <v>3.58</v>
      </c>
      <c r="E33" s="205">
        <v>0</v>
      </c>
      <c r="F33" s="214">
        <v>518.66</v>
      </c>
      <c r="G33" t="str">
        <f t="shared" ref="G33:G75" si="1">IF($B$5="","",IF(ROW(A23)&gt;$B$5+$B$8,"",ROW(A23)))</f>
        <v/>
      </c>
      <c r="H33" s="8"/>
      <c r="I33" s="237"/>
      <c r="J33" s="285"/>
      <c r="K33" s="285"/>
      <c r="L33" s="237"/>
      <c r="M33" s="193"/>
    </row>
    <row r="34" spans="1:13" x14ac:dyDescent="0.3">
      <c r="A34" s="209">
        <v>22</v>
      </c>
      <c r="B34" s="213">
        <v>7.35</v>
      </c>
      <c r="C34" s="193">
        <v>3.7381503111474688</v>
      </c>
      <c r="D34" s="215">
        <v>3.61</v>
      </c>
      <c r="E34" s="205">
        <v>0</v>
      </c>
      <c r="F34" s="214">
        <v>515.04999999999995</v>
      </c>
      <c r="G34" t="str">
        <f t="shared" si="1"/>
        <v/>
      </c>
      <c r="H34" s="8"/>
      <c r="I34" s="237"/>
      <c r="J34" s="285"/>
      <c r="K34" s="285"/>
      <c r="L34" s="237"/>
      <c r="M34" s="193"/>
    </row>
    <row r="35" spans="1:13" x14ac:dyDescent="0.3">
      <c r="A35" s="209">
        <v>23</v>
      </c>
      <c r="B35" s="213">
        <v>7.35</v>
      </c>
      <c r="C35" s="193">
        <v>3.7121318739762152</v>
      </c>
      <c r="D35" s="215">
        <v>3.63</v>
      </c>
      <c r="E35" s="205">
        <v>0</v>
      </c>
      <c r="F35" s="214">
        <v>511.41999999999996</v>
      </c>
      <c r="G35" t="str">
        <f t="shared" si="1"/>
        <v/>
      </c>
      <c r="H35" s="8"/>
      <c r="I35" s="237"/>
      <c r="J35" s="285"/>
      <c r="K35" s="285"/>
      <c r="L35" s="237"/>
      <c r="M35" s="193"/>
    </row>
    <row r="36" spans="1:13" x14ac:dyDescent="0.3">
      <c r="A36" s="209">
        <v>24</v>
      </c>
      <c r="B36" s="213">
        <v>7.35</v>
      </c>
      <c r="C36" s="193">
        <v>3.685969290338639</v>
      </c>
      <c r="D36" s="215">
        <v>3.66</v>
      </c>
      <c r="E36" s="205">
        <v>0</v>
      </c>
      <c r="F36" s="214">
        <v>507.76</v>
      </c>
      <c r="G36" t="str">
        <f t="shared" si="1"/>
        <v/>
      </c>
      <c r="H36" s="8"/>
      <c r="I36" s="237"/>
      <c r="J36" s="285"/>
      <c r="K36" s="285"/>
      <c r="L36" s="237"/>
      <c r="M36" s="193"/>
    </row>
    <row r="37" spans="1:13" x14ac:dyDescent="0.3">
      <c r="A37" s="209">
        <v>25</v>
      </c>
      <c r="B37" s="213">
        <v>7.35</v>
      </c>
      <c r="C37" s="193">
        <v>3.6595904870015787</v>
      </c>
      <c r="D37" s="215">
        <v>3.69</v>
      </c>
      <c r="E37" s="205">
        <v>0</v>
      </c>
      <c r="F37" s="214">
        <v>504.07</v>
      </c>
      <c r="G37" t="str">
        <f t="shared" si="1"/>
        <v/>
      </c>
      <c r="H37" s="8"/>
      <c r="I37" s="237"/>
      <c r="J37" s="285"/>
      <c r="K37" s="285"/>
      <c r="L37" s="237"/>
      <c r="M37" s="193"/>
    </row>
    <row r="38" spans="1:13" x14ac:dyDescent="0.3">
      <c r="A38" s="209">
        <v>26</v>
      </c>
      <c r="B38" s="213">
        <v>7.35</v>
      </c>
      <c r="C38" s="193">
        <v>3.6329954639650341</v>
      </c>
      <c r="D38" s="215">
        <v>3.71</v>
      </c>
      <c r="E38" s="205">
        <v>0</v>
      </c>
      <c r="F38" s="214">
        <v>500.36</v>
      </c>
      <c r="G38" t="str">
        <f t="shared" si="1"/>
        <v/>
      </c>
      <c r="H38" s="8"/>
      <c r="I38" s="237"/>
      <c r="J38" s="285"/>
      <c r="K38" s="285"/>
      <c r="L38" s="237"/>
      <c r="M38" s="193"/>
    </row>
    <row r="39" spans="1:13" x14ac:dyDescent="0.3">
      <c r="A39" s="209">
        <v>27</v>
      </c>
      <c r="B39" s="213">
        <v>7.35</v>
      </c>
      <c r="C39" s="193">
        <v>3.6062562944621672</v>
      </c>
      <c r="D39" s="215">
        <v>3.74</v>
      </c>
      <c r="E39" s="205">
        <v>0</v>
      </c>
      <c r="F39" s="214">
        <v>496.62</v>
      </c>
      <c r="G39" t="str">
        <f t="shared" si="1"/>
        <v/>
      </c>
      <c r="H39" s="8"/>
      <c r="I39" s="237"/>
      <c r="J39" s="285"/>
      <c r="K39" s="285"/>
      <c r="L39" s="237"/>
      <c r="M39" s="193"/>
    </row>
    <row r="40" spans="1:13" x14ac:dyDescent="0.3">
      <c r="A40" s="209">
        <v>28</v>
      </c>
      <c r="B40" s="213">
        <v>7.35</v>
      </c>
      <c r="C40" s="193">
        <v>3.5793009052598159</v>
      </c>
      <c r="D40" s="215">
        <v>3.77</v>
      </c>
      <c r="E40" s="205">
        <v>0</v>
      </c>
      <c r="F40" s="214">
        <v>492.85</v>
      </c>
      <c r="G40" t="str">
        <f t="shared" si="1"/>
        <v/>
      </c>
      <c r="H40" s="8"/>
      <c r="I40" s="237"/>
      <c r="J40" s="285"/>
      <c r="K40" s="285"/>
      <c r="L40" s="237"/>
      <c r="M40" s="193"/>
    </row>
    <row r="41" spans="1:13" x14ac:dyDescent="0.3">
      <c r="A41" s="209">
        <v>29</v>
      </c>
      <c r="B41" s="213">
        <v>7.35</v>
      </c>
      <c r="C41" s="193">
        <v>3.5521292963579802</v>
      </c>
      <c r="D41" s="215">
        <v>3.79</v>
      </c>
      <c r="E41" s="205">
        <v>0</v>
      </c>
      <c r="F41" s="214">
        <v>489.06</v>
      </c>
      <c r="G41" t="str">
        <f t="shared" si="1"/>
        <v/>
      </c>
      <c r="H41" s="8"/>
      <c r="I41" s="237"/>
      <c r="J41" s="285"/>
      <c r="K41" s="285"/>
      <c r="L41" s="237"/>
      <c r="M41" s="193"/>
    </row>
    <row r="42" spans="1:13" x14ac:dyDescent="0.3">
      <c r="A42" s="209">
        <v>30</v>
      </c>
      <c r="B42" s="213">
        <v>7.35</v>
      </c>
      <c r="C42" s="193">
        <v>3.5248135409898222</v>
      </c>
      <c r="D42" s="215">
        <v>3.82</v>
      </c>
      <c r="E42" s="205">
        <v>0</v>
      </c>
      <c r="F42" s="214">
        <v>485.24</v>
      </c>
      <c r="G42" t="str">
        <f t="shared" si="1"/>
        <v/>
      </c>
      <c r="H42" s="8"/>
      <c r="I42" s="237"/>
      <c r="J42" s="285"/>
      <c r="K42" s="285"/>
      <c r="L42" s="237"/>
      <c r="M42" s="193"/>
    </row>
    <row r="43" spans="1:13" x14ac:dyDescent="0.3">
      <c r="A43" s="209">
        <v>31</v>
      </c>
      <c r="B43" s="213">
        <v>7.35</v>
      </c>
      <c r="C43" s="193">
        <v>3.4972815659221799</v>
      </c>
      <c r="D43" s="215">
        <v>3.85</v>
      </c>
      <c r="E43" s="205">
        <v>0</v>
      </c>
      <c r="F43" s="214">
        <v>481.39</v>
      </c>
      <c r="G43" t="str">
        <f t="shared" si="1"/>
        <v/>
      </c>
      <c r="H43" s="8"/>
      <c r="I43" s="237"/>
      <c r="J43" s="285"/>
      <c r="K43" s="285"/>
      <c r="L43" s="237"/>
      <c r="M43" s="193"/>
    </row>
    <row r="44" spans="1:13" x14ac:dyDescent="0.3">
      <c r="A44" s="209">
        <v>32</v>
      </c>
      <c r="B44" s="213">
        <v>7.35</v>
      </c>
      <c r="C44" s="193">
        <v>3.4695333711550536</v>
      </c>
      <c r="D44" s="215">
        <v>3.88</v>
      </c>
      <c r="E44" s="205">
        <v>0</v>
      </c>
      <c r="F44" s="214">
        <v>477.51</v>
      </c>
      <c r="G44" t="str">
        <f t="shared" si="1"/>
        <v/>
      </c>
      <c r="H44" s="8"/>
      <c r="I44" s="237"/>
      <c r="J44" s="285"/>
      <c r="K44" s="285"/>
      <c r="L44" s="237"/>
      <c r="M44" s="193"/>
    </row>
    <row r="45" spans="1:13" x14ac:dyDescent="0.3">
      <c r="A45" s="209">
        <v>33</v>
      </c>
      <c r="B45" s="213">
        <v>7.35</v>
      </c>
      <c r="C45" s="193">
        <v>3.4415689566884429</v>
      </c>
      <c r="D45" s="215">
        <v>3.91</v>
      </c>
      <c r="E45" s="205">
        <v>0</v>
      </c>
      <c r="F45" s="214">
        <v>473.59999999999997</v>
      </c>
      <c r="G45" t="str">
        <f t="shared" si="1"/>
        <v/>
      </c>
      <c r="H45" s="8"/>
      <c r="I45" s="237"/>
      <c r="J45" s="285"/>
      <c r="K45" s="285"/>
      <c r="L45" s="237"/>
      <c r="M45" s="193"/>
    </row>
    <row r="46" spans="1:13" x14ac:dyDescent="0.3">
      <c r="A46" s="209">
        <v>34</v>
      </c>
      <c r="B46" s="213">
        <v>7.35</v>
      </c>
      <c r="C46" s="193">
        <v>3.4133883225223483</v>
      </c>
      <c r="D46" s="215">
        <v>3.93</v>
      </c>
      <c r="E46" s="205">
        <v>0</v>
      </c>
      <c r="F46" s="214">
        <v>469.67</v>
      </c>
      <c r="G46" t="str">
        <f t="shared" si="1"/>
        <v/>
      </c>
      <c r="H46" s="8"/>
      <c r="I46" s="237"/>
      <c r="J46" s="285"/>
      <c r="K46" s="285"/>
      <c r="L46" s="237"/>
      <c r="M46" s="193"/>
    </row>
    <row r="47" spans="1:13" x14ac:dyDescent="0.3">
      <c r="A47" s="209">
        <v>35</v>
      </c>
      <c r="B47" s="213">
        <v>7.35</v>
      </c>
      <c r="C47" s="193">
        <v>3.3850635418899313</v>
      </c>
      <c r="D47" s="215">
        <v>3.96</v>
      </c>
      <c r="E47" s="205">
        <v>0</v>
      </c>
      <c r="F47" s="214">
        <v>465.71000000000004</v>
      </c>
      <c r="G47" t="str">
        <f t="shared" si="1"/>
        <v/>
      </c>
      <c r="H47" s="8"/>
      <c r="I47" s="237"/>
      <c r="J47" s="285"/>
      <c r="K47" s="285"/>
      <c r="L47" s="237"/>
      <c r="M47" s="193"/>
    </row>
    <row r="48" spans="1:13" x14ac:dyDescent="0.3">
      <c r="A48" s="209">
        <v>36</v>
      </c>
      <c r="B48" s="213">
        <v>7.35</v>
      </c>
      <c r="C48" s="193">
        <v>3.35652254155803</v>
      </c>
      <c r="D48" s="215">
        <v>3.99</v>
      </c>
      <c r="E48" s="205">
        <v>0</v>
      </c>
      <c r="F48" s="214">
        <v>461.71999999999997</v>
      </c>
      <c r="G48" s="229"/>
      <c r="H48" s="8"/>
      <c r="I48" s="237"/>
      <c r="J48" s="285"/>
      <c r="K48" s="285"/>
      <c r="L48" s="237"/>
      <c r="M48" s="193"/>
    </row>
    <row r="49" spans="1:13" x14ac:dyDescent="0.3">
      <c r="A49" s="209">
        <v>37</v>
      </c>
      <c r="B49" s="213">
        <v>7.35</v>
      </c>
      <c r="C49" s="193">
        <v>3.3277653215266443</v>
      </c>
      <c r="D49" s="215">
        <v>4.0199999999999996</v>
      </c>
      <c r="E49" s="205">
        <v>0</v>
      </c>
      <c r="F49" s="214">
        <v>457.70000000000005</v>
      </c>
      <c r="H49" s="8"/>
      <c r="I49" s="237"/>
      <c r="J49" s="285"/>
      <c r="K49" s="285"/>
      <c r="L49" s="237"/>
      <c r="M49" s="193"/>
    </row>
    <row r="50" spans="1:13" x14ac:dyDescent="0.3">
      <c r="A50" s="209">
        <v>38</v>
      </c>
      <c r="B50" s="213">
        <v>7.35</v>
      </c>
      <c r="C50" s="193">
        <v>3.2987918817957751</v>
      </c>
      <c r="D50" s="215">
        <v>4.05</v>
      </c>
      <c r="E50" s="205">
        <v>0</v>
      </c>
      <c r="F50" s="214">
        <v>453.65</v>
      </c>
      <c r="G50" s="281"/>
      <c r="H50" s="8"/>
      <c r="I50" s="237"/>
      <c r="J50" s="285"/>
      <c r="K50" s="285"/>
      <c r="L50" s="237"/>
      <c r="M50" s="193"/>
    </row>
    <row r="51" spans="1:13" x14ac:dyDescent="0.3">
      <c r="A51" s="209">
        <v>39</v>
      </c>
      <c r="B51" s="213">
        <v>7.35</v>
      </c>
      <c r="C51" s="193">
        <v>3.2696022223654211</v>
      </c>
      <c r="D51" s="215">
        <v>4.08</v>
      </c>
      <c r="E51" s="205">
        <v>0</v>
      </c>
      <c r="F51" s="214">
        <v>449.57</v>
      </c>
      <c r="G51" s="229"/>
      <c r="H51" s="8"/>
      <c r="I51" s="237"/>
      <c r="J51" s="285"/>
      <c r="K51" s="285"/>
      <c r="L51" s="237"/>
      <c r="M51" s="193"/>
    </row>
    <row r="52" spans="1:13" x14ac:dyDescent="0.3">
      <c r="A52" s="209">
        <v>40</v>
      </c>
      <c r="B52" s="213">
        <v>7.35</v>
      </c>
      <c r="C52" s="193">
        <v>3.2401963432355831</v>
      </c>
      <c r="D52" s="215">
        <v>4.1100000000000003</v>
      </c>
      <c r="E52" s="205">
        <v>0</v>
      </c>
      <c r="F52" s="214">
        <v>445.46</v>
      </c>
      <c r="G52" s="229"/>
      <c r="H52" s="8"/>
      <c r="I52" s="237"/>
      <c r="J52" s="285"/>
      <c r="K52" s="285"/>
      <c r="L52" s="237"/>
      <c r="M52" s="193"/>
    </row>
    <row r="53" spans="1:13" x14ac:dyDescent="0.3">
      <c r="A53" s="209">
        <v>41</v>
      </c>
      <c r="B53" s="213">
        <v>7.35</v>
      </c>
      <c r="C53" s="213">
        <v>3.2105742444062613</v>
      </c>
      <c r="D53" s="215">
        <v>4.1399999999999997</v>
      </c>
      <c r="E53" s="205">
        <v>0</v>
      </c>
      <c r="F53" s="214">
        <v>441.32</v>
      </c>
      <c r="G53" t="str">
        <f t="shared" si="1"/>
        <v/>
      </c>
      <c r="H53" s="8"/>
      <c r="I53" s="237"/>
      <c r="J53" s="285"/>
      <c r="K53" s="285"/>
      <c r="L53" s="237"/>
      <c r="M53" s="193"/>
    </row>
    <row r="54" spans="1:13" x14ac:dyDescent="0.3">
      <c r="A54" s="209">
        <v>42</v>
      </c>
      <c r="B54" s="213">
        <v>7.35</v>
      </c>
      <c r="C54" s="213">
        <v>3.1807359258774555</v>
      </c>
      <c r="D54" s="215">
        <v>4.17</v>
      </c>
      <c r="E54" s="205">
        <v>0</v>
      </c>
      <c r="F54" s="214">
        <v>437.15</v>
      </c>
      <c r="G54" t="str">
        <f t="shared" si="1"/>
        <v/>
      </c>
      <c r="H54" s="8"/>
      <c r="I54" s="237"/>
      <c r="J54" s="285"/>
      <c r="K54" s="285"/>
      <c r="L54" s="237"/>
      <c r="M54" s="193"/>
    </row>
    <row r="55" spans="1:13" x14ac:dyDescent="0.3">
      <c r="A55" s="209">
        <v>43</v>
      </c>
      <c r="B55" s="213">
        <v>7.35</v>
      </c>
      <c r="C55" s="213">
        <v>3.1506813876491653</v>
      </c>
      <c r="D55" s="215">
        <v>4.2</v>
      </c>
      <c r="E55" s="205">
        <v>0</v>
      </c>
      <c r="F55" s="214">
        <v>432.95</v>
      </c>
      <c r="G55" t="str">
        <f t="shared" si="1"/>
        <v/>
      </c>
      <c r="H55" s="8"/>
      <c r="I55" s="237"/>
      <c r="J55" s="285"/>
      <c r="K55" s="285"/>
      <c r="L55" s="237"/>
      <c r="M55" s="193"/>
    </row>
    <row r="56" spans="1:13" x14ac:dyDescent="0.3">
      <c r="A56" s="209">
        <v>44</v>
      </c>
      <c r="B56" s="213">
        <v>7.35</v>
      </c>
      <c r="C56" s="193">
        <v>3.1204106297213912</v>
      </c>
      <c r="D56" s="215">
        <v>4.2300000000000004</v>
      </c>
      <c r="E56" s="205">
        <v>0</v>
      </c>
      <c r="F56" s="214">
        <v>428.71999999999997</v>
      </c>
      <c r="G56" t="str">
        <f t="shared" si="1"/>
        <v/>
      </c>
      <c r="H56" s="8"/>
      <c r="I56" s="237"/>
      <c r="J56" s="285"/>
      <c r="K56" s="285"/>
      <c r="L56" s="237"/>
      <c r="M56" s="193"/>
    </row>
    <row r="57" spans="1:13" x14ac:dyDescent="0.3">
      <c r="A57" s="209">
        <v>45</v>
      </c>
      <c r="B57" s="213">
        <v>7.35</v>
      </c>
      <c r="C57" s="193">
        <v>3.0899236520941327</v>
      </c>
      <c r="D57" s="215">
        <v>4.26</v>
      </c>
      <c r="E57" s="205">
        <v>0</v>
      </c>
      <c r="F57" s="214">
        <v>424.46000000000004</v>
      </c>
      <c r="G57" t="str">
        <f t="shared" si="1"/>
        <v/>
      </c>
      <c r="H57" s="8"/>
      <c r="I57" s="237"/>
      <c r="J57" s="285"/>
      <c r="K57" s="285"/>
      <c r="L57" s="237"/>
      <c r="M57" s="193"/>
    </row>
    <row r="58" spans="1:13" x14ac:dyDescent="0.3">
      <c r="A58" s="209">
        <v>46</v>
      </c>
      <c r="B58" s="213">
        <v>7.35</v>
      </c>
      <c r="C58" s="193">
        <v>3.0592204547673907</v>
      </c>
      <c r="D58" s="215">
        <v>4.29</v>
      </c>
      <c r="E58" s="205">
        <v>0</v>
      </c>
      <c r="F58" s="214">
        <v>420.16999999999996</v>
      </c>
      <c r="G58" t="str">
        <f t="shared" si="1"/>
        <v/>
      </c>
      <c r="H58" s="8"/>
      <c r="I58" s="237"/>
      <c r="J58" s="285"/>
      <c r="K58" s="285"/>
      <c r="L58" s="237"/>
      <c r="M58" s="193"/>
    </row>
    <row r="59" spans="1:13" x14ac:dyDescent="0.3">
      <c r="A59" s="209">
        <v>47</v>
      </c>
      <c r="B59" s="213">
        <v>7.35</v>
      </c>
      <c r="C59" s="193">
        <v>3.0283010377411634</v>
      </c>
      <c r="D59" s="215">
        <v>4.32</v>
      </c>
      <c r="E59" s="205">
        <v>0</v>
      </c>
      <c r="F59" s="214">
        <v>415.85</v>
      </c>
      <c r="G59" t="str">
        <f t="shared" si="1"/>
        <v/>
      </c>
      <c r="H59" s="8"/>
      <c r="I59" s="237"/>
      <c r="J59" s="285"/>
      <c r="K59" s="285"/>
      <c r="L59" s="237"/>
      <c r="M59" s="193"/>
    </row>
    <row r="60" spans="1:13" x14ac:dyDescent="0.3">
      <c r="A60" s="209">
        <v>48</v>
      </c>
      <c r="B60" s="213">
        <v>7.35</v>
      </c>
      <c r="C60" s="193">
        <v>2.9971654010154531</v>
      </c>
      <c r="D60" s="215">
        <v>4.3499999999999996</v>
      </c>
      <c r="E60" s="205">
        <v>0</v>
      </c>
      <c r="F60" s="214">
        <v>411.5</v>
      </c>
      <c r="G60" t="str">
        <f t="shared" si="1"/>
        <v/>
      </c>
      <c r="H60" s="8"/>
      <c r="I60" s="237"/>
      <c r="J60" s="285"/>
      <c r="K60" s="285"/>
      <c r="L60" s="237"/>
      <c r="M60" s="193"/>
    </row>
    <row r="61" spans="1:13" x14ac:dyDescent="0.3">
      <c r="A61" s="209">
        <v>49</v>
      </c>
      <c r="B61" s="213">
        <v>7.35</v>
      </c>
      <c r="C61" s="193">
        <v>2.9658135445902585</v>
      </c>
      <c r="D61" s="215">
        <v>4.38</v>
      </c>
      <c r="E61" s="205">
        <v>0</v>
      </c>
      <c r="F61" s="214">
        <v>407.12</v>
      </c>
      <c r="G61" t="str">
        <f t="shared" si="1"/>
        <v/>
      </c>
      <c r="H61" s="8"/>
      <c r="I61" s="237"/>
      <c r="J61" s="285"/>
      <c r="K61" s="285"/>
      <c r="L61" s="237"/>
      <c r="M61" s="193"/>
    </row>
    <row r="62" spans="1:13" x14ac:dyDescent="0.3">
      <c r="A62" s="209">
        <v>50</v>
      </c>
      <c r="B62" s="213">
        <v>7.35</v>
      </c>
      <c r="C62" s="193">
        <v>2.9342454684655799</v>
      </c>
      <c r="D62" s="215">
        <v>4.41</v>
      </c>
      <c r="E62" s="205">
        <v>0</v>
      </c>
      <c r="F62" s="214">
        <v>402.71</v>
      </c>
      <c r="G62" t="str">
        <f t="shared" si="1"/>
        <v/>
      </c>
      <c r="H62" s="8"/>
      <c r="I62" s="237"/>
      <c r="J62" s="285"/>
      <c r="K62" s="285"/>
      <c r="L62" s="237"/>
      <c r="M62" s="193"/>
    </row>
    <row r="63" spans="1:13" x14ac:dyDescent="0.3">
      <c r="A63" s="209">
        <v>51</v>
      </c>
      <c r="B63" s="213">
        <v>7.35</v>
      </c>
      <c r="C63" s="193">
        <v>2.9024611726414165</v>
      </c>
      <c r="D63" s="215">
        <v>4.4400000000000004</v>
      </c>
      <c r="E63" s="205">
        <v>0</v>
      </c>
      <c r="F63" s="214">
        <v>398.27</v>
      </c>
      <c r="G63" t="str">
        <f t="shared" si="1"/>
        <v/>
      </c>
      <c r="H63" s="8"/>
      <c r="I63" s="237"/>
      <c r="J63" s="285"/>
      <c r="K63" s="285"/>
      <c r="L63" s="237"/>
      <c r="M63" s="193"/>
    </row>
    <row r="64" spans="1:13" x14ac:dyDescent="0.3">
      <c r="A64" s="209">
        <v>52</v>
      </c>
      <c r="B64" s="213">
        <v>7.35</v>
      </c>
      <c r="C64" s="193">
        <v>2.8704606571177695</v>
      </c>
      <c r="D64" s="215">
        <v>4.4800000000000004</v>
      </c>
      <c r="E64" s="205">
        <v>0</v>
      </c>
      <c r="F64" s="214">
        <v>393.78999999999996</v>
      </c>
      <c r="G64" t="str">
        <f t="shared" si="1"/>
        <v/>
      </c>
      <c r="H64" s="8"/>
      <c r="I64" s="237"/>
      <c r="J64" s="285"/>
      <c r="K64" s="285"/>
      <c r="L64" s="237"/>
      <c r="M64" s="193"/>
    </row>
    <row r="65" spans="1:13" x14ac:dyDescent="0.3">
      <c r="A65" s="209">
        <v>53</v>
      </c>
      <c r="B65" s="213">
        <v>7.35</v>
      </c>
      <c r="C65" s="193">
        <v>2.8381718486614771</v>
      </c>
      <c r="D65" s="215">
        <v>4.51</v>
      </c>
      <c r="E65" s="205">
        <v>0</v>
      </c>
      <c r="F65" s="214">
        <v>389.28000000000003</v>
      </c>
      <c r="G65" t="str">
        <f t="shared" si="1"/>
        <v/>
      </c>
      <c r="H65" s="8"/>
      <c r="I65" s="237"/>
      <c r="J65" s="285"/>
      <c r="K65" s="285"/>
      <c r="L65" s="237"/>
      <c r="M65" s="193"/>
    </row>
    <row r="66" spans="1:13" x14ac:dyDescent="0.3">
      <c r="A66" s="209">
        <v>54</v>
      </c>
      <c r="B66" s="213">
        <v>7.35</v>
      </c>
      <c r="C66" s="213">
        <v>2.8056668205057007</v>
      </c>
      <c r="D66" s="215">
        <v>4.54</v>
      </c>
      <c r="E66" s="205">
        <v>0</v>
      </c>
      <c r="F66" s="214">
        <v>384.73999999999995</v>
      </c>
      <c r="G66" t="str">
        <f t="shared" si="1"/>
        <v/>
      </c>
      <c r="H66" s="8"/>
      <c r="I66" s="237"/>
      <c r="J66" s="285"/>
      <c r="K66" s="285"/>
      <c r="L66" s="237"/>
      <c r="M66" s="193"/>
    </row>
    <row r="67" spans="1:13" x14ac:dyDescent="0.3">
      <c r="A67" s="209">
        <v>55</v>
      </c>
      <c r="B67" s="213">
        <v>7.35</v>
      </c>
      <c r="C67" s="213">
        <v>2.7729455726504395</v>
      </c>
      <c r="D67" s="215">
        <v>4.57</v>
      </c>
      <c r="E67" s="205">
        <v>0</v>
      </c>
      <c r="F67" s="214">
        <v>380.17</v>
      </c>
      <c r="G67" t="str">
        <f t="shared" si="1"/>
        <v/>
      </c>
      <c r="H67" s="8"/>
      <c r="I67" s="237"/>
      <c r="J67" s="285"/>
      <c r="K67" s="285"/>
      <c r="L67" s="237"/>
      <c r="M67" s="193"/>
    </row>
    <row r="68" spans="1:13" x14ac:dyDescent="0.3">
      <c r="A68" s="209">
        <v>56</v>
      </c>
      <c r="B68" s="213">
        <v>7.35</v>
      </c>
      <c r="C68" s="193">
        <v>2.7400081050956953</v>
      </c>
      <c r="D68" s="215">
        <v>4.6100000000000003</v>
      </c>
      <c r="E68" s="205">
        <v>0</v>
      </c>
      <c r="F68" s="214">
        <v>375.56</v>
      </c>
      <c r="G68" t="str">
        <f t="shared" si="1"/>
        <v/>
      </c>
      <c r="H68" s="8"/>
      <c r="I68" s="237"/>
      <c r="J68" s="285"/>
      <c r="K68" s="285"/>
      <c r="L68" s="237"/>
      <c r="M68" s="193"/>
    </row>
    <row r="69" spans="1:13" x14ac:dyDescent="0.3">
      <c r="A69" s="209">
        <v>57</v>
      </c>
      <c r="B69" s="213">
        <v>7.35</v>
      </c>
      <c r="C69" s="193">
        <v>2.706782344608305</v>
      </c>
      <c r="D69" s="215">
        <v>4.6399999999999997</v>
      </c>
      <c r="E69" s="205">
        <v>0</v>
      </c>
      <c r="F69" s="214">
        <v>370.92</v>
      </c>
      <c r="G69" t="str">
        <f t="shared" si="1"/>
        <v/>
      </c>
      <c r="H69" s="8"/>
      <c r="I69" s="237"/>
      <c r="J69" s="285"/>
      <c r="K69" s="285"/>
      <c r="L69" s="237"/>
      <c r="M69" s="193"/>
    </row>
    <row r="70" spans="1:13" x14ac:dyDescent="0.3">
      <c r="A70" s="209">
        <v>58</v>
      </c>
      <c r="B70" s="213">
        <v>7.35</v>
      </c>
      <c r="C70" s="193">
        <v>2.6733403644214309</v>
      </c>
      <c r="D70" s="215">
        <v>4.67</v>
      </c>
      <c r="E70" s="205">
        <v>0</v>
      </c>
      <c r="F70" s="214">
        <v>366.25</v>
      </c>
      <c r="G70" t="str">
        <f t="shared" si="1"/>
        <v/>
      </c>
      <c r="H70" s="8"/>
      <c r="I70" s="237"/>
      <c r="J70" s="285"/>
      <c r="K70" s="285"/>
      <c r="L70" s="237"/>
      <c r="M70" s="193"/>
    </row>
    <row r="71" spans="1:13" x14ac:dyDescent="0.3">
      <c r="A71" s="209">
        <v>59</v>
      </c>
      <c r="B71" s="213">
        <v>7.35</v>
      </c>
      <c r="C71" s="193">
        <v>2.6396821645350723</v>
      </c>
      <c r="D71" s="215">
        <v>4.71</v>
      </c>
      <c r="E71" s="205">
        <v>0</v>
      </c>
      <c r="F71" s="214">
        <v>361.54</v>
      </c>
      <c r="G71" t="str">
        <f t="shared" si="1"/>
        <v/>
      </c>
      <c r="H71" s="8"/>
      <c r="I71" s="237"/>
      <c r="J71" s="285"/>
      <c r="K71" s="285"/>
      <c r="L71" s="237"/>
      <c r="M71" s="193"/>
    </row>
    <row r="72" spans="1:13" x14ac:dyDescent="0.3">
      <c r="A72" s="209">
        <v>60</v>
      </c>
      <c r="B72" s="213">
        <v>7.35</v>
      </c>
      <c r="C72" s="193">
        <v>2.6057356717160682</v>
      </c>
      <c r="D72" s="215">
        <v>4.74</v>
      </c>
      <c r="E72" s="205">
        <v>0</v>
      </c>
      <c r="F72" s="214">
        <v>356.8</v>
      </c>
      <c r="G72" t="str">
        <f t="shared" si="1"/>
        <v/>
      </c>
      <c r="H72" s="8"/>
      <c r="I72" s="237"/>
      <c r="J72" s="285"/>
      <c r="K72" s="285"/>
      <c r="L72" s="237"/>
      <c r="M72" s="193"/>
    </row>
    <row r="73" spans="1:13" x14ac:dyDescent="0.3">
      <c r="A73" s="209">
        <v>61</v>
      </c>
      <c r="B73" s="213">
        <v>7.35</v>
      </c>
      <c r="C73" s="193">
        <v>2.5715729591975802</v>
      </c>
      <c r="D73" s="215">
        <v>4.78</v>
      </c>
      <c r="E73" s="205">
        <v>0</v>
      </c>
      <c r="F73" s="214">
        <v>352.02000000000004</v>
      </c>
      <c r="G73" t="str">
        <f t="shared" si="1"/>
        <v/>
      </c>
      <c r="H73" s="8"/>
      <c r="I73" s="237"/>
      <c r="J73" s="285"/>
      <c r="K73" s="285"/>
      <c r="L73" s="237"/>
      <c r="M73" s="193"/>
    </row>
    <row r="74" spans="1:13" x14ac:dyDescent="0.3">
      <c r="A74" s="209">
        <v>62</v>
      </c>
      <c r="B74" s="213">
        <v>7.35</v>
      </c>
      <c r="C74" s="193">
        <v>2.5371219537464471</v>
      </c>
      <c r="D74" s="215">
        <v>4.8099999999999996</v>
      </c>
      <c r="E74" s="205">
        <v>0</v>
      </c>
      <c r="F74" s="214">
        <v>347.21</v>
      </c>
      <c r="G74" t="str">
        <f t="shared" si="1"/>
        <v/>
      </c>
      <c r="H74" s="8"/>
      <c r="I74" s="237"/>
      <c r="J74" s="285"/>
      <c r="K74" s="285"/>
      <c r="L74" s="237"/>
      <c r="M74" s="193"/>
    </row>
    <row r="75" spans="1:13" x14ac:dyDescent="0.3">
      <c r="A75" s="209">
        <v>63</v>
      </c>
      <c r="B75" s="213">
        <v>7.35</v>
      </c>
      <c r="C75" s="193">
        <v>2.5024547285958287</v>
      </c>
      <c r="D75" s="215">
        <v>4.84</v>
      </c>
      <c r="E75" s="205">
        <v>0</v>
      </c>
      <c r="F75" s="214">
        <v>342.37</v>
      </c>
      <c r="G75" t="str">
        <f t="shared" si="1"/>
        <v/>
      </c>
      <c r="H75" s="8"/>
      <c r="I75" s="237"/>
      <c r="J75" s="285"/>
      <c r="K75" s="285"/>
      <c r="L75" s="237"/>
      <c r="M75" s="193"/>
    </row>
    <row r="76" spans="1:13" x14ac:dyDescent="0.3">
      <c r="A76" s="209">
        <v>64</v>
      </c>
      <c r="B76" s="213">
        <v>7.35</v>
      </c>
      <c r="C76" s="193">
        <v>2.4675712837457273</v>
      </c>
      <c r="D76" s="215">
        <v>4.88</v>
      </c>
      <c r="E76" s="205">
        <v>0</v>
      </c>
      <c r="F76" s="214">
        <v>337.49</v>
      </c>
      <c r="G76" t="str">
        <f t="shared" ref="G76:G113" si="2">IF($B$5="","",IF(ROW(A66)&gt;$B$5+$B$8,"",ROW(A66)))</f>
        <v/>
      </c>
      <c r="H76" s="8"/>
      <c r="I76" s="237"/>
      <c r="J76" s="285"/>
      <c r="K76" s="285"/>
      <c r="L76" s="237"/>
      <c r="M76" s="193"/>
    </row>
    <row r="77" spans="1:13" x14ac:dyDescent="0.3">
      <c r="A77" s="209">
        <v>65</v>
      </c>
      <c r="B77" s="213">
        <v>7.35</v>
      </c>
      <c r="C77" s="193">
        <v>2.4323995459629804</v>
      </c>
      <c r="D77" s="215">
        <v>4.91</v>
      </c>
      <c r="E77" s="205">
        <v>0</v>
      </c>
      <c r="F77" s="214">
        <v>332.58</v>
      </c>
      <c r="G77" t="str">
        <f t="shared" si="2"/>
        <v/>
      </c>
      <c r="H77" s="8"/>
      <c r="I77" s="237"/>
      <c r="J77" s="285"/>
      <c r="K77" s="285"/>
      <c r="L77" s="237"/>
      <c r="M77" s="193"/>
    </row>
    <row r="78" spans="1:13" x14ac:dyDescent="0.3">
      <c r="A78" s="209">
        <v>66</v>
      </c>
      <c r="B78" s="213">
        <v>7.35</v>
      </c>
      <c r="C78" s="193">
        <v>2.3970115884807486</v>
      </c>
      <c r="D78" s="215">
        <v>4.95</v>
      </c>
      <c r="E78" s="205">
        <v>0</v>
      </c>
      <c r="F78" s="214">
        <v>327.63</v>
      </c>
      <c r="G78" t="str">
        <f t="shared" si="2"/>
        <v/>
      </c>
      <c r="H78" s="8"/>
      <c r="I78" s="237"/>
      <c r="J78" s="285"/>
      <c r="K78" s="285"/>
      <c r="L78" s="237"/>
      <c r="M78" s="193"/>
    </row>
    <row r="79" spans="1:13" x14ac:dyDescent="0.3">
      <c r="A79" s="209">
        <v>67</v>
      </c>
      <c r="B79" s="213">
        <v>7.35</v>
      </c>
      <c r="C79" s="193">
        <v>2.3613353380658721</v>
      </c>
      <c r="D79" s="215">
        <v>4.99</v>
      </c>
      <c r="E79" s="205">
        <v>0</v>
      </c>
      <c r="F79" s="214">
        <v>322.64</v>
      </c>
      <c r="G79" t="str">
        <f t="shared" si="2"/>
        <v/>
      </c>
      <c r="H79" s="8"/>
      <c r="I79" s="237"/>
      <c r="J79" s="285"/>
      <c r="K79" s="285"/>
      <c r="L79" s="237"/>
      <c r="M79" s="193"/>
    </row>
    <row r="80" spans="1:13" x14ac:dyDescent="0.3">
      <c r="A80" s="209">
        <v>68</v>
      </c>
      <c r="B80" s="213">
        <v>7.35</v>
      </c>
      <c r="C80" s="193">
        <v>2.3253707947183497</v>
      </c>
      <c r="D80" s="215">
        <v>5.0199999999999996</v>
      </c>
      <c r="E80" s="205">
        <v>0</v>
      </c>
      <c r="F80" s="214">
        <v>317.62</v>
      </c>
      <c r="G80" t="str">
        <f t="shared" si="2"/>
        <v/>
      </c>
      <c r="H80" s="8"/>
      <c r="I80" s="237"/>
      <c r="J80" s="285"/>
      <c r="K80" s="285"/>
      <c r="L80" s="237"/>
      <c r="M80" s="193"/>
    </row>
    <row r="81" spans="1:13" x14ac:dyDescent="0.3">
      <c r="A81" s="209">
        <v>69</v>
      </c>
      <c r="B81" s="213">
        <v>7.35</v>
      </c>
      <c r="C81" s="193">
        <v>2.2891900316713438</v>
      </c>
      <c r="D81" s="215">
        <v>5.0599999999999996</v>
      </c>
      <c r="E81" s="205">
        <v>0</v>
      </c>
      <c r="F81" s="214">
        <v>312.56</v>
      </c>
      <c r="G81" t="str">
        <f t="shared" si="2"/>
        <v/>
      </c>
      <c r="H81" s="8"/>
      <c r="I81" s="237"/>
      <c r="J81" s="285"/>
      <c r="K81" s="285"/>
      <c r="L81" s="237"/>
      <c r="M81" s="193"/>
    </row>
    <row r="82" spans="1:13" x14ac:dyDescent="0.3">
      <c r="A82" s="209">
        <v>70</v>
      </c>
      <c r="B82" s="213">
        <v>7.35</v>
      </c>
      <c r="C82" s="193">
        <v>2.2527209756916919</v>
      </c>
      <c r="D82" s="215">
        <v>5.09</v>
      </c>
      <c r="E82" s="205">
        <v>0</v>
      </c>
      <c r="F82" s="214">
        <v>307.47000000000003</v>
      </c>
      <c r="G82" t="str">
        <f t="shared" si="2"/>
        <v/>
      </c>
      <c r="H82" s="8"/>
      <c r="I82" s="237"/>
      <c r="J82" s="285"/>
      <c r="K82" s="285"/>
      <c r="L82" s="237"/>
      <c r="M82" s="193"/>
    </row>
    <row r="83" spans="1:13" x14ac:dyDescent="0.3">
      <c r="A83" s="209">
        <v>71</v>
      </c>
      <c r="B83" s="213">
        <v>7.35</v>
      </c>
      <c r="C83" s="193">
        <v>2.2160357000125561</v>
      </c>
      <c r="D83" s="215">
        <v>5.13</v>
      </c>
      <c r="E83" s="205">
        <v>0</v>
      </c>
      <c r="F83" s="214">
        <v>302.34000000000003</v>
      </c>
      <c r="G83" t="str">
        <f t="shared" si="2"/>
        <v/>
      </c>
      <c r="H83" s="8"/>
      <c r="I83" s="237"/>
      <c r="J83" s="285"/>
      <c r="K83" s="285"/>
      <c r="L83" s="237"/>
      <c r="M83" s="193"/>
    </row>
    <row r="84" spans="1:13" x14ac:dyDescent="0.3">
      <c r="A84" s="209">
        <v>72</v>
      </c>
      <c r="B84" s="213">
        <v>7.35</v>
      </c>
      <c r="C84" s="193">
        <v>2.1790621314007748</v>
      </c>
      <c r="D84" s="215">
        <v>5.17</v>
      </c>
      <c r="E84" s="205">
        <v>0</v>
      </c>
      <c r="F84" s="214">
        <v>297.16999999999996</v>
      </c>
      <c r="G84" t="str">
        <f t="shared" si="2"/>
        <v/>
      </c>
      <c r="H84" s="8"/>
      <c r="I84" s="237"/>
      <c r="J84" s="285"/>
      <c r="K84" s="285"/>
      <c r="L84" s="237"/>
      <c r="M84" s="193"/>
    </row>
    <row r="85" spans="1:13" x14ac:dyDescent="0.3">
      <c r="A85" s="209">
        <v>73</v>
      </c>
      <c r="B85" s="213">
        <v>7.35</v>
      </c>
      <c r="C85" s="193">
        <v>2.1418002698563474</v>
      </c>
      <c r="D85" s="215">
        <v>5.2</v>
      </c>
      <c r="E85" s="205">
        <v>0</v>
      </c>
      <c r="F85" s="214">
        <v>291.97000000000003</v>
      </c>
      <c r="G85" t="str">
        <f t="shared" si="2"/>
        <v/>
      </c>
      <c r="H85" s="8"/>
      <c r="I85" s="237"/>
      <c r="J85" s="285"/>
      <c r="K85" s="285"/>
      <c r="L85" s="237"/>
      <c r="M85" s="193"/>
    </row>
    <row r="86" spans="1:13" x14ac:dyDescent="0.3">
      <c r="A86" s="209">
        <v>74</v>
      </c>
      <c r="B86" s="213">
        <v>7.35</v>
      </c>
      <c r="C86" s="193">
        <v>2.104322188612437</v>
      </c>
      <c r="D86" s="215">
        <v>5.24</v>
      </c>
      <c r="E86" s="205">
        <v>0</v>
      </c>
      <c r="F86" s="214">
        <v>286.73</v>
      </c>
      <c r="G86" t="str">
        <f t="shared" si="2"/>
        <v/>
      </c>
      <c r="H86" s="8"/>
      <c r="I86" s="237"/>
      <c r="J86" s="285"/>
      <c r="K86" s="285"/>
      <c r="L86" s="237"/>
      <c r="M86" s="193"/>
    </row>
    <row r="87" spans="1:13" x14ac:dyDescent="0.3">
      <c r="A87" s="209">
        <v>75</v>
      </c>
      <c r="B87" s="213">
        <v>7.35</v>
      </c>
      <c r="C87" s="193">
        <v>2.0665558144358807</v>
      </c>
      <c r="D87" s="215">
        <v>5.28</v>
      </c>
      <c r="E87" s="205">
        <v>0</v>
      </c>
      <c r="F87" s="214">
        <v>281.45000000000005</v>
      </c>
      <c r="G87" t="str">
        <f t="shared" si="2"/>
        <v/>
      </c>
      <c r="H87" s="8"/>
      <c r="I87" s="237"/>
      <c r="J87" s="285"/>
      <c r="K87" s="285"/>
      <c r="L87" s="237"/>
      <c r="M87" s="193"/>
    </row>
    <row r="88" spans="1:13" x14ac:dyDescent="0.3">
      <c r="A88" s="209">
        <v>76</v>
      </c>
      <c r="B88" s="213">
        <v>7.35</v>
      </c>
      <c r="C88" s="193">
        <v>2.0285011473266787</v>
      </c>
      <c r="D88" s="215">
        <v>5.32</v>
      </c>
      <c r="E88" s="205">
        <v>0</v>
      </c>
      <c r="F88" s="214">
        <v>276.13</v>
      </c>
      <c r="G88" t="str">
        <f t="shared" si="2"/>
        <v/>
      </c>
      <c r="H88" s="8"/>
      <c r="I88" s="237"/>
      <c r="J88" s="285"/>
      <c r="K88" s="285"/>
      <c r="L88" s="237"/>
      <c r="M88" s="193"/>
    </row>
    <row r="89" spans="1:13" x14ac:dyDescent="0.3">
      <c r="A89" s="209">
        <v>77</v>
      </c>
      <c r="B89" s="213">
        <v>7.35</v>
      </c>
      <c r="C89" s="193">
        <v>1.9901581872848313</v>
      </c>
      <c r="D89" s="215">
        <v>5.36</v>
      </c>
      <c r="E89" s="205">
        <v>0</v>
      </c>
      <c r="F89" s="214">
        <v>270.77</v>
      </c>
      <c r="G89" t="str">
        <f t="shared" si="2"/>
        <v/>
      </c>
      <c r="H89" s="8"/>
      <c r="I89" s="237"/>
      <c r="J89" s="285"/>
      <c r="K89" s="285"/>
      <c r="L89" s="237"/>
      <c r="M89" s="193"/>
    </row>
    <row r="90" spans="1:13" x14ac:dyDescent="0.3">
      <c r="A90" s="209">
        <v>78</v>
      </c>
      <c r="B90" s="213">
        <v>7.35</v>
      </c>
      <c r="C90" s="193">
        <v>1.9515269343103383</v>
      </c>
      <c r="D90" s="215">
        <v>5.4</v>
      </c>
      <c r="E90" s="205">
        <v>0</v>
      </c>
      <c r="F90" s="214">
        <v>265.37</v>
      </c>
      <c r="G90" t="str">
        <f t="shared" si="2"/>
        <v/>
      </c>
      <c r="H90" s="8"/>
      <c r="I90" s="237"/>
      <c r="J90" s="285"/>
      <c r="K90" s="285"/>
      <c r="L90" s="237"/>
      <c r="M90" s="193"/>
    </row>
    <row r="91" spans="1:13" x14ac:dyDescent="0.3">
      <c r="A91" s="209">
        <v>79</v>
      </c>
      <c r="B91" s="213">
        <v>7.35</v>
      </c>
      <c r="C91" s="193">
        <v>1.9126073884032002</v>
      </c>
      <c r="D91" s="215">
        <v>5.43</v>
      </c>
      <c r="E91" s="205">
        <v>0</v>
      </c>
      <c r="F91" s="214">
        <v>259.94</v>
      </c>
      <c r="G91" t="str">
        <f t="shared" si="2"/>
        <v/>
      </c>
      <c r="H91" s="8"/>
      <c r="I91" s="237"/>
      <c r="J91" s="285"/>
      <c r="K91" s="285"/>
      <c r="L91" s="237"/>
      <c r="M91" s="193"/>
    </row>
    <row r="92" spans="1:13" x14ac:dyDescent="0.3">
      <c r="A92" s="209">
        <v>80</v>
      </c>
      <c r="B92" s="213">
        <v>7.35</v>
      </c>
      <c r="C92" s="193">
        <v>1.8734716227965778</v>
      </c>
      <c r="D92" s="215">
        <v>5.47</v>
      </c>
      <c r="E92" s="205">
        <v>0</v>
      </c>
      <c r="F92" s="214">
        <v>254.47</v>
      </c>
      <c r="G92" t="str">
        <f t="shared" si="2"/>
        <v/>
      </c>
      <c r="H92" s="8"/>
      <c r="I92" s="237"/>
      <c r="J92" s="285"/>
      <c r="K92" s="285"/>
      <c r="L92" s="237"/>
      <c r="M92" s="193"/>
    </row>
    <row r="93" spans="1:13" x14ac:dyDescent="0.3">
      <c r="A93" s="209">
        <v>81</v>
      </c>
      <c r="B93" s="213">
        <v>7.35</v>
      </c>
      <c r="C93" s="193">
        <v>1.83404756425731</v>
      </c>
      <c r="D93" s="215">
        <v>5.51</v>
      </c>
      <c r="E93" s="205">
        <v>0</v>
      </c>
      <c r="F93" s="214">
        <v>248.96</v>
      </c>
      <c r="G93" t="str">
        <f t="shared" si="2"/>
        <v/>
      </c>
      <c r="H93" s="8"/>
      <c r="I93" s="237"/>
      <c r="J93" s="285"/>
      <c r="K93" s="285"/>
      <c r="L93" s="237"/>
      <c r="M93" s="193"/>
    </row>
    <row r="94" spans="1:13" x14ac:dyDescent="0.3">
      <c r="A94" s="209">
        <v>82</v>
      </c>
      <c r="B94" s="213">
        <v>7.35</v>
      </c>
      <c r="C94" s="193">
        <v>1.7943352127853969</v>
      </c>
      <c r="D94" s="215">
        <v>5.55</v>
      </c>
      <c r="E94" s="205">
        <v>0</v>
      </c>
      <c r="F94" s="214">
        <v>243.41</v>
      </c>
      <c r="G94" t="str">
        <f t="shared" si="2"/>
        <v/>
      </c>
      <c r="H94" s="8"/>
      <c r="I94" s="237"/>
      <c r="J94" s="285"/>
      <c r="K94" s="285"/>
      <c r="L94" s="237"/>
      <c r="M94" s="193"/>
    </row>
    <row r="95" spans="1:13" x14ac:dyDescent="0.3">
      <c r="A95" s="209">
        <v>83</v>
      </c>
      <c r="B95" s="213">
        <v>7.35</v>
      </c>
      <c r="C95" s="193">
        <v>1.754334568380838</v>
      </c>
      <c r="D95" s="215">
        <v>5.59</v>
      </c>
      <c r="E95" s="205">
        <v>0</v>
      </c>
      <c r="F95" s="214">
        <v>237.82</v>
      </c>
      <c r="G95" t="str">
        <f t="shared" si="2"/>
        <v/>
      </c>
      <c r="H95" s="8"/>
      <c r="I95" s="237"/>
      <c r="J95" s="285"/>
      <c r="K95" s="285"/>
      <c r="L95" s="237"/>
      <c r="M95" s="193"/>
    </row>
    <row r="96" spans="1:13" x14ac:dyDescent="0.3">
      <c r="A96" s="209">
        <v>84</v>
      </c>
      <c r="B96" s="213">
        <v>7.35</v>
      </c>
      <c r="C96" s="193">
        <v>1.7140456310436336</v>
      </c>
      <c r="D96" s="215">
        <v>5.63</v>
      </c>
      <c r="E96" s="205">
        <v>0</v>
      </c>
      <c r="F96" s="214">
        <v>232.19</v>
      </c>
      <c r="G96" t="str">
        <f t="shared" si="2"/>
        <v/>
      </c>
      <c r="H96" s="8"/>
      <c r="I96" s="237"/>
      <c r="J96" s="285"/>
      <c r="K96" s="285"/>
      <c r="L96" s="237"/>
      <c r="M96" s="193"/>
    </row>
    <row r="97" spans="1:13" x14ac:dyDescent="0.3">
      <c r="A97" s="209">
        <v>85</v>
      </c>
      <c r="B97" s="213">
        <v>7.35</v>
      </c>
      <c r="C97" s="193">
        <v>1.6734684007737839</v>
      </c>
      <c r="D97" s="215">
        <v>5.67</v>
      </c>
      <c r="E97" s="205">
        <v>0</v>
      </c>
      <c r="F97" s="214">
        <v>226.52</v>
      </c>
      <c r="G97" t="str">
        <f t="shared" si="2"/>
        <v/>
      </c>
      <c r="H97" s="8"/>
      <c r="I97" s="237"/>
      <c r="J97" s="285"/>
      <c r="K97" s="285"/>
      <c r="L97" s="237"/>
      <c r="M97" s="193"/>
    </row>
    <row r="98" spans="1:13" x14ac:dyDescent="0.3">
      <c r="A98" s="209">
        <v>86</v>
      </c>
      <c r="B98" s="213">
        <v>7.35</v>
      </c>
      <c r="C98" s="193">
        <v>1.6326028775712889</v>
      </c>
      <c r="D98" s="215">
        <v>5.71</v>
      </c>
      <c r="E98" s="205">
        <v>0</v>
      </c>
      <c r="F98" s="214">
        <v>220.81</v>
      </c>
      <c r="G98" t="str">
        <f t="shared" si="2"/>
        <v/>
      </c>
      <c r="H98" s="8"/>
      <c r="I98" s="237"/>
      <c r="J98" s="285"/>
      <c r="K98" s="285"/>
      <c r="L98" s="237"/>
      <c r="M98" s="193"/>
    </row>
    <row r="99" spans="1:13" x14ac:dyDescent="0.3">
      <c r="A99" s="209">
        <v>87</v>
      </c>
      <c r="B99" s="213">
        <v>7.35</v>
      </c>
      <c r="C99" s="193">
        <v>1.5914490614361483</v>
      </c>
      <c r="D99" s="215">
        <v>5.76</v>
      </c>
      <c r="E99" s="205">
        <v>0</v>
      </c>
      <c r="F99" s="214">
        <v>215.05</v>
      </c>
      <c r="G99" t="str">
        <f t="shared" si="2"/>
        <v/>
      </c>
      <c r="H99" s="8"/>
      <c r="I99" s="237"/>
      <c r="J99" s="285"/>
      <c r="K99" s="285"/>
      <c r="L99" s="237"/>
      <c r="M99" s="193"/>
    </row>
    <row r="100" spans="1:13" x14ac:dyDescent="0.3">
      <c r="A100" s="209">
        <v>88</v>
      </c>
      <c r="B100" s="213">
        <v>7.35</v>
      </c>
      <c r="C100" s="193">
        <v>1.5499348791352008</v>
      </c>
      <c r="D100" s="215">
        <v>5.8</v>
      </c>
      <c r="E100" s="205">
        <v>0</v>
      </c>
      <c r="F100" s="214">
        <v>209.25</v>
      </c>
      <c r="G100" t="str">
        <f t="shared" si="2"/>
        <v/>
      </c>
      <c r="H100" s="8"/>
      <c r="I100" s="237"/>
      <c r="J100" s="285"/>
      <c r="K100" s="285"/>
      <c r="L100" s="237"/>
      <c r="M100" s="193"/>
    </row>
    <row r="101" spans="1:13" x14ac:dyDescent="0.3">
      <c r="A101" s="209">
        <v>89</v>
      </c>
      <c r="B101" s="213">
        <v>7.35</v>
      </c>
      <c r="C101" s="193">
        <v>1.5081324039016077</v>
      </c>
      <c r="D101" s="215">
        <v>5.84</v>
      </c>
      <c r="E101" s="205">
        <v>0</v>
      </c>
      <c r="F101" s="214">
        <v>203.41</v>
      </c>
      <c r="G101" t="str">
        <f t="shared" si="2"/>
        <v/>
      </c>
      <c r="H101" s="8"/>
      <c r="I101" s="237"/>
      <c r="J101" s="285"/>
      <c r="K101" s="285"/>
      <c r="L101" s="237"/>
      <c r="M101" s="193"/>
    </row>
    <row r="102" spans="1:13" x14ac:dyDescent="0.3">
      <c r="A102" s="209">
        <v>90</v>
      </c>
      <c r="B102" s="213">
        <v>7.35</v>
      </c>
      <c r="C102" s="193">
        <v>1.4660416357353694</v>
      </c>
      <c r="D102" s="215">
        <v>5.88</v>
      </c>
      <c r="E102" s="205">
        <v>0</v>
      </c>
      <c r="F102" s="214">
        <v>197.53</v>
      </c>
      <c r="G102" t="str">
        <f t="shared" si="2"/>
        <v/>
      </c>
      <c r="H102" s="8"/>
      <c r="I102" s="237"/>
      <c r="J102" s="285"/>
      <c r="K102" s="285"/>
      <c r="L102" s="237"/>
      <c r="M102" s="193"/>
    </row>
    <row r="103" spans="1:13" x14ac:dyDescent="0.3">
      <c r="A103" s="209">
        <v>91</v>
      </c>
      <c r="B103" s="213">
        <v>7.35</v>
      </c>
      <c r="C103" s="193">
        <v>1.4236625746364855</v>
      </c>
      <c r="D103" s="215">
        <v>5.92</v>
      </c>
      <c r="E103" s="205">
        <v>0</v>
      </c>
      <c r="F103" s="214">
        <v>191.61</v>
      </c>
      <c r="G103" t="str">
        <f t="shared" si="2"/>
        <v/>
      </c>
      <c r="H103" s="8"/>
      <c r="I103" s="237"/>
      <c r="J103" s="285"/>
      <c r="K103" s="285"/>
      <c r="L103" s="237"/>
      <c r="M103" s="193"/>
    </row>
    <row r="104" spans="1:13" x14ac:dyDescent="0.3">
      <c r="A104" s="209">
        <v>92</v>
      </c>
      <c r="B104" s="213">
        <v>7.35</v>
      </c>
      <c r="C104" s="193">
        <v>1.3809952206049563</v>
      </c>
      <c r="D104" s="215">
        <v>5.97</v>
      </c>
      <c r="E104" s="205">
        <v>0</v>
      </c>
      <c r="F104" s="214">
        <v>185.64000000000001</v>
      </c>
      <c r="G104" t="str">
        <f t="shared" si="2"/>
        <v/>
      </c>
      <c r="H104" s="8"/>
      <c r="I104" s="237"/>
      <c r="J104" s="285"/>
      <c r="K104" s="285"/>
      <c r="L104" s="237"/>
      <c r="M104" s="193"/>
    </row>
    <row r="105" spans="1:13" x14ac:dyDescent="0.3">
      <c r="A105" s="209">
        <v>93</v>
      </c>
      <c r="B105" s="213">
        <v>7.35</v>
      </c>
      <c r="C105" s="193">
        <v>1.3379675004076199</v>
      </c>
      <c r="D105" s="215">
        <v>6.01</v>
      </c>
      <c r="E105" s="205">
        <v>0</v>
      </c>
      <c r="F105" s="214">
        <v>179.63</v>
      </c>
      <c r="G105" t="str">
        <f t="shared" si="2"/>
        <v/>
      </c>
      <c r="H105" s="8"/>
      <c r="I105" s="237"/>
      <c r="J105" s="285"/>
      <c r="K105" s="285"/>
      <c r="L105" s="237"/>
      <c r="M105" s="193"/>
    </row>
    <row r="106" spans="1:13" x14ac:dyDescent="0.3">
      <c r="A106" s="209">
        <v>94</v>
      </c>
      <c r="B106" s="213">
        <v>7.35</v>
      </c>
      <c r="C106" s="193">
        <v>1.2946514872776382</v>
      </c>
      <c r="D106" s="215">
        <v>6.05</v>
      </c>
      <c r="E106" s="205">
        <v>0</v>
      </c>
      <c r="F106" s="214">
        <v>173.57999999999998</v>
      </c>
      <c r="G106" t="str">
        <f t="shared" si="2"/>
        <v/>
      </c>
      <c r="H106" s="8"/>
      <c r="I106" s="237"/>
      <c r="J106" s="285"/>
      <c r="K106" s="285"/>
      <c r="L106" s="237"/>
      <c r="M106" s="193"/>
    </row>
    <row r="107" spans="1:13" x14ac:dyDescent="0.3">
      <c r="A107" s="209">
        <v>95</v>
      </c>
      <c r="B107" s="213">
        <v>7.35</v>
      </c>
      <c r="C107" s="193">
        <v>1.251047181215011</v>
      </c>
      <c r="D107" s="215">
        <v>6.1</v>
      </c>
      <c r="E107" s="205">
        <v>0</v>
      </c>
      <c r="F107" s="214">
        <v>167.48000000000002</v>
      </c>
      <c r="G107" t="str">
        <f t="shared" si="2"/>
        <v/>
      </c>
      <c r="H107" s="8"/>
      <c r="I107" s="237"/>
      <c r="J107" s="285"/>
      <c r="K107" s="285"/>
      <c r="L107" s="237"/>
      <c r="M107" s="193"/>
    </row>
    <row r="108" spans="1:13" x14ac:dyDescent="0.3">
      <c r="A108" s="209">
        <v>96</v>
      </c>
      <c r="B108" s="213">
        <v>7.35</v>
      </c>
      <c r="C108" s="193">
        <v>1.2070825089865773</v>
      </c>
      <c r="D108" s="215">
        <v>6.14</v>
      </c>
      <c r="E108" s="205">
        <v>0</v>
      </c>
      <c r="F108" s="214">
        <v>161.34</v>
      </c>
      <c r="G108" t="str">
        <f t="shared" si="2"/>
        <v/>
      </c>
      <c r="H108" s="8"/>
      <c r="I108" s="237"/>
      <c r="J108" s="285"/>
      <c r="K108" s="285"/>
      <c r="L108" s="237"/>
      <c r="M108" s="193"/>
    </row>
    <row r="109" spans="1:13" x14ac:dyDescent="0.3">
      <c r="A109" s="209">
        <v>97</v>
      </c>
      <c r="B109" s="213">
        <v>7.35</v>
      </c>
      <c r="C109" s="193">
        <v>1.1628295438254976</v>
      </c>
      <c r="D109" s="215">
        <v>6.18</v>
      </c>
      <c r="E109" s="205">
        <v>0</v>
      </c>
      <c r="F109" s="214">
        <v>155.16</v>
      </c>
      <c r="G109" t="str">
        <f t="shared" si="2"/>
        <v/>
      </c>
      <c r="H109" s="8"/>
      <c r="I109" s="237"/>
      <c r="J109" s="285"/>
      <c r="K109" s="285"/>
      <c r="L109" s="237"/>
      <c r="M109" s="193"/>
    </row>
    <row r="110" spans="1:13" x14ac:dyDescent="0.3">
      <c r="A110" s="209">
        <v>98</v>
      </c>
      <c r="B110" s="213">
        <v>7.35</v>
      </c>
      <c r="C110" s="193">
        <v>1.1182882857317729</v>
      </c>
      <c r="D110" s="215">
        <v>6.23</v>
      </c>
      <c r="E110" s="205">
        <v>0</v>
      </c>
      <c r="F110" s="214">
        <v>148.93</v>
      </c>
      <c r="G110" t="str">
        <f t="shared" si="2"/>
        <v/>
      </c>
      <c r="H110" s="8"/>
      <c r="I110" s="237"/>
      <c r="J110" s="285"/>
      <c r="K110" s="285"/>
      <c r="L110" s="237"/>
      <c r="M110" s="193"/>
    </row>
    <row r="111" spans="1:13" x14ac:dyDescent="0.3">
      <c r="A111" s="209">
        <v>99</v>
      </c>
      <c r="B111" s="213">
        <v>7.35</v>
      </c>
      <c r="C111" s="193">
        <v>1.0733866614722412</v>
      </c>
      <c r="D111" s="215">
        <v>6.27</v>
      </c>
      <c r="E111" s="205">
        <v>0</v>
      </c>
      <c r="F111" s="214">
        <v>142.66</v>
      </c>
      <c r="G111" t="str">
        <f t="shared" si="2"/>
        <v/>
      </c>
      <c r="H111" s="8"/>
      <c r="I111" s="237"/>
      <c r="J111" s="285"/>
      <c r="K111" s="285"/>
      <c r="L111" s="237"/>
      <c r="M111" s="193"/>
    </row>
    <row r="112" spans="1:13" x14ac:dyDescent="0.3">
      <c r="A112" s="209">
        <v>100</v>
      </c>
      <c r="B112" s="213">
        <v>7.35</v>
      </c>
      <c r="C112" s="193">
        <v>1.0281967442800639</v>
      </c>
      <c r="D112" s="215">
        <v>6.32</v>
      </c>
      <c r="E112" s="205">
        <v>0</v>
      </c>
      <c r="F112" s="214">
        <v>136.34</v>
      </c>
      <c r="G112" t="str">
        <f t="shared" si="2"/>
        <v/>
      </c>
      <c r="H112" s="8"/>
      <c r="I112" s="237"/>
      <c r="J112" s="285"/>
      <c r="K112" s="285"/>
      <c r="L112" s="237"/>
      <c r="M112" s="193"/>
    </row>
    <row r="113" spans="1:13" x14ac:dyDescent="0.3">
      <c r="A113" s="209">
        <v>101</v>
      </c>
      <c r="B113" s="213">
        <v>7.35</v>
      </c>
      <c r="C113" s="193">
        <v>0.98264646092207986</v>
      </c>
      <c r="D113" s="215">
        <v>6.36</v>
      </c>
      <c r="E113" s="205">
        <v>0</v>
      </c>
      <c r="F113" s="214">
        <v>129.97999999999999</v>
      </c>
      <c r="G113" t="str">
        <f t="shared" si="2"/>
        <v/>
      </c>
      <c r="H113" s="8"/>
      <c r="I113" s="237"/>
      <c r="J113" s="285"/>
      <c r="K113" s="285"/>
      <c r="L113" s="237"/>
      <c r="M113" s="193"/>
    </row>
    <row r="114" spans="1:13" x14ac:dyDescent="0.3">
      <c r="A114" s="209">
        <v>102</v>
      </c>
      <c r="B114" s="213">
        <v>7.35</v>
      </c>
      <c r="C114" s="193">
        <v>0.93680788463145026</v>
      </c>
      <c r="D114" s="215">
        <v>6.41</v>
      </c>
      <c r="E114" s="205">
        <v>0</v>
      </c>
      <c r="F114" s="214">
        <v>123.57</v>
      </c>
      <c r="H114" s="8"/>
      <c r="I114" s="237"/>
      <c r="J114" s="285"/>
      <c r="K114" s="285"/>
      <c r="L114" s="237"/>
      <c r="M114" s="193"/>
    </row>
    <row r="115" spans="1:13" x14ac:dyDescent="0.3">
      <c r="A115" s="209">
        <v>103</v>
      </c>
      <c r="B115" s="213">
        <v>7.35</v>
      </c>
      <c r="C115" s="193">
        <v>0.89060894217501385</v>
      </c>
      <c r="D115" s="215">
        <v>6.46</v>
      </c>
      <c r="E115" s="205">
        <v>0</v>
      </c>
      <c r="F115" s="214">
        <v>117.11</v>
      </c>
      <c r="H115" s="8"/>
      <c r="I115" s="237"/>
      <c r="J115" s="285"/>
      <c r="K115" s="285"/>
      <c r="L115" s="237"/>
      <c r="M115" s="193"/>
    </row>
    <row r="116" spans="1:13" x14ac:dyDescent="0.3">
      <c r="A116" s="209">
        <v>104</v>
      </c>
      <c r="B116" s="213">
        <v>7.35</v>
      </c>
      <c r="C116" s="193">
        <v>0.84404963355277074</v>
      </c>
      <c r="D116" s="215">
        <v>6.5</v>
      </c>
      <c r="E116" s="205">
        <v>0</v>
      </c>
      <c r="F116" s="214">
        <v>110.61</v>
      </c>
      <c r="H116" s="8"/>
      <c r="I116" s="237"/>
      <c r="J116" s="285"/>
      <c r="K116" s="285"/>
      <c r="L116" s="237"/>
      <c r="M116" s="193"/>
    </row>
    <row r="117" spans="1:13" x14ac:dyDescent="0.3">
      <c r="A117" s="209">
        <v>105</v>
      </c>
      <c r="B117" s="213">
        <v>7.35</v>
      </c>
      <c r="C117" s="193">
        <v>0.79720203199788209</v>
      </c>
      <c r="D117" s="215">
        <v>6.55</v>
      </c>
      <c r="E117" s="205">
        <v>0</v>
      </c>
      <c r="F117" s="214">
        <v>104.06</v>
      </c>
      <c r="H117" s="8"/>
      <c r="I117" s="237"/>
      <c r="J117" s="285"/>
      <c r="K117" s="285"/>
      <c r="L117" s="237"/>
      <c r="M117" s="193"/>
    </row>
    <row r="118" spans="1:13" x14ac:dyDescent="0.3">
      <c r="A118" s="209">
        <v>106</v>
      </c>
      <c r="B118" s="213">
        <v>7.35</v>
      </c>
      <c r="C118" s="193">
        <v>0.74999406427718662</v>
      </c>
      <c r="D118" s="215">
        <v>6.6</v>
      </c>
      <c r="E118" s="205">
        <v>0</v>
      </c>
      <c r="F118" s="214">
        <v>97.460000000000008</v>
      </c>
      <c r="H118" s="8"/>
      <c r="I118" s="237"/>
      <c r="J118" s="285"/>
      <c r="K118" s="285"/>
      <c r="L118" s="237"/>
      <c r="M118" s="193"/>
    </row>
    <row r="119" spans="1:13" x14ac:dyDescent="0.3">
      <c r="A119" s="209">
        <v>107</v>
      </c>
      <c r="B119" s="213">
        <v>7.35</v>
      </c>
      <c r="C119" s="193">
        <v>0.70242573039068434</v>
      </c>
      <c r="D119" s="215">
        <v>6.64</v>
      </c>
      <c r="E119" s="205">
        <v>0</v>
      </c>
      <c r="F119" s="214">
        <v>90.82</v>
      </c>
      <c r="H119" s="8"/>
      <c r="I119" s="237"/>
      <c r="J119" s="285"/>
      <c r="K119" s="285"/>
      <c r="L119" s="237"/>
      <c r="M119" s="193"/>
    </row>
    <row r="120" spans="1:13" x14ac:dyDescent="0.3">
      <c r="A120" s="209">
        <v>108</v>
      </c>
      <c r="B120" s="213">
        <v>7.35</v>
      </c>
      <c r="C120" s="193">
        <v>0.65456910357153641</v>
      </c>
      <c r="D120" s="215">
        <v>6.69</v>
      </c>
      <c r="E120" s="205">
        <v>0</v>
      </c>
      <c r="F120" s="214">
        <v>84.13</v>
      </c>
      <c r="H120" s="8"/>
      <c r="I120" s="237"/>
      <c r="J120" s="285"/>
      <c r="K120" s="285"/>
      <c r="L120" s="237"/>
      <c r="M120" s="193"/>
    </row>
    <row r="121" spans="1:13" x14ac:dyDescent="0.3">
      <c r="A121" s="209">
        <v>109</v>
      </c>
      <c r="B121" s="213">
        <v>7.35</v>
      </c>
      <c r="C121" s="193">
        <v>0.60635211058658189</v>
      </c>
      <c r="D121" s="215">
        <v>6.74</v>
      </c>
      <c r="E121" s="205">
        <v>0</v>
      </c>
      <c r="F121" s="214">
        <v>77.39</v>
      </c>
      <c r="H121" s="8"/>
      <c r="I121" s="237"/>
      <c r="J121" s="285"/>
      <c r="K121" s="285"/>
      <c r="L121" s="237"/>
      <c r="M121" s="193"/>
    </row>
    <row r="122" spans="1:13" x14ac:dyDescent="0.3">
      <c r="A122" s="209">
        <v>110</v>
      </c>
      <c r="B122" s="213">
        <v>7.35</v>
      </c>
      <c r="C122" s="193">
        <v>0.55777475143582045</v>
      </c>
      <c r="D122" s="215">
        <v>6.79</v>
      </c>
      <c r="E122" s="205">
        <v>0</v>
      </c>
      <c r="F122" s="214">
        <v>70.599999999999994</v>
      </c>
      <c r="H122" s="8"/>
      <c r="I122" s="237"/>
      <c r="J122" s="285"/>
      <c r="K122" s="285"/>
      <c r="L122" s="237"/>
      <c r="M122" s="193"/>
    </row>
    <row r="123" spans="1:13" x14ac:dyDescent="0.3">
      <c r="A123" s="209">
        <v>111</v>
      </c>
      <c r="B123" s="213">
        <v>7.35</v>
      </c>
      <c r="C123" s="193">
        <v>0.50883702611925208</v>
      </c>
      <c r="D123" s="215">
        <v>6.84</v>
      </c>
      <c r="E123" s="205">
        <v>0</v>
      </c>
      <c r="F123" s="214">
        <v>63.759999999999991</v>
      </c>
      <c r="H123" s="8"/>
      <c r="I123" s="237"/>
      <c r="J123" s="285"/>
      <c r="K123" s="285"/>
      <c r="L123" s="237"/>
      <c r="M123" s="193"/>
    </row>
    <row r="124" spans="1:13" x14ac:dyDescent="0.3">
      <c r="A124" s="209">
        <v>112</v>
      </c>
      <c r="B124" s="213">
        <v>7.35</v>
      </c>
      <c r="C124" s="193">
        <v>0.45953893463687689</v>
      </c>
      <c r="D124" s="215">
        <v>6.89</v>
      </c>
      <c r="E124" s="205">
        <v>0</v>
      </c>
      <c r="F124" s="214">
        <v>56.87</v>
      </c>
      <c r="H124" s="8"/>
      <c r="I124" s="237"/>
      <c r="J124" s="285"/>
      <c r="K124" s="285"/>
      <c r="L124" s="237"/>
      <c r="M124" s="193"/>
    </row>
    <row r="125" spans="1:13" x14ac:dyDescent="0.3">
      <c r="A125" s="209">
        <v>113</v>
      </c>
      <c r="B125" s="213">
        <v>7.35</v>
      </c>
      <c r="C125" s="193">
        <v>0.40988047698869501</v>
      </c>
      <c r="D125" s="215">
        <v>6.94</v>
      </c>
      <c r="E125" s="205">
        <v>0</v>
      </c>
      <c r="F125" s="214">
        <v>49.93</v>
      </c>
      <c r="H125" s="8"/>
      <c r="I125" s="237"/>
      <c r="J125" s="285"/>
      <c r="K125" s="285"/>
      <c r="L125" s="237"/>
      <c r="M125" s="193"/>
    </row>
    <row r="126" spans="1:13" x14ac:dyDescent="0.3">
      <c r="A126" s="209">
        <v>114</v>
      </c>
      <c r="B126" s="213">
        <v>7.35</v>
      </c>
      <c r="C126" s="193">
        <v>0.3598616531747062</v>
      </c>
      <c r="D126" s="215">
        <v>6.99</v>
      </c>
      <c r="E126" s="205">
        <v>0</v>
      </c>
      <c r="F126" s="214">
        <v>42.94</v>
      </c>
      <c r="H126" s="8"/>
      <c r="I126" s="237"/>
      <c r="J126" s="285"/>
      <c r="K126" s="285"/>
      <c r="L126" s="237"/>
      <c r="M126" s="193"/>
    </row>
    <row r="127" spans="1:13" x14ac:dyDescent="0.3">
      <c r="A127" s="209">
        <v>115</v>
      </c>
      <c r="B127" s="213">
        <v>7.35</v>
      </c>
      <c r="C127" s="193">
        <v>0.30948246319491057</v>
      </c>
      <c r="D127" s="215">
        <v>7.04</v>
      </c>
      <c r="E127" s="205">
        <v>0</v>
      </c>
      <c r="F127" s="214">
        <v>35.9</v>
      </c>
      <c r="H127" s="8"/>
      <c r="I127" s="237"/>
      <c r="J127" s="285"/>
      <c r="K127" s="285"/>
      <c r="L127" s="237"/>
      <c r="M127" s="193"/>
    </row>
    <row r="128" spans="1:13" x14ac:dyDescent="0.3">
      <c r="A128" s="209">
        <v>116</v>
      </c>
      <c r="B128" s="213">
        <v>7.35</v>
      </c>
      <c r="C128" s="193">
        <v>0.25874290704930808</v>
      </c>
      <c r="D128" s="215">
        <v>7.09</v>
      </c>
      <c r="E128" s="205">
        <v>0</v>
      </c>
      <c r="F128" s="214">
        <v>28.81</v>
      </c>
      <c r="H128" s="8"/>
      <c r="I128" s="237"/>
      <c r="J128" s="285"/>
      <c r="K128" s="285"/>
      <c r="L128" s="237"/>
      <c r="M128" s="193"/>
    </row>
    <row r="129" spans="1:13" x14ac:dyDescent="0.3">
      <c r="A129" s="209">
        <v>117</v>
      </c>
      <c r="B129" s="213">
        <v>7.35</v>
      </c>
      <c r="C129" s="193">
        <v>0.20764298473789877</v>
      </c>
      <c r="D129" s="215">
        <v>7.14</v>
      </c>
      <c r="E129" s="205">
        <v>0</v>
      </c>
      <c r="F129" s="214">
        <v>21.669999999999998</v>
      </c>
      <c r="H129" s="8"/>
      <c r="I129" s="237"/>
      <c r="J129" s="285"/>
      <c r="K129" s="285"/>
      <c r="L129" s="237"/>
      <c r="M129" s="193"/>
    </row>
    <row r="130" spans="1:13" x14ac:dyDescent="0.3">
      <c r="A130" s="209">
        <v>118</v>
      </c>
      <c r="B130" s="213">
        <v>7.35</v>
      </c>
      <c r="C130" s="193">
        <v>0.15618269626068262</v>
      </c>
      <c r="D130" s="215">
        <v>7.19</v>
      </c>
      <c r="E130" s="205">
        <v>0</v>
      </c>
      <c r="F130" s="214">
        <v>14.48</v>
      </c>
      <c r="H130" s="8"/>
      <c r="I130" s="237"/>
      <c r="J130" s="285"/>
      <c r="K130" s="285"/>
      <c r="L130" s="237"/>
      <c r="M130" s="193"/>
    </row>
    <row r="131" spans="1:13" x14ac:dyDescent="0.3">
      <c r="A131" s="209">
        <v>119</v>
      </c>
      <c r="B131" s="213">
        <v>7.35</v>
      </c>
      <c r="C131" s="193">
        <v>0.10436204161765965</v>
      </c>
      <c r="D131" s="215">
        <v>7.24</v>
      </c>
      <c r="E131" s="205">
        <v>0</v>
      </c>
      <c r="F131" s="214">
        <v>7.24</v>
      </c>
      <c r="H131" s="8"/>
      <c r="I131" s="237"/>
      <c r="J131" s="285"/>
      <c r="K131" s="285"/>
      <c r="L131" s="237"/>
      <c r="M131" s="193"/>
    </row>
    <row r="132" spans="1:13" x14ac:dyDescent="0.3">
      <c r="A132" s="209">
        <v>120</v>
      </c>
      <c r="B132" s="213">
        <v>7.3</v>
      </c>
      <c r="C132" s="193">
        <v>5.2181020808829824E-2</v>
      </c>
      <c r="D132" s="215">
        <v>7.25</v>
      </c>
      <c r="E132" s="205">
        <v>0</v>
      </c>
      <c r="F132" s="214">
        <v>0</v>
      </c>
      <c r="H132" s="8"/>
      <c r="I132" s="237"/>
      <c r="J132" s="285"/>
      <c r="K132" s="285"/>
      <c r="L132" s="237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7"/>
      <c r="J133" s="285"/>
      <c r="K133" s="285"/>
      <c r="L133" s="237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7"/>
      <c r="J134" s="285"/>
      <c r="K134" s="285"/>
      <c r="L134" s="237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7"/>
      <c r="J135" s="285"/>
      <c r="K135" s="285"/>
      <c r="L135" s="237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7"/>
      <c r="J136" s="285"/>
      <c r="K136" s="285"/>
      <c r="L136" s="237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7"/>
      <c r="J137" s="285"/>
      <c r="K137" s="285"/>
      <c r="L137" s="237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7"/>
      <c r="J138" s="285"/>
      <c r="K138" s="285"/>
      <c r="L138" s="237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7"/>
      <c r="J139" s="285"/>
      <c r="K139" s="285"/>
      <c r="L139" s="237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7"/>
      <c r="J140" s="285"/>
      <c r="K140" s="285"/>
      <c r="L140" s="237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7"/>
      <c r="J141" s="285"/>
      <c r="K141" s="285"/>
      <c r="L141" s="237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7"/>
      <c r="J142" s="285"/>
      <c r="K142" s="285"/>
      <c r="L142" s="237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7"/>
      <c r="J143" s="285"/>
      <c r="K143" s="285"/>
      <c r="L143" s="237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7"/>
      <c r="J144" s="285"/>
      <c r="K144" s="285"/>
      <c r="L144" s="237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7"/>
      <c r="J145" s="285"/>
      <c r="K145" s="285"/>
      <c r="L145" s="237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7"/>
      <c r="J146" s="285"/>
      <c r="K146" s="285"/>
      <c r="L146" s="237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7"/>
      <c r="J147" s="285"/>
      <c r="K147" s="285"/>
      <c r="L147" s="237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7"/>
      <c r="J148" s="285"/>
      <c r="K148" s="285"/>
      <c r="L148" s="237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7"/>
      <c r="J149" s="285"/>
      <c r="K149" s="285"/>
      <c r="L149" s="237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7"/>
      <c r="J150" s="285"/>
      <c r="K150" s="285"/>
      <c r="L150" s="237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7"/>
      <c r="J151" s="285"/>
      <c r="K151" s="285"/>
      <c r="L151" s="237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7"/>
      <c r="J152" s="285"/>
      <c r="K152" s="285"/>
      <c r="L152" s="237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7"/>
      <c r="J153" s="285"/>
      <c r="K153" s="285"/>
      <c r="L153" s="237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7"/>
      <c r="J154" s="285"/>
      <c r="K154" s="285"/>
      <c r="L154" s="237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7"/>
      <c r="J155" s="285"/>
      <c r="K155" s="285"/>
      <c r="L155" s="237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7"/>
      <c r="J156" s="285"/>
      <c r="K156" s="285"/>
      <c r="L156" s="237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7"/>
      <c r="J157" s="285"/>
      <c r="K157" s="285"/>
      <c r="L157" s="237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7"/>
      <c r="J158" s="285"/>
      <c r="K158" s="285"/>
      <c r="L158" s="237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7"/>
      <c r="J159" s="285"/>
      <c r="K159" s="285"/>
      <c r="L159" s="237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7"/>
      <c r="J160" s="285"/>
      <c r="K160" s="285"/>
      <c r="L160" s="237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7"/>
      <c r="J161" s="285"/>
      <c r="K161" s="285"/>
      <c r="L161" s="237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7"/>
      <c r="J162" s="285"/>
      <c r="K162" s="285"/>
      <c r="L162" s="237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7"/>
      <c r="J163" s="285"/>
      <c r="K163" s="285"/>
      <c r="L163" s="237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7"/>
      <c r="J164" s="285"/>
      <c r="K164" s="285"/>
      <c r="L164" s="237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7"/>
      <c r="J165" s="285"/>
      <c r="K165" s="285"/>
      <c r="L165" s="237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7"/>
      <c r="J166" s="285"/>
      <c r="K166" s="285"/>
      <c r="L166" s="237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7"/>
      <c r="J167" s="285"/>
      <c r="K167" s="285"/>
      <c r="L167" s="237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7"/>
      <c r="J168" s="285"/>
      <c r="K168" s="285"/>
      <c r="L168" s="237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7"/>
      <c r="J169" s="285"/>
      <c r="K169" s="285"/>
      <c r="L169" s="237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7"/>
      <c r="J170" s="285"/>
      <c r="K170" s="285"/>
      <c r="L170" s="237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7"/>
      <c r="J171" s="285"/>
      <c r="K171" s="285"/>
      <c r="L171" s="237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7"/>
      <c r="J172" s="285"/>
      <c r="K172" s="285"/>
      <c r="L172" s="237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7"/>
      <c r="J173" s="285"/>
      <c r="K173" s="285"/>
      <c r="L173" s="237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7"/>
      <c r="J174" s="285"/>
      <c r="K174" s="285"/>
      <c r="L174" s="237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7"/>
      <c r="J175" s="285"/>
      <c r="K175" s="285"/>
      <c r="L175" s="237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7"/>
      <c r="J176" s="285"/>
      <c r="K176" s="285"/>
      <c r="L176" s="237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7"/>
      <c r="J177" s="285"/>
      <c r="K177" s="285"/>
      <c r="L177" s="237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7"/>
      <c r="J178" s="285"/>
      <c r="K178" s="285"/>
      <c r="L178" s="237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7"/>
      <c r="J179" s="285"/>
      <c r="K179" s="285"/>
      <c r="L179" s="237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7"/>
      <c r="J180" s="285"/>
      <c r="K180" s="285"/>
      <c r="L180" s="237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7"/>
      <c r="J181" s="285"/>
      <c r="K181" s="285"/>
      <c r="L181" s="237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7"/>
      <c r="J182" s="285"/>
      <c r="K182" s="285"/>
      <c r="L182" s="237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7"/>
      <c r="J183" s="285"/>
      <c r="K183" s="285"/>
      <c r="L183" s="237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7"/>
      <c r="J184" s="285"/>
      <c r="K184" s="285"/>
      <c r="L184" s="237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7"/>
      <c r="J185" s="285"/>
      <c r="K185" s="285"/>
      <c r="L185" s="237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7"/>
      <c r="J186" s="285"/>
      <c r="K186" s="285"/>
      <c r="L186" s="237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7"/>
      <c r="J187" s="285"/>
      <c r="K187" s="285"/>
      <c r="L187" s="237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7"/>
      <c r="J188" s="285"/>
      <c r="K188" s="285"/>
      <c r="L188" s="237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7"/>
      <c r="J189" s="285"/>
      <c r="K189" s="285"/>
      <c r="L189" s="237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7"/>
      <c r="J190" s="285"/>
      <c r="K190" s="285"/>
      <c r="L190" s="237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7"/>
      <c r="J191" s="285"/>
      <c r="K191" s="285"/>
      <c r="L191" s="237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7"/>
      <c r="J192" s="285"/>
      <c r="K192" s="285"/>
      <c r="L192" s="237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7"/>
      <c r="J193" s="285"/>
      <c r="K193" s="285"/>
      <c r="L193" s="237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7"/>
      <c r="J194" s="285"/>
      <c r="K194" s="285"/>
      <c r="L194" s="237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7"/>
      <c r="J195" s="285"/>
      <c r="K195" s="285"/>
      <c r="L195" s="237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7"/>
      <c r="J196" s="285"/>
      <c r="K196" s="285"/>
      <c r="L196" s="237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7"/>
      <c r="J197" s="285"/>
      <c r="K197" s="285"/>
      <c r="L197" s="237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7"/>
      <c r="J198" s="285"/>
      <c r="K198" s="285"/>
      <c r="L198" s="237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7"/>
      <c r="J199" s="285"/>
      <c r="K199" s="285"/>
      <c r="L199" s="237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7"/>
      <c r="J200" s="285"/>
      <c r="K200" s="285"/>
      <c r="L200" s="237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7"/>
      <c r="J201" s="285"/>
      <c r="K201" s="285"/>
      <c r="L201" s="237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7"/>
      <c r="J202" s="285"/>
      <c r="K202" s="285"/>
      <c r="L202" s="237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7"/>
      <c r="J203" s="285"/>
      <c r="K203" s="285"/>
      <c r="L203" s="237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7"/>
      <c r="J204" s="285"/>
      <c r="K204" s="285"/>
      <c r="L204" s="237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7"/>
      <c r="J205" s="285"/>
      <c r="K205" s="285"/>
      <c r="L205" s="237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7"/>
      <c r="J206" s="285"/>
      <c r="K206" s="285"/>
      <c r="L206" s="237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7"/>
      <c r="J207" s="285"/>
      <c r="K207" s="285"/>
      <c r="L207" s="237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7"/>
      <c r="J208" s="285"/>
      <c r="K208" s="285"/>
      <c r="L208" s="237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7"/>
      <c r="J209" s="285"/>
      <c r="K209" s="285"/>
      <c r="L209" s="237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7"/>
      <c r="J210" s="285"/>
      <c r="K210" s="285"/>
      <c r="L210" s="237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7"/>
      <c r="J211" s="285"/>
      <c r="K211" s="285"/>
      <c r="L211" s="237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7"/>
      <c r="J212" s="285"/>
      <c r="K212" s="285"/>
      <c r="L212" s="237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7"/>
      <c r="J213" s="285"/>
      <c r="K213" s="285"/>
      <c r="L213" s="237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7"/>
      <c r="J214" s="285"/>
      <c r="K214" s="285"/>
      <c r="L214" s="237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7"/>
      <c r="J215" s="285"/>
      <c r="K215" s="285"/>
      <c r="L215" s="237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7"/>
      <c r="J216" s="285"/>
      <c r="K216" s="285"/>
      <c r="L216" s="237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7"/>
      <c r="J217" s="285"/>
      <c r="K217" s="285"/>
      <c r="L217" s="237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7"/>
      <c r="J218" s="285"/>
      <c r="K218" s="285"/>
      <c r="L218" s="237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7"/>
      <c r="J219" s="285"/>
      <c r="K219" s="285"/>
      <c r="L219" s="237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7"/>
      <c r="J220" s="285"/>
      <c r="K220" s="285"/>
      <c r="L220" s="237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7"/>
      <c r="J221" s="285"/>
      <c r="K221" s="285"/>
      <c r="L221" s="237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7"/>
      <c r="J222" s="285"/>
      <c r="K222" s="285"/>
      <c r="L222" s="237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7"/>
      <c r="J223" s="285"/>
      <c r="K223" s="285"/>
      <c r="L223" s="237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7"/>
      <c r="J224" s="285"/>
      <c r="K224" s="285"/>
      <c r="L224" s="237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7"/>
      <c r="J225" s="285"/>
      <c r="K225" s="285"/>
      <c r="L225" s="237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7"/>
      <c r="J226" s="285"/>
      <c r="K226" s="285"/>
      <c r="L226" s="237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7"/>
      <c r="J227" s="285"/>
      <c r="K227" s="285"/>
      <c r="L227" s="237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7"/>
      <c r="J228" s="285"/>
      <c r="K228" s="285"/>
      <c r="L228" s="237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7"/>
      <c r="J229" s="285"/>
      <c r="K229" s="285"/>
      <c r="L229" s="237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7"/>
      <c r="J230" s="285"/>
      <c r="K230" s="285"/>
      <c r="L230" s="237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7"/>
      <c r="J231" s="285"/>
      <c r="K231" s="285"/>
      <c r="L231" s="237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7"/>
      <c r="J232" s="285"/>
      <c r="K232" s="285"/>
      <c r="L232" s="237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7"/>
      <c r="J233" s="285"/>
      <c r="K233" s="285"/>
      <c r="L233" s="237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7"/>
      <c r="J234" s="285"/>
      <c r="K234" s="285"/>
      <c r="L234" s="237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7"/>
      <c r="J235" s="285"/>
      <c r="K235" s="285"/>
      <c r="L235" s="237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7"/>
      <c r="J236" s="285"/>
      <c r="K236" s="285"/>
      <c r="L236" s="237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7"/>
      <c r="J237" s="285"/>
      <c r="K237" s="285"/>
      <c r="L237" s="237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7"/>
      <c r="J238" s="285"/>
      <c r="K238" s="285"/>
      <c r="L238" s="237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7"/>
      <c r="J239" s="285"/>
      <c r="K239" s="285"/>
      <c r="L239" s="237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7"/>
      <c r="J240" s="285"/>
      <c r="K240" s="285"/>
      <c r="L240" s="237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7"/>
      <c r="J241" s="285"/>
      <c r="K241" s="285"/>
      <c r="L241" s="237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7"/>
      <c r="J242" s="285"/>
      <c r="K242" s="285"/>
      <c r="L242" s="237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7"/>
      <c r="J243" s="285"/>
      <c r="K243" s="285"/>
      <c r="L243" s="237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7"/>
      <c r="J244" s="285"/>
      <c r="K244" s="285"/>
      <c r="L244" s="237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7"/>
      <c r="J245" s="285"/>
      <c r="K245" s="285"/>
      <c r="L245" s="237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7"/>
      <c r="J246" s="285"/>
      <c r="K246" s="285"/>
      <c r="L246" s="237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7"/>
      <c r="J247" s="285"/>
      <c r="K247" s="285"/>
      <c r="L247" s="237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7"/>
      <c r="J248" s="285"/>
      <c r="K248" s="285"/>
      <c r="L248" s="237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7"/>
      <c r="J249" s="285"/>
      <c r="K249" s="285"/>
      <c r="L249" s="237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7"/>
      <c r="J250" s="285"/>
      <c r="K250" s="285"/>
      <c r="L250" s="237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7"/>
      <c r="J251" s="285"/>
      <c r="K251" s="285"/>
      <c r="L251" s="237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7"/>
      <c r="J252" s="285"/>
      <c r="K252" s="285"/>
      <c r="L252" s="237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7"/>
      <c r="J253" s="285"/>
      <c r="K253" s="285"/>
      <c r="L253" s="237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7"/>
      <c r="J254" s="285"/>
      <c r="K254" s="285"/>
      <c r="L254" s="237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7"/>
      <c r="J255" s="285"/>
      <c r="K255" s="285"/>
      <c r="L255" s="237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7"/>
      <c r="J256" s="285"/>
      <c r="K256" s="285"/>
      <c r="L256" s="237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7"/>
      <c r="J257" s="285"/>
      <c r="K257" s="285"/>
      <c r="L257" s="237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7"/>
      <c r="J258" s="285"/>
      <c r="K258" s="285"/>
      <c r="L258" s="237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7"/>
      <c r="J259" s="285"/>
      <c r="K259" s="285"/>
      <c r="L259" s="237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7"/>
      <c r="J260" s="285"/>
      <c r="K260" s="285"/>
      <c r="L260" s="237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7"/>
      <c r="J261" s="285"/>
      <c r="K261" s="285"/>
      <c r="L261" s="237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7"/>
      <c r="J262" s="285"/>
      <c r="K262" s="285"/>
      <c r="L262" s="237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7"/>
      <c r="J263" s="285"/>
      <c r="K263" s="285"/>
      <c r="L263" s="237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7"/>
      <c r="J264" s="285"/>
      <c r="K264" s="285"/>
      <c r="L264" s="237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7"/>
      <c r="J265" s="285"/>
      <c r="K265" s="285"/>
      <c r="L265" s="237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7"/>
      <c r="J266" s="285"/>
      <c r="K266" s="285"/>
      <c r="L266" s="237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7"/>
      <c r="J267" s="285"/>
      <c r="K267" s="285"/>
      <c r="L267" s="237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7"/>
      <c r="J268" s="285"/>
      <c r="K268" s="285"/>
      <c r="L268" s="237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7"/>
      <c r="J269" s="285"/>
      <c r="K269" s="285"/>
      <c r="L269" s="237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7"/>
      <c r="J270" s="285"/>
      <c r="K270" s="285"/>
      <c r="L270" s="237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7"/>
      <c r="J271" s="285"/>
      <c r="K271" s="285"/>
      <c r="L271" s="237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7"/>
      <c r="J272" s="285"/>
      <c r="K272" s="285"/>
      <c r="L272" s="237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7"/>
      <c r="J273" s="285"/>
      <c r="K273" s="285"/>
      <c r="L273" s="237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7"/>
      <c r="J274" s="285"/>
      <c r="K274" s="285"/>
      <c r="L274" s="237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7"/>
      <c r="J275" s="285"/>
      <c r="K275" s="285"/>
      <c r="L275" s="237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7"/>
      <c r="J276" s="285"/>
      <c r="K276" s="285"/>
      <c r="L276" s="237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7"/>
      <c r="J277" s="285"/>
      <c r="K277" s="285"/>
      <c r="L277" s="237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7"/>
      <c r="J278" s="285"/>
      <c r="K278" s="285"/>
      <c r="L278" s="237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7"/>
      <c r="J279" s="285"/>
      <c r="K279" s="285"/>
      <c r="L279" s="237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7"/>
      <c r="J280" s="285"/>
      <c r="K280" s="285"/>
      <c r="L280" s="237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7"/>
      <c r="J281" s="285"/>
      <c r="K281" s="285"/>
      <c r="L281" s="237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7"/>
      <c r="J282" s="285"/>
      <c r="K282" s="285"/>
      <c r="L282" s="237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7"/>
      <c r="J283" s="285"/>
      <c r="K283" s="285"/>
      <c r="L283" s="237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7"/>
      <c r="J284" s="285"/>
      <c r="K284" s="285"/>
      <c r="L284" s="237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7"/>
      <c r="J285" s="285"/>
      <c r="K285" s="285"/>
      <c r="L285" s="237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7"/>
      <c r="J286" s="285"/>
      <c r="K286" s="285"/>
      <c r="L286" s="237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7"/>
      <c r="J287" s="285"/>
      <c r="K287" s="285"/>
      <c r="L287" s="237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7"/>
      <c r="J288" s="285"/>
      <c r="K288" s="285"/>
      <c r="L288" s="237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7"/>
      <c r="J289" s="285"/>
      <c r="K289" s="285"/>
      <c r="L289" s="237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7"/>
      <c r="J290" s="285"/>
      <c r="K290" s="285"/>
      <c r="L290" s="237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7"/>
      <c r="J291" s="285"/>
      <c r="K291" s="285"/>
      <c r="L291" s="237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7"/>
      <c r="J292" s="285"/>
      <c r="K292" s="285"/>
      <c r="L292" s="237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7"/>
      <c r="J293" s="285"/>
      <c r="K293" s="285"/>
      <c r="L293" s="237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7"/>
      <c r="J294" s="285"/>
      <c r="K294" s="285"/>
      <c r="L294" s="237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7"/>
      <c r="J295" s="285"/>
      <c r="K295" s="285"/>
      <c r="L295" s="237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7"/>
      <c r="J296" s="285"/>
      <c r="K296" s="285"/>
      <c r="L296" s="237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7"/>
      <c r="J297" s="285"/>
      <c r="K297" s="285"/>
      <c r="L297" s="237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7"/>
      <c r="J298" s="285"/>
      <c r="K298" s="285"/>
      <c r="L298" s="237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7"/>
      <c r="J299" s="285"/>
      <c r="K299" s="285"/>
      <c r="L299" s="237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7"/>
      <c r="J300" s="285"/>
      <c r="K300" s="285"/>
      <c r="L300" s="237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7"/>
      <c r="J301" s="285"/>
      <c r="K301" s="285"/>
      <c r="L301" s="237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7"/>
      <c r="J302" s="285"/>
      <c r="K302" s="285"/>
      <c r="L302" s="237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7"/>
      <c r="J303" s="285"/>
      <c r="K303" s="285"/>
      <c r="L303" s="237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7"/>
      <c r="J304" s="285"/>
      <c r="K304" s="285"/>
      <c r="L304" s="237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7"/>
      <c r="J305" s="285"/>
      <c r="K305" s="285"/>
      <c r="L305" s="237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7"/>
      <c r="J306" s="285"/>
      <c r="K306" s="285"/>
      <c r="L306" s="237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7"/>
      <c r="J307" s="285"/>
      <c r="K307" s="285"/>
      <c r="L307" s="237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7"/>
      <c r="J308" s="285"/>
      <c r="K308" s="285"/>
      <c r="L308" s="237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7"/>
      <c r="J309" s="285"/>
      <c r="K309" s="285"/>
      <c r="L309" s="237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7"/>
      <c r="J310" s="285"/>
      <c r="K310" s="285"/>
      <c r="L310" s="237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7"/>
      <c r="J311" s="285"/>
      <c r="K311" s="285"/>
      <c r="L311" s="237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7"/>
      <c r="J312" s="285"/>
      <c r="K312" s="285"/>
      <c r="L312" s="237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7"/>
      <c r="J313" s="285"/>
      <c r="K313" s="285"/>
      <c r="L313" s="237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7"/>
      <c r="J314" s="285"/>
      <c r="K314" s="285"/>
      <c r="L314" s="237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7"/>
      <c r="J315" s="285"/>
      <c r="K315" s="285"/>
      <c r="L315" s="237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7"/>
      <c r="J316" s="285"/>
      <c r="K316" s="285"/>
      <c r="L316" s="237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7"/>
      <c r="J317" s="285"/>
      <c r="K317" s="285"/>
      <c r="L317" s="237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7"/>
      <c r="J318" s="285"/>
      <c r="K318" s="285"/>
      <c r="L318" s="237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7"/>
      <c r="J319" s="285"/>
      <c r="K319" s="285"/>
      <c r="L319" s="237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7"/>
      <c r="J320" s="285"/>
      <c r="K320" s="285"/>
      <c r="L320" s="237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7"/>
      <c r="J321" s="285"/>
      <c r="K321" s="285"/>
      <c r="L321" s="237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7"/>
      <c r="J322" s="285"/>
      <c r="K322" s="285"/>
      <c r="L322" s="237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7"/>
      <c r="J323" s="285"/>
      <c r="K323" s="285"/>
      <c r="L323" s="237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7"/>
      <c r="J324" s="285"/>
      <c r="K324" s="285"/>
      <c r="L324" s="237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7"/>
      <c r="J325" s="285"/>
      <c r="K325" s="285"/>
      <c r="L325" s="237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7"/>
      <c r="J326" s="285"/>
      <c r="K326" s="285"/>
      <c r="L326" s="237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7"/>
      <c r="J327" s="285"/>
      <c r="K327" s="285"/>
      <c r="L327" s="237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7"/>
      <c r="J328" s="285"/>
      <c r="K328" s="285"/>
      <c r="L328" s="237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7"/>
      <c r="J329" s="285"/>
      <c r="K329" s="285"/>
      <c r="L329" s="237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7"/>
      <c r="J330" s="285"/>
      <c r="K330" s="285"/>
      <c r="L330" s="237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7"/>
      <c r="J331" s="285"/>
      <c r="K331" s="285"/>
      <c r="L331" s="237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7"/>
      <c r="J332" s="285"/>
      <c r="K332" s="285"/>
      <c r="L332" s="237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7"/>
      <c r="J333" s="285"/>
      <c r="K333" s="285"/>
      <c r="L333" s="237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7"/>
      <c r="J334" s="285"/>
      <c r="K334" s="285"/>
      <c r="L334" s="237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7"/>
      <c r="J335" s="285"/>
      <c r="K335" s="285"/>
      <c r="L335" s="237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7"/>
      <c r="J336" s="285"/>
      <c r="K336" s="285"/>
      <c r="L336" s="237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7"/>
      <c r="J337" s="285"/>
      <c r="K337" s="285"/>
      <c r="L337" s="237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7"/>
      <c r="J338" s="285"/>
      <c r="K338" s="285"/>
      <c r="L338" s="237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7"/>
      <c r="J339" s="285"/>
      <c r="K339" s="285"/>
      <c r="L339" s="237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7"/>
      <c r="J340" s="285"/>
      <c r="K340" s="285"/>
      <c r="L340" s="237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7"/>
      <c r="J341" s="285"/>
      <c r="K341" s="285"/>
      <c r="L341" s="237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7"/>
      <c r="J342" s="285"/>
      <c r="K342" s="285"/>
      <c r="L342" s="237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7"/>
      <c r="J343" s="285"/>
      <c r="K343" s="285"/>
      <c r="L343" s="237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7"/>
      <c r="J344" s="285"/>
      <c r="K344" s="285"/>
      <c r="L344" s="237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7"/>
      <c r="J345" s="285"/>
      <c r="K345" s="285"/>
      <c r="L345" s="237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7"/>
      <c r="J346" s="285"/>
      <c r="K346" s="285"/>
      <c r="L346" s="237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7"/>
      <c r="J347" s="285"/>
      <c r="K347" s="343"/>
      <c r="L347" s="238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7"/>
      <c r="J348" s="237"/>
      <c r="K348" s="285"/>
      <c r="L348" s="237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7"/>
      <c r="J349" s="237"/>
      <c r="K349" s="285"/>
      <c r="L349" s="237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7"/>
      <c r="J350" s="237"/>
      <c r="K350" s="285"/>
      <c r="L350" s="237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7"/>
      <c r="J351" s="237"/>
      <c r="K351" s="285"/>
      <c r="L351" s="237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7"/>
      <c r="J352" s="237"/>
      <c r="K352" s="285"/>
      <c r="L352" s="237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7"/>
      <c r="J353" s="237"/>
      <c r="K353" s="285"/>
      <c r="L353" s="237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7"/>
      <c r="J354" s="237"/>
      <c r="K354" s="285"/>
      <c r="L354" s="237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7"/>
      <c r="J355" s="237"/>
      <c r="K355" s="285"/>
      <c r="L355" s="237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7"/>
      <c r="J356" s="237"/>
      <c r="K356" s="285"/>
      <c r="L356" s="237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7"/>
      <c r="J357" s="237"/>
      <c r="K357" s="285"/>
      <c r="L357" s="237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7"/>
      <c r="J358" s="237"/>
      <c r="K358" s="285"/>
      <c r="L358" s="237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7"/>
      <c r="J359" s="237"/>
      <c r="K359" s="285"/>
      <c r="L359" s="237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7"/>
      <c r="J360" s="237"/>
      <c r="K360" s="285"/>
      <c r="L360" s="237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7"/>
      <c r="J361" s="237"/>
      <c r="K361" s="285"/>
      <c r="L361" s="237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7"/>
      <c r="J362" s="237"/>
      <c r="K362" s="285"/>
      <c r="L362" s="237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7"/>
      <c r="J363" s="237"/>
      <c r="K363" s="285"/>
      <c r="L363" s="237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7"/>
      <c r="J364" s="237"/>
      <c r="K364" s="285"/>
      <c r="L364" s="237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7"/>
      <c r="J365" s="237"/>
      <c r="K365" s="285"/>
      <c r="L365" s="237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7"/>
      <c r="J366" s="237"/>
      <c r="K366" s="285"/>
      <c r="L366" s="237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7"/>
      <c r="J367" s="237"/>
      <c r="K367" s="285"/>
      <c r="L367" s="237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7"/>
      <c r="J368" s="237"/>
      <c r="K368" s="285"/>
      <c r="L368" s="237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7"/>
      <c r="J369" s="237"/>
      <c r="K369" s="285"/>
      <c r="L369" s="237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7"/>
      <c r="J370" s="237"/>
      <c r="K370" s="285"/>
      <c r="L370" s="237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7"/>
      <c r="J371" s="237"/>
      <c r="K371" s="285"/>
      <c r="L371" s="237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7"/>
      <c r="J372" s="237"/>
      <c r="K372" s="285"/>
      <c r="L372" s="237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7"/>
      <c r="J373" s="237"/>
      <c r="K373" s="285"/>
      <c r="L373" s="237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7"/>
      <c r="J374" s="237"/>
      <c r="K374" s="285"/>
      <c r="L374" s="237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7"/>
      <c r="J375" s="237"/>
      <c r="K375" s="285"/>
      <c r="L375" s="237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7"/>
      <c r="J376" s="237"/>
      <c r="K376" s="285"/>
      <c r="L376" s="237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7"/>
      <c r="J377" s="237"/>
      <c r="K377" s="285"/>
      <c r="L377" s="237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7"/>
      <c r="J378" s="237"/>
      <c r="K378" s="285"/>
      <c r="L378" s="237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7"/>
      <c r="J379" s="237"/>
      <c r="K379" s="285"/>
      <c r="L379" s="237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7"/>
      <c r="J380" s="237"/>
      <c r="K380" s="285"/>
      <c r="L380" s="237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7"/>
      <c r="J381" s="237"/>
      <c r="K381" s="285"/>
      <c r="L381" s="237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7"/>
      <c r="J382" s="237"/>
      <c r="K382" s="285"/>
      <c r="L382" s="237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7"/>
      <c r="J383" s="237"/>
      <c r="K383" s="285"/>
      <c r="L383" s="237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7"/>
      <c r="J384" s="237"/>
      <c r="K384" s="285"/>
      <c r="L384" s="237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7"/>
      <c r="J385" s="237"/>
      <c r="K385" s="285"/>
      <c r="L385" s="237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7"/>
      <c r="J386" s="237"/>
      <c r="K386" s="285"/>
      <c r="L386" s="237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7"/>
      <c r="J387" s="237"/>
      <c r="K387" s="285"/>
      <c r="L387" s="237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7"/>
      <c r="J388" s="237"/>
      <c r="K388" s="285"/>
      <c r="L388" s="237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7"/>
      <c r="J389" s="237"/>
      <c r="K389" s="285"/>
      <c r="L389" s="237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7"/>
      <c r="J390" s="237"/>
      <c r="K390" s="285"/>
      <c r="L390" s="237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7"/>
      <c r="J391" s="237"/>
      <c r="K391" s="285"/>
      <c r="L391" s="237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7"/>
      <c r="J392" s="237"/>
      <c r="K392" s="285"/>
      <c r="L392" s="237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7"/>
      <c r="J393" s="237"/>
      <c r="K393" s="285"/>
      <c r="L393" s="237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7"/>
      <c r="J394" s="237"/>
      <c r="K394" s="285"/>
      <c r="L394" s="237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7"/>
      <c r="J395" s="237"/>
      <c r="K395" s="285"/>
      <c r="L395" s="237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7"/>
      <c r="J396" s="237"/>
      <c r="K396" s="285"/>
      <c r="L396" s="237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7"/>
      <c r="J397" s="237"/>
      <c r="K397" s="285"/>
      <c r="L397" s="237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7"/>
      <c r="J398" s="237"/>
      <c r="K398" s="285"/>
      <c r="L398" s="237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7"/>
      <c r="J399" s="237"/>
      <c r="K399" s="285"/>
      <c r="L399" s="237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7"/>
      <c r="J400" s="237"/>
      <c r="K400" s="285"/>
      <c r="L400" s="237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7"/>
      <c r="J401" s="237"/>
      <c r="K401" s="285"/>
      <c r="L401" s="237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7"/>
      <c r="J402" s="237"/>
      <c r="K402" s="285"/>
      <c r="L402" s="237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7"/>
      <c r="J403" s="237"/>
      <c r="K403" s="285"/>
      <c r="L403" s="237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7"/>
      <c r="J404" s="237"/>
      <c r="K404" s="285"/>
      <c r="L404" s="237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7"/>
      <c r="J405" s="237"/>
      <c r="K405" s="285"/>
      <c r="L405" s="237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7"/>
      <c r="J406" s="237"/>
      <c r="K406" s="285"/>
      <c r="L406" s="237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7"/>
      <c r="J407" s="237"/>
      <c r="K407" s="285"/>
      <c r="L407" s="237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7"/>
      <c r="J408" s="237"/>
      <c r="K408" s="285"/>
      <c r="L408" s="237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7"/>
      <c r="J409" s="237"/>
      <c r="K409" s="285"/>
      <c r="L409" s="237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7"/>
      <c r="J410" s="237"/>
      <c r="K410" s="285"/>
      <c r="L410" s="237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7"/>
      <c r="J411" s="237"/>
      <c r="K411" s="285"/>
      <c r="L411" s="237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7"/>
      <c r="J412" s="237"/>
      <c r="K412" s="285"/>
      <c r="L412" s="237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7"/>
      <c r="J413" s="237"/>
      <c r="K413" s="285"/>
      <c r="L413" s="237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7"/>
      <c r="J414" s="237"/>
      <c r="K414" s="285"/>
      <c r="L414" s="237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7"/>
      <c r="J415" s="237"/>
      <c r="K415" s="285"/>
      <c r="L415" s="237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7"/>
      <c r="J416" s="237"/>
      <c r="K416" s="285"/>
      <c r="L416" s="237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7"/>
      <c r="J417" s="237"/>
      <c r="K417" s="285"/>
      <c r="L417" s="237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7"/>
      <c r="J418" s="237"/>
      <c r="K418" s="285"/>
      <c r="L418" s="237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7"/>
      <c r="J419" s="237"/>
      <c r="K419" s="285"/>
      <c r="L419" s="237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7"/>
      <c r="J420" s="237"/>
      <c r="K420" s="285"/>
      <c r="L420" s="237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7"/>
      <c r="J421" s="237"/>
      <c r="K421" s="285"/>
      <c r="L421" s="237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7"/>
      <c r="J422" s="237"/>
      <c r="K422" s="285"/>
      <c r="L422" s="237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7"/>
      <c r="J423" s="237"/>
      <c r="K423" s="285"/>
      <c r="L423" s="237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7"/>
      <c r="J424" s="237"/>
      <c r="K424" s="285"/>
      <c r="L424" s="237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7"/>
      <c r="J425" s="237"/>
      <c r="K425" s="343"/>
      <c r="L425" s="237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7"/>
      <c r="J426" s="237"/>
      <c r="K426" s="193"/>
      <c r="L426" s="237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7"/>
      <c r="J427" s="237"/>
      <c r="K427" s="193"/>
      <c r="L427" s="237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7"/>
      <c r="J428" s="237"/>
      <c r="K428" s="193"/>
      <c r="L428" s="237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7"/>
      <c r="J429" s="237"/>
      <c r="K429" s="193"/>
      <c r="L429" s="237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7"/>
      <c r="J430" s="237"/>
      <c r="K430" s="193"/>
      <c r="L430" s="237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7"/>
      <c r="J431" s="237"/>
      <c r="K431" s="193"/>
      <c r="L431" s="237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7"/>
      <c r="J432" s="237"/>
      <c r="K432" s="193"/>
      <c r="L432" s="237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7"/>
      <c r="J433" s="237"/>
      <c r="K433" s="193"/>
      <c r="L433" s="237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7"/>
      <c r="J434" s="237"/>
      <c r="K434" s="193"/>
      <c r="L434" s="237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7"/>
      <c r="J435" s="237"/>
      <c r="K435" s="193"/>
      <c r="L435" s="237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7"/>
      <c r="J436" s="237"/>
      <c r="K436" s="193"/>
      <c r="L436" s="237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7"/>
      <c r="J437" s="237"/>
      <c r="K437" s="193"/>
      <c r="L437" s="237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7"/>
      <c r="J438" s="237"/>
      <c r="K438" s="193"/>
      <c r="L438" s="237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7"/>
      <c r="J439" s="237"/>
      <c r="K439" s="193"/>
      <c r="L439" s="237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7"/>
      <c r="J440" s="237"/>
      <c r="K440" s="193"/>
      <c r="L440" s="237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7"/>
      <c r="J441" s="237"/>
      <c r="K441" s="193"/>
      <c r="L441" s="237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7"/>
      <c r="J442" s="237"/>
      <c r="K442" s="193"/>
      <c r="L442" s="237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7"/>
      <c r="J443" s="237"/>
      <c r="K443" s="193"/>
      <c r="L443" s="237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7"/>
      <c r="J444" s="237"/>
      <c r="K444" s="193"/>
      <c r="L444" s="237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7"/>
      <c r="J445" s="237"/>
      <c r="K445" s="193"/>
      <c r="L445" s="237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7"/>
      <c r="J446" s="237"/>
      <c r="K446" s="193"/>
      <c r="L446" s="237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7"/>
      <c r="J447" s="237"/>
      <c r="K447" s="193"/>
      <c r="L447" s="237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7"/>
      <c r="J448" s="237"/>
      <c r="K448" s="193"/>
      <c r="L448" s="237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7"/>
      <c r="J449" s="237"/>
      <c r="K449" s="193"/>
      <c r="L449" s="237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7"/>
      <c r="J450" s="237"/>
      <c r="K450" s="193"/>
      <c r="L450" s="237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7"/>
      <c r="J451" s="237"/>
      <c r="K451" s="193"/>
      <c r="L451" s="237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7"/>
      <c r="J452" s="237"/>
      <c r="K452" s="193"/>
      <c r="L452" s="237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7"/>
      <c r="J453" s="237"/>
      <c r="K453" s="193"/>
      <c r="L453" s="237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7"/>
      <c r="J454" s="237"/>
      <c r="K454" s="193"/>
      <c r="L454" s="237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7"/>
      <c r="J455" s="237"/>
      <c r="K455" s="193"/>
      <c r="L455" s="237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7"/>
      <c r="J456" s="237"/>
      <c r="K456" s="193"/>
      <c r="L456" s="237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7"/>
      <c r="J457" s="237"/>
      <c r="K457" s="193"/>
      <c r="L457" s="237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7"/>
      <c r="J458" s="237"/>
      <c r="K458" s="193"/>
      <c r="L458" s="237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7"/>
      <c r="J459" s="237"/>
      <c r="K459" s="193"/>
      <c r="L459" s="237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7"/>
      <c r="J460" s="237"/>
      <c r="K460" s="193"/>
      <c r="L460" s="237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7"/>
      <c r="J461" s="237"/>
      <c r="K461" s="193"/>
      <c r="L461" s="237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7"/>
      <c r="J462" s="237"/>
      <c r="K462" s="193"/>
      <c r="L462" s="237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7"/>
      <c r="J463" s="237"/>
      <c r="K463" s="193"/>
      <c r="L463" s="237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7"/>
      <c r="J464" s="237"/>
      <c r="K464" s="193"/>
      <c r="L464" s="237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7"/>
      <c r="J465" s="237"/>
      <c r="K465" s="193"/>
      <c r="L465" s="237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7"/>
      <c r="J466" s="237"/>
      <c r="K466" s="193"/>
      <c r="L466" s="237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7"/>
      <c r="J467" s="237"/>
      <c r="K467" s="193"/>
      <c r="L467" s="237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7"/>
      <c r="J468" s="237"/>
      <c r="K468" s="193"/>
      <c r="L468" s="237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7"/>
      <c r="J469" s="237"/>
      <c r="K469" s="193"/>
      <c r="L469" s="237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7"/>
      <c r="J470" s="237"/>
      <c r="K470" s="193"/>
      <c r="L470" s="237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7"/>
      <c r="J471" s="237"/>
      <c r="K471" s="193"/>
      <c r="L471" s="237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7"/>
      <c r="J472" s="237"/>
      <c r="K472" s="193"/>
      <c r="L472" s="237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7"/>
      <c r="J473" s="237"/>
      <c r="K473" s="193"/>
      <c r="L473" s="237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7"/>
      <c r="J474" s="237"/>
      <c r="K474" s="193"/>
      <c r="L474" s="237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7"/>
      <c r="J475" s="237"/>
      <c r="K475" s="193"/>
      <c r="L475" s="237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7"/>
      <c r="J476" s="237"/>
      <c r="K476" s="193"/>
      <c r="L476" s="237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7"/>
      <c r="J477" s="237"/>
      <c r="K477" s="193"/>
      <c r="L477" s="237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7"/>
      <c r="J478" s="237"/>
      <c r="K478" s="193"/>
      <c r="L478" s="237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7"/>
      <c r="J479" s="237"/>
      <c r="K479" s="193"/>
      <c r="L479" s="237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7"/>
      <c r="J480" s="237"/>
      <c r="K480" s="193"/>
      <c r="L480" s="237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7"/>
      <c r="J481" s="237"/>
      <c r="K481" s="193"/>
      <c r="L481" s="237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7"/>
      <c r="J482" s="237"/>
      <c r="K482" s="193"/>
      <c r="L482" s="237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7"/>
      <c r="J483" s="237"/>
      <c r="K483" s="193"/>
      <c r="L483" s="237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7"/>
      <c r="J484" s="237"/>
      <c r="K484" s="193"/>
      <c r="L484" s="237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7"/>
      <c r="J485" s="237"/>
      <c r="K485" s="193"/>
      <c r="L485" s="237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7"/>
      <c r="J486" s="237"/>
      <c r="K486" s="193"/>
      <c r="L486" s="237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7"/>
      <c r="J487" s="237"/>
      <c r="K487" s="193"/>
      <c r="L487" s="237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7"/>
      <c r="J488" s="237"/>
      <c r="K488" s="193"/>
      <c r="L488" s="237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7"/>
      <c r="J489" s="237"/>
      <c r="K489" s="193"/>
      <c r="L489" s="237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7"/>
      <c r="J490" s="237"/>
      <c r="K490" s="193"/>
      <c r="L490" s="237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7"/>
      <c r="J491" s="237"/>
      <c r="K491" s="193"/>
      <c r="L491" s="237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7"/>
      <c r="J492" s="237"/>
      <c r="K492" s="193"/>
      <c r="L492" s="237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7"/>
      <c r="J493" s="237"/>
      <c r="K493" s="193"/>
      <c r="L493" s="237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7"/>
      <c r="J494" s="237"/>
      <c r="K494" s="193"/>
      <c r="L494" s="237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7"/>
      <c r="J495" s="237"/>
      <c r="K495" s="193"/>
      <c r="L495" s="237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7"/>
      <c r="J496" s="237"/>
      <c r="K496" s="193"/>
      <c r="L496" s="237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7"/>
      <c r="J497" s="237"/>
      <c r="K497" s="193"/>
      <c r="L497" s="237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7"/>
      <c r="J498" s="237"/>
      <c r="K498" s="193"/>
      <c r="L498" s="237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7"/>
      <c r="J499" s="237"/>
      <c r="K499" s="193"/>
      <c r="L499" s="237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7"/>
      <c r="J500" s="237"/>
      <c r="K500" s="193"/>
      <c r="L500" s="237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7"/>
      <c r="J501" s="237"/>
      <c r="K501" s="193"/>
      <c r="L501" s="237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7"/>
      <c r="J502" s="237"/>
      <c r="K502" s="193"/>
      <c r="L502" s="237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7"/>
      <c r="J503" s="237"/>
      <c r="K503" s="193"/>
      <c r="L503" s="237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7"/>
      <c r="J504" s="237"/>
      <c r="K504" s="193"/>
      <c r="L504" s="237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7"/>
      <c r="J505" s="237"/>
      <c r="K505" s="193"/>
      <c r="L505" s="237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7"/>
      <c r="J506" s="237"/>
      <c r="K506" s="193"/>
      <c r="L506" s="237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7"/>
      <c r="J507" s="237"/>
      <c r="K507" s="193"/>
      <c r="L507" s="237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7"/>
      <c r="J508" s="237"/>
      <c r="K508" s="193"/>
      <c r="L508" s="237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7"/>
      <c r="J509" s="237"/>
      <c r="K509" s="193"/>
      <c r="L509" s="237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7"/>
      <c r="J510" s="237"/>
      <c r="K510" s="193"/>
      <c r="L510" s="237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7"/>
      <c r="J511" s="237"/>
      <c r="K511" s="193"/>
      <c r="L511" s="237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7"/>
      <c r="J512" s="237"/>
      <c r="K512" s="193"/>
      <c r="L512" s="237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7"/>
      <c r="J513" s="237"/>
      <c r="K513" s="193"/>
      <c r="L513" s="237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7"/>
      <c r="J514" s="237"/>
      <c r="K514" s="193"/>
      <c r="L514" s="237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7"/>
      <c r="J515" s="237"/>
      <c r="K515" s="193"/>
      <c r="L515" s="237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7"/>
      <c r="J516" s="237"/>
      <c r="K516" s="193"/>
      <c r="L516" s="237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7"/>
      <c r="J517" s="237"/>
      <c r="K517" s="193"/>
      <c r="L517" s="237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7"/>
      <c r="J518" s="237"/>
      <c r="K518" s="193"/>
      <c r="L518" s="237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7"/>
      <c r="J519" s="237"/>
      <c r="K519" s="193"/>
      <c r="L519" s="237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7"/>
      <c r="J520" s="237"/>
      <c r="K520" s="193"/>
      <c r="L520" s="237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7"/>
      <c r="J521" s="237"/>
      <c r="K521" s="193"/>
      <c r="L521" s="237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7"/>
      <c r="J522" s="237"/>
      <c r="K522" s="193"/>
      <c r="L522" s="237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7"/>
      <c r="J523" s="237"/>
      <c r="K523" s="193"/>
      <c r="L523" s="237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7"/>
      <c r="J524" s="237"/>
      <c r="K524" s="193"/>
      <c r="L524" s="237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7"/>
      <c r="J525" s="237"/>
      <c r="K525" s="193"/>
      <c r="L525" s="237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7"/>
      <c r="J526" s="237"/>
      <c r="K526" s="193"/>
      <c r="L526" s="237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7"/>
      <c r="J527" s="237"/>
      <c r="K527" s="193"/>
      <c r="L527" s="237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7"/>
      <c r="J528" s="237"/>
      <c r="K528" s="193"/>
      <c r="L528" s="237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7"/>
      <c r="J529" s="237"/>
      <c r="K529" s="193"/>
      <c r="L529" s="237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7"/>
      <c r="J530" s="237"/>
      <c r="K530" s="193"/>
      <c r="L530" s="237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7"/>
      <c r="J531" s="237"/>
      <c r="K531" s="193"/>
      <c r="L531" s="237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7"/>
      <c r="J532" s="237"/>
      <c r="K532" s="193"/>
      <c r="L532" s="237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7"/>
      <c r="J533" s="237"/>
      <c r="K533" s="193"/>
      <c r="L533" s="237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7"/>
      <c r="J534" s="237"/>
      <c r="K534" s="193"/>
      <c r="L534" s="237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7"/>
      <c r="J535" s="237"/>
      <c r="K535" s="193"/>
      <c r="L535" s="237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7"/>
      <c r="J536" s="237"/>
      <c r="K536" s="193"/>
      <c r="L536" s="237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7"/>
      <c r="J537" s="237"/>
      <c r="K537" s="193"/>
      <c r="L537" s="237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7"/>
      <c r="J538" s="237"/>
      <c r="K538" s="193"/>
      <c r="L538" s="237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7"/>
      <c r="J539" s="237"/>
      <c r="K539" s="193"/>
      <c r="L539" s="237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7"/>
      <c r="J540" s="237"/>
      <c r="K540" s="193"/>
      <c r="L540" s="237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7"/>
      <c r="J541" s="237"/>
      <c r="K541" s="193"/>
      <c r="L541" s="237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7"/>
      <c r="J542" s="237"/>
      <c r="K542" s="193"/>
      <c r="L542" s="237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7"/>
      <c r="J543" s="237"/>
      <c r="K543" s="193"/>
      <c r="L543" s="237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7"/>
      <c r="J544" s="237"/>
      <c r="K544" s="193"/>
      <c r="L544" s="237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7"/>
      <c r="J545" s="237"/>
      <c r="K545" s="193"/>
      <c r="L545" s="237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7"/>
      <c r="J546" s="237"/>
      <c r="K546" s="193"/>
      <c r="L546" s="237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7"/>
      <c r="J547" s="237"/>
      <c r="K547" s="193"/>
      <c r="L547" s="237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7"/>
      <c r="J548" s="237"/>
      <c r="K548" s="193"/>
      <c r="L548" s="237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7"/>
      <c r="J549" s="237"/>
      <c r="K549" s="193"/>
      <c r="L549" s="237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7"/>
      <c r="J550" s="237"/>
      <c r="K550" s="193"/>
      <c r="L550" s="237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7"/>
      <c r="J551" s="237"/>
      <c r="K551" s="193"/>
      <c r="L551" s="237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7"/>
      <c r="J552" s="237"/>
      <c r="K552" s="193"/>
      <c r="L552" s="237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7"/>
      <c r="J553" s="237"/>
      <c r="K553" s="193"/>
      <c r="L553" s="237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7"/>
      <c r="J554" s="237"/>
      <c r="K554" s="193"/>
      <c r="L554" s="237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7"/>
      <c r="J555" s="237"/>
      <c r="K555" s="193"/>
      <c r="L555" s="237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7"/>
      <c r="J556" s="237"/>
      <c r="K556" s="193"/>
      <c r="L556" s="237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7"/>
      <c r="J557" s="237"/>
      <c r="K557" s="193"/>
      <c r="L557" s="237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7"/>
      <c r="J558" s="237"/>
      <c r="K558" s="193"/>
      <c r="L558" s="237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7"/>
      <c r="J559" s="237"/>
      <c r="K559" s="193"/>
      <c r="L559" s="237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7"/>
      <c r="J560" s="237"/>
      <c r="K560" s="193"/>
      <c r="L560" s="237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7"/>
      <c r="J561" s="237"/>
      <c r="K561" s="193"/>
      <c r="L561" s="237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7"/>
      <c r="J562" s="237"/>
      <c r="K562" s="193"/>
      <c r="L562" s="237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7"/>
      <c r="J563" s="237"/>
      <c r="K563" s="193"/>
      <c r="L563" s="237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7"/>
      <c r="J564" s="237"/>
      <c r="K564" s="193"/>
      <c r="L564" s="237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7"/>
      <c r="J565" s="237"/>
      <c r="K565" s="193"/>
      <c r="L565" s="237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7"/>
      <c r="J566" s="237"/>
      <c r="K566" s="193"/>
      <c r="L566" s="237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7"/>
      <c r="J567" s="237"/>
      <c r="K567" s="193"/>
      <c r="L567" s="237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7"/>
      <c r="J568" s="237"/>
      <c r="K568" s="193"/>
      <c r="L568" s="237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7"/>
      <c r="J569" s="237"/>
      <c r="K569" s="193"/>
      <c r="L569" s="237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7"/>
      <c r="J570" s="237"/>
      <c r="K570" s="193"/>
      <c r="L570" s="237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7"/>
      <c r="J571" s="237"/>
      <c r="K571" s="193"/>
      <c r="L571" s="237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7"/>
      <c r="J572" s="237"/>
      <c r="K572" s="193"/>
      <c r="L572" s="237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7"/>
      <c r="J573" s="237"/>
      <c r="K573" s="193"/>
      <c r="L573" s="237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7"/>
      <c r="J574" s="237"/>
      <c r="K574" s="193"/>
      <c r="L574" s="237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7"/>
      <c r="J575" s="237"/>
      <c r="K575" s="193"/>
      <c r="L575" s="237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7"/>
      <c r="J576" s="237"/>
      <c r="K576" s="193"/>
      <c r="L576" s="237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7"/>
      <c r="J577" s="237"/>
      <c r="K577" s="193"/>
      <c r="L577" s="237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7"/>
      <c r="J578" s="237"/>
      <c r="K578" s="193"/>
      <c r="L578" s="237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7"/>
      <c r="J579" s="237"/>
      <c r="K579" s="193"/>
      <c r="L579" s="237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7"/>
      <c r="J580" s="237"/>
      <c r="K580" s="193"/>
      <c r="L580" s="237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7"/>
      <c r="J581" s="237"/>
      <c r="K581" s="193"/>
      <c r="L581" s="237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7"/>
      <c r="J582" s="237"/>
      <c r="K582" s="193"/>
      <c r="L582" s="237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7"/>
      <c r="J583" s="237"/>
      <c r="K583" s="193"/>
      <c r="L583" s="237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7"/>
      <c r="J584" s="237"/>
      <c r="K584" s="193"/>
      <c r="L584" s="237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7"/>
      <c r="J585" s="237"/>
      <c r="K585" s="193"/>
      <c r="L585" s="237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7"/>
      <c r="J586" s="237"/>
      <c r="K586" s="193"/>
      <c r="L586" s="237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7"/>
      <c r="J587" s="237"/>
      <c r="K587" s="193"/>
      <c r="L587" s="237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7"/>
      <c r="J588" s="237"/>
      <c r="K588" s="193"/>
      <c r="L588" s="237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7"/>
      <c r="J589" s="237"/>
      <c r="K589" s="193"/>
      <c r="L589" s="237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7"/>
      <c r="J590" s="237"/>
      <c r="K590" s="193"/>
      <c r="L590" s="237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7"/>
      <c r="J591" s="237"/>
      <c r="K591" s="193"/>
      <c r="L591" s="237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7"/>
      <c r="J592" s="237"/>
      <c r="K592" s="193"/>
      <c r="L592" s="237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7"/>
      <c r="J593" s="237"/>
      <c r="K593" s="193"/>
      <c r="L593" s="237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7"/>
      <c r="J594" s="237"/>
      <c r="K594" s="193"/>
      <c r="L594" s="237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7"/>
      <c r="J595" s="237"/>
      <c r="K595" s="193"/>
      <c r="L595" s="237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7"/>
      <c r="J596" s="237"/>
      <c r="K596" s="193"/>
      <c r="L596" s="237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7"/>
      <c r="J597" s="237"/>
      <c r="K597" s="193"/>
      <c r="L597" s="237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7"/>
      <c r="J598" s="237"/>
      <c r="K598" s="193"/>
      <c r="L598" s="237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7"/>
      <c r="J599" s="237"/>
      <c r="K599" s="193"/>
      <c r="L599" s="237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7"/>
      <c r="J600" s="237"/>
      <c r="K600" s="193"/>
      <c r="L600" s="237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7"/>
      <c r="J601" s="237"/>
      <c r="K601" s="193"/>
      <c r="L601" s="237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7"/>
      <c r="J602" s="237"/>
      <c r="K602" s="193"/>
      <c r="L602" s="237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7"/>
      <c r="J603" s="237"/>
      <c r="K603" s="193"/>
      <c r="L603" s="237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7"/>
      <c r="J604" s="237"/>
      <c r="K604" s="193"/>
      <c r="L604" s="237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7"/>
      <c r="J605" s="237"/>
      <c r="K605" s="193"/>
      <c r="L605" s="237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7"/>
      <c r="J606" s="237"/>
      <c r="K606" s="193"/>
      <c r="L606" s="237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7"/>
      <c r="J607" s="237"/>
      <c r="K607" s="193"/>
      <c r="L607" s="237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7"/>
      <c r="J608" s="237"/>
      <c r="K608" s="193"/>
      <c r="L608" s="237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7"/>
      <c r="J609" s="237"/>
      <c r="K609" s="193"/>
      <c r="L609" s="237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7"/>
      <c r="J610" s="237"/>
      <c r="K610" s="193"/>
      <c r="L610" s="237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7"/>
      <c r="J611" s="237"/>
      <c r="K611" s="193"/>
      <c r="L611" s="237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7"/>
      <c r="J612" s="237"/>
      <c r="K612" s="193"/>
      <c r="L612" s="237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7"/>
      <c r="J613" s="237"/>
      <c r="K613" s="193"/>
      <c r="L613" s="237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7"/>
      <c r="J614" s="237"/>
      <c r="K614" s="193"/>
      <c r="L614" s="237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7"/>
      <c r="J615" s="237"/>
      <c r="K615" s="193"/>
      <c r="L615" s="237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7"/>
      <c r="J616" s="237"/>
      <c r="K616" s="193"/>
      <c r="L616" s="237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7"/>
      <c r="J617" s="237"/>
      <c r="K617" s="193"/>
      <c r="L617" s="237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7"/>
      <c r="J618" s="237"/>
      <c r="K618" s="193"/>
      <c r="L618" s="237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7"/>
      <c r="J619" s="237"/>
      <c r="K619" s="193"/>
      <c r="L619" s="237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7"/>
      <c r="J620" s="237"/>
      <c r="K620" s="193"/>
      <c r="L620" s="237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7"/>
      <c r="J621" s="237"/>
      <c r="K621" s="193"/>
      <c r="L621" s="237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7"/>
      <c r="J622" s="237"/>
      <c r="K622" s="193"/>
      <c r="L622" s="237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7"/>
      <c r="J623" s="237"/>
      <c r="K623" s="193"/>
      <c r="L623" s="237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7"/>
      <c r="J624" s="237"/>
      <c r="K624" s="193"/>
      <c r="L624" s="237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7"/>
      <c r="J625" s="237"/>
      <c r="K625" s="193"/>
      <c r="L625" s="237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7"/>
      <c r="J626" s="237"/>
      <c r="K626" s="193"/>
      <c r="L626" s="237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7"/>
      <c r="J627" s="237"/>
      <c r="K627" s="193"/>
      <c r="L627" s="237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7"/>
      <c r="J628" s="237"/>
      <c r="K628" s="193"/>
      <c r="L628" s="237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7"/>
      <c r="J629" s="237"/>
      <c r="K629" s="193"/>
      <c r="L629" s="237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7"/>
      <c r="J630" s="237"/>
      <c r="K630" s="193"/>
      <c r="L630" s="237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7"/>
      <c r="J631" s="237"/>
      <c r="K631" s="193"/>
      <c r="L631" s="237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7"/>
      <c r="J632" s="237"/>
      <c r="K632" s="193"/>
      <c r="L632" s="237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7"/>
      <c r="J633" s="237"/>
      <c r="K633" s="193"/>
      <c r="L633" s="237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7"/>
      <c r="J634" s="237"/>
      <c r="K634" s="193"/>
      <c r="L634" s="237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7"/>
      <c r="J635" s="237"/>
      <c r="K635" s="193"/>
      <c r="L635" s="237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7"/>
      <c r="J636" s="237"/>
      <c r="K636" s="193"/>
      <c r="L636" s="237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7"/>
      <c r="J637" s="237"/>
      <c r="K637" s="193"/>
      <c r="L637" s="237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7"/>
      <c r="J638" s="237"/>
      <c r="K638" s="193"/>
      <c r="L638" s="237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7"/>
      <c r="J639" s="237"/>
      <c r="K639" s="193"/>
      <c r="L639" s="237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7"/>
      <c r="J640" s="237"/>
      <c r="K640" s="193"/>
      <c r="L640" s="237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7"/>
      <c r="J641" s="237"/>
      <c r="K641" s="193"/>
      <c r="L641" s="237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7"/>
      <c r="J642" s="237"/>
      <c r="K642" s="193"/>
      <c r="L642" s="237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7"/>
      <c r="J643" s="237"/>
      <c r="K643" s="193"/>
      <c r="L643" s="237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7"/>
      <c r="J644" s="237"/>
      <c r="K644" s="193"/>
      <c r="L644" s="237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7"/>
      <c r="J645" s="237"/>
      <c r="K645" s="193"/>
      <c r="L645" s="237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7"/>
      <c r="J646" s="237"/>
      <c r="K646" s="193"/>
      <c r="L646" s="237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7"/>
      <c r="J647" s="237"/>
      <c r="K647" s="193"/>
      <c r="L647" s="237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7"/>
      <c r="J648" s="237"/>
      <c r="K648" s="193"/>
      <c r="L648" s="237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7"/>
      <c r="J649" s="237"/>
      <c r="K649" s="193"/>
      <c r="L649" s="237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7"/>
      <c r="J650" s="237"/>
      <c r="K650" s="193"/>
      <c r="L650" s="237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7"/>
      <c r="J651" s="237"/>
      <c r="K651" s="193"/>
      <c r="L651" s="237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7"/>
      <c r="J652" s="237"/>
      <c r="K652" s="193"/>
      <c r="L652" s="237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7"/>
      <c r="J653" s="237"/>
      <c r="K653" s="193"/>
      <c r="L653" s="237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7"/>
      <c r="J654" s="237"/>
      <c r="K654" s="193"/>
      <c r="L654" s="237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7"/>
      <c r="J655" s="237"/>
      <c r="K655" s="193"/>
      <c r="L655" s="237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7"/>
      <c r="J656" s="237"/>
      <c r="K656" s="193"/>
      <c r="L656" s="237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7"/>
      <c r="J657" s="237"/>
      <c r="K657" s="193"/>
      <c r="L657" s="237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7"/>
      <c r="J658" s="237"/>
      <c r="K658" s="193"/>
      <c r="L658" s="237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7"/>
      <c r="J659" s="237"/>
      <c r="K659" s="193"/>
      <c r="L659" s="237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7"/>
      <c r="J660" s="237"/>
      <c r="K660" s="193"/>
      <c r="L660" s="237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7"/>
      <c r="J661" s="237"/>
      <c r="K661" s="193"/>
      <c r="L661" s="237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7"/>
      <c r="J662" s="237"/>
      <c r="K662" s="193"/>
      <c r="L662" s="237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7"/>
      <c r="J663" s="237"/>
      <c r="K663" s="193"/>
      <c r="L663" s="237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7"/>
      <c r="J664" s="237"/>
      <c r="K664" s="193"/>
      <c r="L664" s="237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7"/>
      <c r="J665" s="237"/>
      <c r="K665" s="193"/>
      <c r="L665" s="237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7"/>
      <c r="J666" s="237"/>
      <c r="K666" s="193"/>
      <c r="L666" s="237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7"/>
      <c r="J667" s="237"/>
      <c r="K667" s="193"/>
      <c r="L667" s="237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7"/>
      <c r="J668" s="237"/>
      <c r="K668" s="193"/>
      <c r="L668" s="237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7"/>
      <c r="J669" s="237"/>
      <c r="K669" s="193"/>
      <c r="L669" s="237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7"/>
      <c r="J670" s="237"/>
      <c r="K670" s="193"/>
      <c r="L670" s="237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7"/>
      <c r="J671" s="237"/>
      <c r="K671" s="193"/>
      <c r="L671" s="237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7"/>
      <c r="J672" s="237"/>
      <c r="K672" s="193"/>
      <c r="L672" s="237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7"/>
      <c r="J673" s="237"/>
      <c r="K673" s="193"/>
      <c r="L673" s="237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7"/>
      <c r="J674" s="237"/>
      <c r="K674" s="193"/>
      <c r="L674" s="237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7"/>
      <c r="J675" s="237"/>
      <c r="K675" s="193"/>
      <c r="L675" s="237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7"/>
      <c r="J676" s="237"/>
      <c r="K676" s="193"/>
      <c r="L676" s="237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7"/>
      <c r="J677" s="237"/>
      <c r="K677" s="193"/>
      <c r="L677" s="237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7"/>
      <c r="J678" s="237"/>
      <c r="K678" s="193"/>
      <c r="L678" s="237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7"/>
      <c r="J679" s="237"/>
      <c r="K679" s="193"/>
      <c r="L679" s="237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7"/>
      <c r="J680" s="237"/>
      <c r="K680" s="193"/>
      <c r="L680" s="237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7"/>
      <c r="J681" s="237"/>
      <c r="K681" s="193"/>
      <c r="L681" s="237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7"/>
      <c r="J682" s="237"/>
      <c r="K682" s="193"/>
      <c r="L682" s="237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7"/>
      <c r="J683" s="237"/>
      <c r="K683" s="193"/>
      <c r="L683" s="237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7"/>
      <c r="J684" s="237"/>
      <c r="K684" s="193"/>
      <c r="L684" s="237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7"/>
      <c r="J685" s="237"/>
      <c r="K685" s="193"/>
      <c r="L685" s="237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7"/>
      <c r="J686" s="237"/>
      <c r="K686" s="193"/>
      <c r="L686" s="237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7"/>
      <c r="J687" s="237"/>
      <c r="K687" s="193"/>
      <c r="L687" s="237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7"/>
      <c r="J688" s="237"/>
      <c r="K688" s="193"/>
      <c r="L688" s="237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7"/>
      <c r="J689" s="237"/>
      <c r="K689" s="193"/>
      <c r="L689" s="237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7"/>
      <c r="J690" s="237"/>
      <c r="K690" s="193"/>
      <c r="L690" s="237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7"/>
      <c r="J691" s="237"/>
      <c r="K691" s="193"/>
      <c r="L691" s="237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7"/>
      <c r="J692" s="237"/>
      <c r="K692" s="193"/>
      <c r="L692" s="237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7"/>
      <c r="J693" s="237"/>
      <c r="K693" s="193"/>
      <c r="L693" s="237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7"/>
      <c r="J694" s="237"/>
      <c r="K694" s="193"/>
      <c r="L694" s="237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7"/>
      <c r="J695" s="237"/>
      <c r="K695" s="193"/>
      <c r="L695" s="237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7"/>
      <c r="J696" s="237"/>
      <c r="K696" s="193"/>
      <c r="L696" s="237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7"/>
      <c r="J697" s="237"/>
      <c r="K697" s="193"/>
      <c r="L697" s="237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7"/>
      <c r="J698" s="237"/>
      <c r="K698" s="193"/>
      <c r="L698" s="237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7"/>
      <c r="J699" s="237"/>
      <c r="K699" s="193"/>
      <c r="L699" s="237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7"/>
      <c r="J700" s="237"/>
      <c r="K700" s="193"/>
      <c r="L700" s="237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7"/>
      <c r="J701" s="237"/>
      <c r="K701" s="193"/>
      <c r="L701" s="237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7"/>
      <c r="J702" s="237"/>
      <c r="K702" s="193"/>
      <c r="L702" s="237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7"/>
      <c r="J703" s="237"/>
      <c r="K703" s="193"/>
      <c r="L703" s="237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7"/>
      <c r="J704" s="237"/>
      <c r="K704" s="193"/>
      <c r="L704" s="237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7"/>
      <c r="J705" s="237"/>
      <c r="K705" s="193"/>
      <c r="L705" s="237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7"/>
      <c r="J706" s="237"/>
      <c r="K706" s="193"/>
      <c r="L706" s="237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7"/>
      <c r="J707" s="237"/>
      <c r="K707" s="193"/>
      <c r="L707" s="237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7"/>
      <c r="J708" s="237"/>
      <c r="K708" s="193"/>
      <c r="L708" s="237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7"/>
      <c r="J709" s="237"/>
      <c r="K709" s="193"/>
      <c r="L709" s="237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7"/>
      <c r="J710" s="237"/>
      <c r="K710" s="193"/>
      <c r="L710" s="237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7"/>
      <c r="J711" s="237"/>
      <c r="K711" s="193"/>
      <c r="L711" s="237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7"/>
      <c r="J712" s="237"/>
      <c r="K712" s="193"/>
      <c r="L712" s="237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7"/>
      <c r="J713" s="237"/>
      <c r="K713" s="193"/>
      <c r="L713" s="237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7"/>
      <c r="J714" s="237"/>
      <c r="K714" s="193"/>
      <c r="L714" s="237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7"/>
      <c r="J715" s="237"/>
      <c r="K715" s="193"/>
      <c r="L715" s="237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7"/>
      <c r="J716" s="237"/>
      <c r="K716" s="193"/>
      <c r="L716" s="237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7"/>
      <c r="J717" s="237"/>
      <c r="K717" s="193"/>
      <c r="L717" s="237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7"/>
      <c r="J718" s="237"/>
      <c r="K718" s="193"/>
      <c r="L718" s="237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7"/>
      <c r="J719" s="237"/>
      <c r="K719" s="193"/>
      <c r="L719" s="237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7"/>
      <c r="J720" s="237"/>
      <c r="K720" s="193"/>
      <c r="L720" s="237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7"/>
      <c r="J721" s="237"/>
      <c r="K721" s="193"/>
      <c r="L721" s="237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7"/>
      <c r="J722" s="237"/>
      <c r="K722" s="193"/>
      <c r="L722" s="237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7"/>
      <c r="J723" s="237"/>
      <c r="K723" s="193"/>
      <c r="L723" s="237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7"/>
      <c r="J724" s="237"/>
      <c r="K724" s="193"/>
      <c r="L724" s="237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7"/>
      <c r="J725" s="237"/>
      <c r="K725" s="193"/>
      <c r="L725" s="237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7"/>
      <c r="J726" s="237"/>
      <c r="K726" s="193"/>
      <c r="L726" s="237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7"/>
      <c r="J727" s="237"/>
      <c r="K727" s="193"/>
      <c r="L727" s="237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7"/>
      <c r="J728" s="237"/>
      <c r="K728" s="193"/>
      <c r="L728" s="237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7"/>
      <c r="J729" s="237"/>
      <c r="K729" s="193"/>
      <c r="L729" s="237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7"/>
      <c r="J730" s="237"/>
      <c r="K730" s="193"/>
      <c r="L730" s="237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7"/>
      <c r="J731" s="237"/>
      <c r="K731" s="193"/>
      <c r="L731" s="237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7"/>
      <c r="J732" s="237"/>
      <c r="K732" s="193"/>
      <c r="L732" s="237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7"/>
      <c r="J733" s="237"/>
      <c r="K733" s="193"/>
      <c r="L733" s="237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7"/>
      <c r="J734" s="237"/>
      <c r="K734" s="193"/>
      <c r="L734" s="237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7"/>
      <c r="J735" s="237"/>
      <c r="K735" s="193"/>
      <c r="L735" s="237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7"/>
      <c r="J736" s="237"/>
      <c r="K736" s="193"/>
      <c r="L736" s="237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7"/>
      <c r="J737" s="237"/>
      <c r="K737" s="193"/>
      <c r="L737" s="237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7"/>
      <c r="J738" s="237"/>
      <c r="K738" s="193"/>
      <c r="L738" s="237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7"/>
      <c r="J739" s="237"/>
      <c r="K739" s="193"/>
      <c r="L739" s="237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7"/>
      <c r="J740" s="237"/>
      <c r="K740" s="193"/>
      <c r="L740" s="237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7"/>
      <c r="J741" s="237"/>
      <c r="K741" s="193"/>
      <c r="L741" s="237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7"/>
      <c r="J742" s="237"/>
      <c r="K742" s="193"/>
      <c r="L742" s="237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7"/>
      <c r="J743" s="237"/>
      <c r="K743" s="193"/>
      <c r="L743" s="237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7"/>
      <c r="J744" s="237"/>
      <c r="K744" s="193"/>
      <c r="L744" s="237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7"/>
      <c r="J745" s="237"/>
      <c r="K745" s="193"/>
      <c r="L745" s="237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7"/>
      <c r="J746" s="237"/>
      <c r="K746" s="193"/>
      <c r="L746" s="237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7"/>
      <c r="J747" s="237"/>
      <c r="K747" s="193"/>
      <c r="L747" s="237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7"/>
      <c r="J748" s="237"/>
      <c r="K748" s="193"/>
      <c r="L748" s="237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7"/>
      <c r="J749" s="237"/>
      <c r="K749" s="193"/>
      <c r="L749" s="237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7"/>
      <c r="J750" s="237"/>
      <c r="K750" s="193"/>
      <c r="L750" s="237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7"/>
      <c r="J751" s="237"/>
      <c r="K751" s="193"/>
      <c r="L751" s="237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7"/>
      <c r="J752" s="237"/>
      <c r="K752" s="193"/>
      <c r="L752" s="237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7"/>
      <c r="J753" s="237"/>
      <c r="K753" s="193"/>
      <c r="L753" s="237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7"/>
      <c r="J754" s="237"/>
      <c r="K754" s="193"/>
      <c r="L754" s="237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7"/>
      <c r="J755" s="237"/>
      <c r="K755" s="193"/>
      <c r="L755" s="237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7"/>
      <c r="J756" s="237"/>
      <c r="K756" s="193"/>
      <c r="L756" s="237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7"/>
      <c r="J757" s="237"/>
      <c r="K757" s="193"/>
      <c r="L757" s="237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7"/>
      <c r="J758" s="237"/>
      <c r="K758" s="193"/>
      <c r="L758" s="237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7"/>
      <c r="J759" s="237"/>
      <c r="K759" s="193"/>
      <c r="L759" s="237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7"/>
      <c r="J760" s="237"/>
      <c r="K760" s="193"/>
      <c r="L760" s="237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7"/>
      <c r="J761" s="237"/>
      <c r="K761" s="193"/>
      <c r="L761" s="237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7"/>
      <c r="J762" s="237"/>
      <c r="K762" s="193"/>
      <c r="L762" s="237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7"/>
      <c r="J763" s="237"/>
      <c r="K763" s="193"/>
      <c r="L763" s="237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7"/>
      <c r="J764" s="237"/>
      <c r="K764" s="193"/>
      <c r="L764" s="237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7"/>
      <c r="J765" s="237"/>
      <c r="K765" s="193"/>
      <c r="L765" s="237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8"/>
      <c r="J766" s="238"/>
      <c r="K766" s="234"/>
      <c r="L766" s="238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9"/>
      <c r="J767" s="239"/>
      <c r="K767" s="236"/>
      <c r="L767" s="239"/>
      <c r="M767" s="260"/>
    </row>
    <row r="768" spans="1:13" x14ac:dyDescent="0.3">
      <c r="A768" s="220"/>
      <c r="B768" s="176"/>
      <c r="C768" s="176"/>
      <c r="D768" s="176"/>
      <c r="E768" s="176"/>
      <c r="F768" s="176"/>
      <c r="I768" s="239"/>
      <c r="J768" s="239"/>
      <c r="K768" s="236"/>
      <c r="L768" s="239"/>
      <c r="M768" s="260"/>
    </row>
    <row r="769" spans="1:13" x14ac:dyDescent="0.3">
      <c r="A769" s="220"/>
      <c r="B769" s="176"/>
      <c r="C769" s="176"/>
      <c r="D769" s="176"/>
      <c r="E769" s="176"/>
      <c r="F769" s="176"/>
      <c r="I769" s="239"/>
      <c r="J769" s="239"/>
      <c r="K769" s="236"/>
      <c r="L769" s="239"/>
      <c r="M769" s="260"/>
    </row>
    <row r="770" spans="1:13" x14ac:dyDescent="0.3">
      <c r="A770" s="220"/>
      <c r="B770" s="176"/>
      <c r="C770" s="176"/>
      <c r="D770" s="176"/>
      <c r="E770" s="176"/>
      <c r="F770" s="176"/>
      <c r="I770" s="239"/>
      <c r="J770" s="239"/>
      <c r="K770" s="236"/>
      <c r="L770" s="239"/>
      <c r="M770" s="260"/>
    </row>
    <row r="771" spans="1:13" x14ac:dyDescent="0.3">
      <c r="A771" s="220"/>
      <c r="B771" s="176"/>
      <c r="C771" s="176"/>
      <c r="D771" s="176"/>
      <c r="E771" s="176"/>
      <c r="F771" s="176"/>
      <c r="I771" s="239"/>
      <c r="J771" s="239"/>
      <c r="K771" s="236"/>
      <c r="L771" s="239"/>
      <c r="M771" s="260"/>
    </row>
    <row r="772" spans="1:13" x14ac:dyDescent="0.3">
      <c r="A772" s="220"/>
      <c r="B772" s="176"/>
      <c r="C772" s="176"/>
      <c r="D772" s="176"/>
      <c r="E772" s="176"/>
      <c r="F772" s="176"/>
      <c r="I772" s="239"/>
      <c r="J772" s="239"/>
      <c r="K772" s="236"/>
      <c r="L772" s="239"/>
      <c r="M772" s="260"/>
    </row>
    <row r="773" spans="1:13" x14ac:dyDescent="0.3">
      <c r="A773" s="220"/>
      <c r="B773" s="176"/>
      <c r="C773" s="176"/>
      <c r="D773" s="176"/>
      <c r="E773" s="176"/>
      <c r="F773" s="176"/>
      <c r="I773" s="239"/>
      <c r="J773" s="239"/>
      <c r="K773" s="236"/>
      <c r="L773" s="239"/>
      <c r="M773" s="260"/>
    </row>
    <row r="774" spans="1:13" x14ac:dyDescent="0.3">
      <c r="A774" s="220"/>
      <c r="B774" s="176"/>
      <c r="C774" s="176"/>
      <c r="D774" s="176"/>
      <c r="E774" s="176"/>
      <c r="F774" s="176"/>
      <c r="I774" s="239"/>
      <c r="J774" s="239"/>
      <c r="K774" s="236"/>
      <c r="L774" s="239"/>
      <c r="M774" s="260"/>
    </row>
    <row r="775" spans="1:13" x14ac:dyDescent="0.3">
      <c r="A775" s="220"/>
      <c r="B775" s="176"/>
      <c r="C775" s="176"/>
      <c r="D775" s="176"/>
      <c r="E775" s="176"/>
      <c r="F775" s="176"/>
      <c r="I775" s="239"/>
      <c r="J775" s="239"/>
      <c r="K775" s="236"/>
      <c r="L775" s="239"/>
      <c r="M775" s="260"/>
    </row>
    <row r="776" spans="1:13" x14ac:dyDescent="0.3">
      <c r="A776" s="220"/>
      <c r="B776" s="176"/>
      <c r="C776" s="176"/>
      <c r="D776" s="176"/>
      <c r="E776" s="176"/>
      <c r="F776" s="176"/>
      <c r="I776" s="239"/>
      <c r="J776" s="239"/>
      <c r="K776" s="236"/>
      <c r="L776" s="239"/>
      <c r="M776" s="260"/>
    </row>
    <row r="777" spans="1:13" x14ac:dyDescent="0.3">
      <c r="A777" s="220"/>
      <c r="B777" s="176"/>
      <c r="C777" s="176"/>
      <c r="D777" s="176"/>
      <c r="E777" s="176"/>
      <c r="F777" s="176"/>
      <c r="I777" s="239"/>
      <c r="J777" s="239"/>
      <c r="K777" s="236"/>
      <c r="L777" s="239"/>
      <c r="M777" s="260"/>
    </row>
    <row r="778" spans="1:13" x14ac:dyDescent="0.3">
      <c r="A778" s="220"/>
      <c r="B778" s="176"/>
      <c r="C778" s="176"/>
      <c r="D778" s="176"/>
      <c r="E778" s="176"/>
      <c r="F778" s="176"/>
      <c r="I778" s="239"/>
      <c r="J778" s="239"/>
      <c r="K778" s="236"/>
      <c r="L778" s="239"/>
      <c r="M778" s="260"/>
    </row>
    <row r="779" spans="1:13" x14ac:dyDescent="0.3">
      <c r="A779" s="220"/>
      <c r="B779" s="176"/>
      <c r="C779" s="176"/>
      <c r="D779" s="176"/>
      <c r="E779" s="176"/>
      <c r="F779" s="176"/>
      <c r="I779" s="239"/>
      <c r="J779" s="239"/>
      <c r="K779" s="236"/>
      <c r="L779" s="239"/>
      <c r="M779" s="260"/>
    </row>
    <row r="780" spans="1:13" x14ac:dyDescent="0.3">
      <c r="A780" s="220"/>
      <c r="B780" s="176"/>
      <c r="C780" s="176"/>
      <c r="D780" s="176"/>
      <c r="E780" s="176"/>
      <c r="F780" s="176"/>
      <c r="I780" s="239"/>
      <c r="J780" s="239"/>
      <c r="K780" s="236"/>
      <c r="L780" s="239"/>
      <c r="M780" s="260"/>
    </row>
    <row r="781" spans="1:13" x14ac:dyDescent="0.3">
      <c r="A781" s="220"/>
      <c r="B781" s="176"/>
      <c r="C781" s="176"/>
      <c r="D781" s="176"/>
      <c r="E781" s="176"/>
      <c r="F781" s="176"/>
      <c r="I781" s="239"/>
      <c r="J781" s="239"/>
      <c r="K781" s="236"/>
      <c r="L781" s="239"/>
      <c r="M781" s="260"/>
    </row>
    <row r="782" spans="1:13" x14ac:dyDescent="0.3">
      <c r="A782" s="220"/>
      <c r="B782" s="176"/>
      <c r="C782" s="176"/>
      <c r="D782" s="176"/>
      <c r="E782" s="176"/>
      <c r="F782" s="176"/>
      <c r="I782" s="239"/>
      <c r="J782" s="239"/>
      <c r="K782" s="236"/>
      <c r="L782" s="239"/>
      <c r="M782" s="260"/>
    </row>
    <row r="783" spans="1:13" x14ac:dyDescent="0.3">
      <c r="A783" s="220"/>
      <c r="B783" s="176"/>
      <c r="C783" s="176"/>
      <c r="D783" s="176"/>
      <c r="E783" s="176"/>
      <c r="F783" s="176"/>
      <c r="I783" s="239"/>
      <c r="J783" s="239"/>
      <c r="K783" s="236"/>
      <c r="L783" s="239"/>
      <c r="M783" s="260"/>
    </row>
    <row r="784" spans="1:13" x14ac:dyDescent="0.3">
      <c r="A784" s="220"/>
      <c r="B784" s="176"/>
      <c r="C784" s="176"/>
      <c r="D784" s="176"/>
      <c r="E784" s="176"/>
      <c r="F784" s="176"/>
      <c r="I784" s="239"/>
      <c r="J784" s="239"/>
      <c r="K784" s="236"/>
      <c r="L784" s="239"/>
      <c r="M784" s="260"/>
    </row>
    <row r="785" spans="1:13" x14ac:dyDescent="0.3">
      <c r="A785" s="220"/>
      <c r="B785" s="176"/>
      <c r="C785" s="176"/>
      <c r="D785" s="176"/>
      <c r="E785" s="176"/>
      <c r="F785" s="176"/>
      <c r="I785" s="239"/>
      <c r="J785" s="239"/>
      <c r="K785" s="236"/>
      <c r="L785" s="239"/>
      <c r="M785" s="260"/>
    </row>
    <row r="786" spans="1:13" x14ac:dyDescent="0.3">
      <c r="A786" s="220"/>
      <c r="B786" s="176"/>
      <c r="C786" s="176"/>
      <c r="D786" s="176"/>
      <c r="E786" s="176"/>
      <c r="F786" s="176"/>
      <c r="I786" s="239"/>
      <c r="J786" s="239"/>
      <c r="K786" s="236"/>
      <c r="L786" s="239"/>
      <c r="M786" s="260"/>
    </row>
    <row r="787" spans="1:13" x14ac:dyDescent="0.3">
      <c r="A787" s="220"/>
      <c r="B787" s="176"/>
      <c r="C787" s="176"/>
      <c r="D787" s="176"/>
      <c r="E787" s="176"/>
      <c r="F787" s="176"/>
      <c r="I787" s="239"/>
      <c r="J787" s="239"/>
      <c r="K787" s="236"/>
      <c r="L787" s="239"/>
      <c r="M787" s="260"/>
    </row>
    <row r="788" spans="1:13" x14ac:dyDescent="0.3">
      <c r="A788" s="220"/>
      <c r="B788" s="176"/>
      <c r="C788" s="176"/>
      <c r="D788" s="176"/>
      <c r="E788" s="176"/>
      <c r="F788" s="176"/>
      <c r="I788" s="239"/>
      <c r="J788" s="239"/>
      <c r="K788" s="236"/>
      <c r="L788" s="239"/>
      <c r="M788" s="260"/>
    </row>
    <row r="789" spans="1:13" x14ac:dyDescent="0.3">
      <c r="A789" s="220"/>
      <c r="B789" s="176"/>
      <c r="C789" s="176"/>
      <c r="D789" s="176"/>
      <c r="E789" s="176"/>
      <c r="F789" s="176"/>
      <c r="I789" s="239"/>
      <c r="J789" s="239"/>
      <c r="K789" s="236"/>
      <c r="L789" s="239"/>
      <c r="M789" s="260"/>
    </row>
    <row r="790" spans="1:13" x14ac:dyDescent="0.3">
      <c r="A790" s="220"/>
      <c r="B790" s="176"/>
      <c r="C790" s="176"/>
      <c r="D790" s="176"/>
      <c r="E790" s="176"/>
      <c r="F790" s="176"/>
      <c r="I790" s="239"/>
      <c r="J790" s="239"/>
      <c r="K790" s="236"/>
      <c r="L790" s="239"/>
      <c r="M790" s="260"/>
    </row>
    <row r="791" spans="1:13" x14ac:dyDescent="0.3">
      <c r="A791" s="220"/>
      <c r="B791" s="176"/>
      <c r="C791" s="176"/>
      <c r="D791" s="176"/>
      <c r="E791" s="176"/>
      <c r="F791" s="176"/>
      <c r="I791" s="239"/>
      <c r="J791" s="239"/>
      <c r="K791" s="236"/>
      <c r="L791" s="239"/>
      <c r="M791" s="260"/>
    </row>
    <row r="792" spans="1:13" x14ac:dyDescent="0.3">
      <c r="A792" s="220"/>
      <c r="B792" s="176"/>
      <c r="C792" s="176"/>
      <c r="D792" s="176"/>
      <c r="E792" s="176"/>
      <c r="F792" s="176"/>
      <c r="I792" s="239"/>
      <c r="J792" s="239"/>
      <c r="K792" s="236"/>
      <c r="L792" s="239"/>
      <c r="M792" s="260"/>
    </row>
    <row r="793" spans="1:13" x14ac:dyDescent="0.3">
      <c r="A793" s="220"/>
      <c r="B793" s="176"/>
      <c r="C793" s="176"/>
      <c r="D793" s="176"/>
      <c r="E793" s="176"/>
      <c r="F793" s="176"/>
      <c r="I793" s="239"/>
      <c r="J793" s="239"/>
      <c r="K793" s="236"/>
      <c r="L793" s="239"/>
      <c r="M793" s="260"/>
    </row>
    <row r="794" spans="1:13" x14ac:dyDescent="0.3">
      <c r="A794" s="220"/>
      <c r="B794" s="176"/>
      <c r="C794" s="176"/>
      <c r="D794" s="176"/>
      <c r="E794" s="176"/>
      <c r="F794" s="176"/>
      <c r="I794" s="239"/>
      <c r="J794" s="239"/>
      <c r="K794" s="236"/>
      <c r="L794" s="239"/>
      <c r="M794" s="260"/>
    </row>
    <row r="795" spans="1:13" x14ac:dyDescent="0.3">
      <c r="A795" s="220"/>
      <c r="B795" s="176"/>
      <c r="C795" s="176"/>
      <c r="D795" s="176"/>
      <c r="E795" s="176"/>
      <c r="F795" s="176"/>
      <c r="I795" s="239"/>
      <c r="J795" s="239"/>
      <c r="K795" s="236"/>
      <c r="L795" s="239"/>
      <c r="M795" s="260"/>
    </row>
    <row r="796" spans="1:13" x14ac:dyDescent="0.3">
      <c r="A796" s="220"/>
      <c r="B796" s="55"/>
      <c r="C796" s="55"/>
      <c r="D796" s="55"/>
      <c r="E796" s="176"/>
      <c r="F796" s="55"/>
      <c r="I796" s="239"/>
      <c r="J796" s="239"/>
      <c r="K796" s="236"/>
      <c r="L796" s="239"/>
      <c r="M796" s="260"/>
    </row>
    <row r="797" spans="1:13" x14ac:dyDescent="0.3">
      <c r="A797" s="220"/>
      <c r="B797" s="55"/>
      <c r="C797" s="55"/>
      <c r="D797" s="55"/>
      <c r="E797" s="176"/>
      <c r="F797" s="55"/>
      <c r="I797" s="239"/>
      <c r="J797" s="239"/>
      <c r="K797" s="236"/>
      <c r="L797" s="239"/>
      <c r="M797" s="260"/>
    </row>
    <row r="798" spans="1:13" x14ac:dyDescent="0.3">
      <c r="A798" s="220"/>
      <c r="B798" s="55"/>
      <c r="C798" s="55"/>
      <c r="D798" s="55"/>
      <c r="E798" s="176"/>
      <c r="F798" s="55"/>
      <c r="I798" s="239"/>
      <c r="J798" s="239"/>
      <c r="K798" s="236"/>
      <c r="L798" s="239"/>
      <c r="M798" s="260"/>
    </row>
    <row r="799" spans="1:13" x14ac:dyDescent="0.3">
      <c r="A799" s="220"/>
      <c r="B799" s="55"/>
      <c r="C799" s="55"/>
      <c r="D799" s="55"/>
      <c r="E799" s="176"/>
      <c r="F799" s="55"/>
      <c r="I799" s="239"/>
      <c r="J799" s="239"/>
      <c r="K799" s="236"/>
      <c r="L799" s="239"/>
      <c r="M799" s="260"/>
    </row>
    <row r="800" spans="1:13" x14ac:dyDescent="0.3">
      <c r="A800" s="220"/>
      <c r="B800" s="55"/>
      <c r="C800" s="55"/>
      <c r="D800" s="55"/>
      <c r="E800" s="176"/>
      <c r="F800" s="55"/>
      <c r="I800" s="239"/>
      <c r="J800" s="239"/>
      <c r="K800" s="236"/>
      <c r="L800" s="239"/>
      <c r="M800" s="260"/>
    </row>
    <row r="801" spans="1:13" x14ac:dyDescent="0.3">
      <c r="A801" s="220"/>
      <c r="B801" s="55"/>
      <c r="C801" s="55"/>
      <c r="D801" s="55"/>
      <c r="E801" s="176"/>
      <c r="F801" s="55"/>
      <c r="I801" s="239"/>
      <c r="J801" s="239"/>
      <c r="K801" s="236"/>
      <c r="L801" s="239"/>
      <c r="M801" s="260"/>
    </row>
    <row r="802" spans="1:13" x14ac:dyDescent="0.3">
      <c r="A802" s="220"/>
      <c r="B802" s="55"/>
      <c r="C802" s="55"/>
      <c r="D802" s="55"/>
      <c r="E802" s="176"/>
      <c r="F802" s="55"/>
      <c r="I802" s="239"/>
      <c r="J802" s="239"/>
      <c r="K802" s="236"/>
      <c r="L802" s="239"/>
      <c r="M802" s="260"/>
    </row>
    <row r="803" spans="1:13" x14ac:dyDescent="0.3">
      <c r="A803" s="220"/>
      <c r="B803" s="55"/>
      <c r="C803" s="55"/>
      <c r="D803" s="55"/>
      <c r="E803" s="176"/>
      <c r="F803" s="55"/>
      <c r="I803" s="239"/>
      <c r="J803" s="239"/>
      <c r="K803" s="236"/>
      <c r="L803" s="239"/>
      <c r="M803" s="260"/>
    </row>
    <row r="804" spans="1:13" x14ac:dyDescent="0.3">
      <c r="A804" s="220"/>
      <c r="B804" s="55"/>
      <c r="C804" s="55"/>
      <c r="D804" s="55"/>
      <c r="E804" s="176"/>
      <c r="F804" s="55"/>
      <c r="I804" s="239"/>
      <c r="J804" s="239"/>
      <c r="K804" s="236"/>
      <c r="L804" s="239"/>
      <c r="M804" s="260"/>
    </row>
    <row r="805" spans="1:13" x14ac:dyDescent="0.3">
      <c r="A805" s="220"/>
      <c r="B805" s="55"/>
      <c r="C805" s="55"/>
      <c r="D805" s="55"/>
      <c r="E805" s="176"/>
      <c r="F805" s="55"/>
      <c r="I805" s="239"/>
      <c r="J805" s="239"/>
      <c r="K805" s="236"/>
      <c r="L805" s="239"/>
      <c r="M805" s="260"/>
    </row>
    <row r="806" spans="1:13" x14ac:dyDescent="0.3">
      <c r="A806" s="220"/>
      <c r="B806" s="55"/>
      <c r="C806" s="55"/>
      <c r="D806" s="55"/>
      <c r="E806" s="176"/>
      <c r="F806" s="55"/>
      <c r="I806" s="239"/>
      <c r="J806" s="239"/>
      <c r="K806" s="236"/>
      <c r="L806" s="239"/>
      <c r="M806" s="260"/>
    </row>
    <row r="807" spans="1:13" x14ac:dyDescent="0.3">
      <c r="A807" s="220"/>
      <c r="B807" s="55"/>
      <c r="C807" s="55"/>
      <c r="D807" s="55"/>
      <c r="E807" s="176"/>
      <c r="F807" s="55"/>
      <c r="I807" s="239"/>
      <c r="J807" s="239"/>
      <c r="K807" s="236"/>
      <c r="L807" s="239"/>
      <c r="M807" s="260"/>
    </row>
    <row r="808" spans="1:13" x14ac:dyDescent="0.3">
      <c r="A808" s="220"/>
      <c r="B808" s="55"/>
      <c r="C808" s="55"/>
      <c r="D808" s="55"/>
      <c r="E808" s="176"/>
      <c r="F808" s="55"/>
      <c r="I808" s="239"/>
      <c r="J808" s="239"/>
      <c r="K808" s="236"/>
      <c r="L808" s="239"/>
      <c r="M808" s="260"/>
    </row>
    <row r="809" spans="1:13" x14ac:dyDescent="0.3">
      <c r="A809" s="220"/>
      <c r="B809" s="55"/>
      <c r="C809" s="55"/>
      <c r="D809" s="55"/>
      <c r="E809" s="176"/>
      <c r="F809" s="55"/>
      <c r="I809" s="239"/>
      <c r="J809" s="239"/>
      <c r="K809" s="236"/>
      <c r="L809" s="239"/>
      <c r="M809" s="260"/>
    </row>
    <row r="810" spans="1:13" x14ac:dyDescent="0.3">
      <c r="A810" s="220"/>
      <c r="B810" s="55"/>
      <c r="C810" s="55"/>
      <c r="D810" s="55"/>
      <c r="E810" s="176"/>
      <c r="F810" s="55"/>
      <c r="I810" s="239"/>
      <c r="J810" s="239"/>
      <c r="K810" s="236"/>
      <c r="L810" s="239"/>
      <c r="M810" s="260"/>
    </row>
    <row r="811" spans="1:13" x14ac:dyDescent="0.3">
      <c r="A811" s="220"/>
      <c r="B811" s="55"/>
      <c r="C811" s="55"/>
      <c r="D811" s="55"/>
      <c r="E811" s="176"/>
      <c r="F811" s="55"/>
      <c r="I811" s="239"/>
      <c r="J811" s="239"/>
      <c r="K811" s="236"/>
      <c r="L811" s="239"/>
      <c r="M811" s="260"/>
    </row>
    <row r="812" spans="1:13" x14ac:dyDescent="0.3">
      <c r="A812" s="220"/>
      <c r="B812" s="55"/>
      <c r="C812" s="55"/>
      <c r="D812" s="55"/>
      <c r="E812" s="176"/>
      <c r="F812" s="55"/>
      <c r="I812" s="239"/>
      <c r="J812" s="239"/>
      <c r="K812" s="236"/>
      <c r="L812" s="239"/>
      <c r="M812" s="260"/>
    </row>
    <row r="813" spans="1:13" x14ac:dyDescent="0.3">
      <c r="A813" s="220"/>
      <c r="B813" s="55"/>
      <c r="C813" s="55"/>
      <c r="D813" s="55"/>
      <c r="E813" s="176"/>
      <c r="F813" s="55"/>
      <c r="I813" s="239"/>
      <c r="J813" s="239"/>
      <c r="K813" s="236"/>
      <c r="L813" s="239"/>
      <c r="M813" s="260"/>
    </row>
    <row r="814" spans="1:13" x14ac:dyDescent="0.3">
      <c r="A814" s="220"/>
      <c r="B814" s="55"/>
      <c r="C814" s="55"/>
      <c r="D814" s="55"/>
      <c r="E814" s="176"/>
      <c r="F814" s="55"/>
      <c r="I814" s="239"/>
      <c r="J814" s="239"/>
      <c r="K814" s="236"/>
      <c r="L814" s="239"/>
      <c r="M814" s="260"/>
    </row>
    <row r="815" spans="1:13" x14ac:dyDescent="0.3">
      <c r="A815" s="220"/>
      <c r="B815" s="55"/>
      <c r="C815" s="55"/>
      <c r="D815" s="55"/>
      <c r="E815" s="176"/>
      <c r="F815" s="55"/>
      <c r="I815" s="239"/>
      <c r="J815" s="239"/>
      <c r="K815" s="236"/>
      <c r="L815" s="239"/>
      <c r="M815" s="260"/>
    </row>
    <row r="816" spans="1:13" x14ac:dyDescent="0.3">
      <c r="A816" s="220"/>
      <c r="B816" s="55"/>
      <c r="C816" s="55"/>
      <c r="D816" s="55"/>
      <c r="E816" s="176"/>
      <c r="F816" s="55"/>
      <c r="I816" s="239"/>
      <c r="J816" s="239"/>
      <c r="K816" s="236"/>
      <c r="L816" s="239"/>
      <c r="M816" s="260"/>
    </row>
    <row r="817" spans="1:13" x14ac:dyDescent="0.3">
      <c r="A817" s="220"/>
      <c r="B817" s="55"/>
      <c r="C817" s="55"/>
      <c r="D817" s="55"/>
      <c r="E817" s="176"/>
      <c r="F817" s="55"/>
      <c r="I817" s="239"/>
      <c r="J817" s="239"/>
      <c r="K817" s="236"/>
      <c r="L817" s="239"/>
      <c r="M817" s="260"/>
    </row>
    <row r="818" spans="1:13" x14ac:dyDescent="0.3">
      <c r="A818" s="220"/>
      <c r="B818" s="55"/>
      <c r="C818" s="55"/>
      <c r="D818" s="55"/>
      <c r="E818" s="176"/>
      <c r="F818" s="55"/>
      <c r="I818" s="239"/>
      <c r="J818" s="239"/>
      <c r="K818" s="236"/>
      <c r="L818" s="239"/>
      <c r="M818" s="260"/>
    </row>
    <row r="819" spans="1:13" x14ac:dyDescent="0.3">
      <c r="A819" s="220"/>
      <c r="B819" s="55"/>
      <c r="C819" s="55"/>
      <c r="D819" s="55"/>
      <c r="E819" s="176"/>
      <c r="F819" s="55"/>
      <c r="I819" s="239"/>
      <c r="J819" s="239"/>
      <c r="K819" s="236"/>
      <c r="L819" s="239"/>
      <c r="M819" s="236"/>
    </row>
    <row r="820" spans="1:13" x14ac:dyDescent="0.3">
      <c r="A820" s="220"/>
      <c r="B820" s="55"/>
      <c r="C820" s="55"/>
      <c r="D820" s="55"/>
      <c r="E820" s="176"/>
      <c r="F820" s="55"/>
      <c r="I820" s="239"/>
      <c r="J820" s="239"/>
      <c r="K820" s="236"/>
      <c r="L820" s="239"/>
      <c r="M820" s="236"/>
    </row>
    <row r="821" spans="1:13" x14ac:dyDescent="0.3">
      <c r="A821" s="220"/>
      <c r="B821" s="55"/>
      <c r="C821" s="55"/>
      <c r="D821" s="55"/>
      <c r="E821" s="176"/>
      <c r="F821" s="55"/>
      <c r="I821" s="239"/>
      <c r="J821" s="239"/>
      <c r="K821" s="236"/>
      <c r="L821" s="239"/>
      <c r="M821" s="236"/>
    </row>
    <row r="822" spans="1:13" x14ac:dyDescent="0.3">
      <c r="A822" s="220"/>
      <c r="B822" s="55"/>
      <c r="C822" s="55"/>
      <c r="D822" s="55"/>
      <c r="E822" s="176"/>
      <c r="F822" s="55"/>
      <c r="I822" s="239"/>
      <c r="J822" s="239"/>
      <c r="K822" s="236"/>
      <c r="L822" s="239"/>
      <c r="M822" s="236"/>
    </row>
    <row r="823" spans="1:13" x14ac:dyDescent="0.3">
      <c r="A823" s="220"/>
      <c r="B823" s="55"/>
      <c r="C823" s="55"/>
      <c r="D823" s="55"/>
      <c r="E823" s="176"/>
      <c r="F823" s="55"/>
      <c r="I823" s="239"/>
      <c r="J823" s="239"/>
      <c r="K823" s="236"/>
      <c r="L823" s="239"/>
      <c r="M823" s="236"/>
    </row>
    <row r="824" spans="1:13" x14ac:dyDescent="0.3">
      <c r="A824" s="220"/>
      <c r="B824" s="55"/>
      <c r="C824" s="55"/>
      <c r="D824" s="55"/>
      <c r="E824" s="176"/>
      <c r="F824" s="55"/>
      <c r="I824" s="239"/>
      <c r="J824" s="239"/>
      <c r="K824" s="236"/>
      <c r="L824" s="239"/>
      <c r="M824" s="236"/>
    </row>
    <row r="825" spans="1:13" x14ac:dyDescent="0.3">
      <c r="A825" s="220"/>
      <c r="B825" s="55"/>
      <c r="C825" s="55"/>
      <c r="D825" s="55"/>
      <c r="E825" s="176"/>
      <c r="F825" s="55"/>
      <c r="I825" s="239"/>
      <c r="J825" s="239"/>
      <c r="K825" s="236"/>
      <c r="L825" s="239"/>
      <c r="M825" s="236"/>
    </row>
    <row r="826" spans="1:13" x14ac:dyDescent="0.3">
      <c r="A826" s="220"/>
      <c r="B826" s="55"/>
      <c r="C826" s="55"/>
      <c r="D826" s="55"/>
      <c r="E826" s="176"/>
      <c r="F826" s="55"/>
      <c r="I826" s="239"/>
      <c r="J826" s="239"/>
      <c r="K826" s="236"/>
      <c r="L826" s="239"/>
      <c r="M826" s="236"/>
    </row>
    <row r="827" spans="1:13" x14ac:dyDescent="0.3">
      <c r="A827" s="220"/>
      <c r="B827" s="55"/>
      <c r="C827" s="55"/>
      <c r="D827" s="55"/>
      <c r="E827" s="176"/>
      <c r="F827" s="55"/>
      <c r="I827" s="239"/>
      <c r="J827" s="239"/>
      <c r="K827" s="236"/>
      <c r="L827" s="239"/>
      <c r="M827" s="236"/>
    </row>
    <row r="828" spans="1:13" x14ac:dyDescent="0.3">
      <c r="A828" s="220"/>
      <c r="B828" s="55"/>
      <c r="C828" s="55"/>
      <c r="D828" s="55"/>
      <c r="E828" s="176"/>
      <c r="F828" s="55"/>
      <c r="I828" s="239"/>
      <c r="J828" s="239"/>
      <c r="K828" s="236"/>
      <c r="L828" s="239"/>
      <c r="M828" s="236"/>
    </row>
    <row r="829" spans="1:13" x14ac:dyDescent="0.3">
      <c r="A829" s="220"/>
      <c r="B829" s="55"/>
      <c r="C829" s="55"/>
      <c r="D829" s="55"/>
      <c r="E829" s="176"/>
      <c r="F829" s="55"/>
      <c r="I829" s="239"/>
      <c r="J829" s="239"/>
      <c r="K829" s="236"/>
      <c r="L829" s="239"/>
      <c r="M829" s="236"/>
    </row>
    <row r="830" spans="1:13" x14ac:dyDescent="0.3">
      <c r="A830" s="220"/>
      <c r="B830" s="55"/>
      <c r="C830" s="55"/>
      <c r="D830" s="55"/>
      <c r="E830" s="176"/>
      <c r="F830" s="55"/>
      <c r="I830" s="239"/>
      <c r="J830" s="239"/>
      <c r="K830" s="236"/>
      <c r="L830" s="239"/>
      <c r="M830" s="236"/>
    </row>
    <row r="831" spans="1:13" x14ac:dyDescent="0.3">
      <c r="A831" s="220"/>
      <c r="B831" s="55"/>
      <c r="C831" s="55"/>
      <c r="D831" s="55"/>
      <c r="E831" s="176"/>
      <c r="F831" s="55"/>
      <c r="I831" s="239"/>
      <c r="J831" s="239"/>
      <c r="K831" s="236"/>
      <c r="L831" s="239"/>
      <c r="M831" s="236"/>
    </row>
    <row r="832" spans="1:13" x14ac:dyDescent="0.3">
      <c r="A832" s="220"/>
      <c r="B832" s="55"/>
      <c r="C832" s="55"/>
      <c r="D832" s="55"/>
      <c r="E832" s="176"/>
      <c r="F832" s="55"/>
      <c r="I832" s="239"/>
      <c r="J832" s="239"/>
      <c r="K832" s="236"/>
      <c r="L832" s="239"/>
      <c r="M832" s="236"/>
    </row>
    <row r="833" spans="1:13" x14ac:dyDescent="0.3">
      <c r="A833" s="220"/>
      <c r="B833" s="55"/>
      <c r="C833" s="55"/>
      <c r="D833" s="55"/>
      <c r="E833" s="176"/>
      <c r="F833" s="55"/>
      <c r="I833" s="239"/>
      <c r="J833" s="239"/>
      <c r="K833" s="236"/>
      <c r="L833" s="239"/>
      <c r="M833" s="236"/>
    </row>
    <row r="834" spans="1:13" x14ac:dyDescent="0.3">
      <c r="A834" s="220"/>
      <c r="B834" s="55"/>
      <c r="C834" s="55"/>
      <c r="D834" s="55"/>
      <c r="E834" s="176"/>
      <c r="F834" s="55"/>
      <c r="I834" s="239"/>
      <c r="J834" s="239"/>
      <c r="K834" s="236"/>
      <c r="L834" s="239"/>
      <c r="M834" s="236"/>
    </row>
    <row r="835" spans="1:13" x14ac:dyDescent="0.3">
      <c r="A835" s="220"/>
      <c r="B835" s="55"/>
      <c r="C835" s="55"/>
      <c r="D835" s="55"/>
      <c r="E835" s="176"/>
      <c r="F835" s="55"/>
      <c r="I835" s="239"/>
      <c r="J835" s="239"/>
      <c r="K835" s="236"/>
      <c r="L835" s="239"/>
      <c r="M835" s="236"/>
    </row>
    <row r="836" spans="1:13" x14ac:dyDescent="0.3">
      <c r="A836" s="220"/>
      <c r="B836" s="55"/>
      <c r="C836" s="55"/>
      <c r="D836" s="55"/>
      <c r="E836" s="176"/>
      <c r="F836" s="55"/>
      <c r="I836" s="239"/>
      <c r="J836" s="239"/>
      <c r="K836" s="236"/>
      <c r="L836" s="239"/>
      <c r="M836" s="236"/>
    </row>
    <row r="837" spans="1:13" x14ac:dyDescent="0.3">
      <c r="A837" s="220"/>
      <c r="B837" s="55"/>
      <c r="C837" s="55"/>
      <c r="D837" s="55"/>
      <c r="E837" s="176"/>
      <c r="F837" s="55"/>
      <c r="I837" s="239"/>
      <c r="J837" s="239"/>
      <c r="K837" s="236"/>
      <c r="L837" s="239"/>
      <c r="M837" s="236"/>
    </row>
    <row r="838" spans="1:13" x14ac:dyDescent="0.3">
      <c r="A838" s="220"/>
      <c r="B838" s="55"/>
      <c r="C838" s="55"/>
      <c r="D838" s="55"/>
      <c r="E838" s="176"/>
      <c r="F838" s="55"/>
      <c r="I838" s="239"/>
      <c r="J838" s="239"/>
      <c r="K838" s="236"/>
      <c r="L838" s="239"/>
      <c r="M838" s="236"/>
    </row>
    <row r="839" spans="1:13" x14ac:dyDescent="0.3">
      <c r="A839" s="220"/>
      <c r="B839" s="55"/>
      <c r="C839" s="55"/>
      <c r="D839" s="55"/>
      <c r="E839" s="176"/>
      <c r="F839" s="55"/>
      <c r="I839" s="239"/>
      <c r="J839" s="239"/>
      <c r="K839" s="236"/>
      <c r="L839" s="239"/>
      <c r="M839" s="236"/>
    </row>
    <row r="840" spans="1:13" x14ac:dyDescent="0.3">
      <c r="A840" s="220"/>
      <c r="B840" s="55"/>
      <c r="C840" s="55"/>
      <c r="D840" s="55"/>
      <c r="E840" s="176"/>
      <c r="F840" s="55"/>
      <c r="I840" s="239"/>
      <c r="J840" s="239"/>
      <c r="K840" s="236"/>
      <c r="L840" s="239"/>
      <c r="M840" s="236"/>
    </row>
    <row r="841" spans="1:13" x14ac:dyDescent="0.3">
      <c r="A841" s="220"/>
      <c r="B841" s="55"/>
      <c r="C841" s="55"/>
      <c r="D841" s="55"/>
      <c r="E841" s="176"/>
      <c r="F841" s="55"/>
      <c r="I841" s="239"/>
      <c r="J841" s="239"/>
      <c r="K841" s="236"/>
      <c r="L841" s="239"/>
      <c r="M841" s="236"/>
    </row>
    <row r="842" spans="1:13" x14ac:dyDescent="0.3">
      <c r="A842" s="220"/>
      <c r="B842" s="55"/>
      <c r="C842" s="55"/>
      <c r="D842" s="55"/>
      <c r="E842" s="176"/>
      <c r="F842" s="55"/>
      <c r="I842" s="239"/>
      <c r="J842" s="239"/>
      <c r="K842" s="236"/>
      <c r="L842" s="239"/>
      <c r="M842" s="236"/>
    </row>
    <row r="843" spans="1:13" x14ac:dyDescent="0.3">
      <c r="A843" s="220"/>
      <c r="B843" s="55"/>
      <c r="C843" s="55"/>
      <c r="D843" s="55"/>
      <c r="E843" s="176"/>
      <c r="F843" s="55"/>
      <c r="I843" s="239"/>
      <c r="J843" s="239"/>
      <c r="K843" s="236"/>
      <c r="L843" s="239"/>
      <c r="M843" s="236"/>
    </row>
    <row r="844" spans="1:13" x14ac:dyDescent="0.3">
      <c r="A844" s="220"/>
      <c r="B844" s="55"/>
      <c r="C844" s="55"/>
      <c r="D844" s="55"/>
      <c r="E844" s="176"/>
      <c r="F844" s="55"/>
      <c r="I844" s="239"/>
      <c r="J844" s="239"/>
      <c r="K844" s="236"/>
      <c r="L844" s="239"/>
      <c r="M844" s="236"/>
    </row>
    <row r="845" spans="1:13" x14ac:dyDescent="0.3">
      <c r="A845" s="220"/>
      <c r="B845" s="55"/>
      <c r="C845" s="55"/>
      <c r="D845" s="55"/>
      <c r="E845" s="176"/>
      <c r="F845" s="55"/>
      <c r="I845" s="239"/>
      <c r="J845" s="239"/>
      <c r="K845" s="236"/>
      <c r="L845" s="239"/>
      <c r="M845" s="236"/>
    </row>
    <row r="846" spans="1:13" x14ac:dyDescent="0.3">
      <c r="A846" s="220"/>
      <c r="B846" s="55"/>
      <c r="C846" s="55"/>
      <c r="D846" s="55"/>
      <c r="E846" s="176"/>
      <c r="F846" s="55"/>
      <c r="I846" s="239"/>
      <c r="J846" s="239"/>
      <c r="K846" s="236"/>
      <c r="L846" s="239"/>
      <c r="M846" s="236"/>
    </row>
    <row r="847" spans="1:13" x14ac:dyDescent="0.3">
      <c r="A847" s="220"/>
      <c r="B847" s="55"/>
      <c r="C847" s="55"/>
      <c r="D847" s="55"/>
      <c r="E847" s="176"/>
      <c r="F847" s="55"/>
      <c r="I847" s="239"/>
      <c r="J847" s="239"/>
      <c r="K847" s="236"/>
      <c r="L847" s="239"/>
      <c r="M847" s="236"/>
    </row>
    <row r="848" spans="1:13" x14ac:dyDescent="0.3">
      <c r="A848" s="220"/>
      <c r="B848" s="55"/>
      <c r="C848" s="55"/>
      <c r="D848" s="55"/>
      <c r="E848" s="176"/>
      <c r="F848" s="55"/>
      <c r="I848" s="239"/>
      <c r="J848" s="239"/>
      <c r="K848" s="236"/>
      <c r="L848" s="239"/>
      <c r="M848" s="236"/>
    </row>
    <row r="849" spans="1:13" x14ac:dyDescent="0.3">
      <c r="A849" s="220"/>
      <c r="B849" s="55"/>
      <c r="C849" s="55"/>
      <c r="D849" s="55"/>
      <c r="E849" s="176"/>
      <c r="F849" s="55"/>
      <c r="I849" s="239"/>
      <c r="J849" s="239"/>
      <c r="K849" s="236"/>
      <c r="L849" s="239"/>
      <c r="M849" s="236"/>
    </row>
    <row r="850" spans="1:13" x14ac:dyDescent="0.3">
      <c r="A850" s="220"/>
      <c r="B850" s="55"/>
      <c r="C850" s="55"/>
      <c r="D850" s="55"/>
      <c r="E850" s="176"/>
      <c r="F850" s="55"/>
      <c r="I850" s="239"/>
      <c r="J850" s="239"/>
      <c r="K850" s="236"/>
      <c r="L850" s="239"/>
      <c r="M850" s="236"/>
    </row>
    <row r="851" spans="1:13" x14ac:dyDescent="0.3">
      <c r="A851" s="220"/>
      <c r="B851" s="55"/>
      <c r="C851" s="55"/>
      <c r="D851" s="55"/>
      <c r="E851" s="176"/>
      <c r="F851" s="55"/>
      <c r="I851" s="239"/>
      <c r="J851" s="239"/>
      <c r="K851" s="236"/>
      <c r="L851" s="239"/>
      <c r="M851" s="236"/>
    </row>
    <row r="852" spans="1:13" x14ac:dyDescent="0.3">
      <c r="A852" s="220"/>
      <c r="B852" s="55"/>
      <c r="C852" s="55"/>
      <c r="D852" s="55"/>
      <c r="E852" s="176"/>
      <c r="F852" s="55"/>
      <c r="I852" s="239"/>
      <c r="J852" s="239"/>
      <c r="K852" s="236"/>
      <c r="L852" s="239"/>
      <c r="M852" s="236"/>
    </row>
    <row r="853" spans="1:13" x14ac:dyDescent="0.3">
      <c r="A853" s="220"/>
      <c r="B853" s="55"/>
      <c r="C853" s="55"/>
      <c r="D853" s="55"/>
      <c r="E853" s="176"/>
      <c r="F853" s="55"/>
      <c r="I853" s="239"/>
      <c r="J853" s="239"/>
      <c r="K853" s="236"/>
      <c r="L853" s="239"/>
      <c r="M853" s="236"/>
    </row>
    <row r="854" spans="1:13" x14ac:dyDescent="0.3">
      <c r="A854" s="220"/>
      <c r="B854" s="55"/>
      <c r="C854" s="55"/>
      <c r="D854" s="55"/>
      <c r="E854" s="176"/>
      <c r="F854" s="55"/>
      <c r="I854" s="239"/>
      <c r="J854" s="239"/>
      <c r="K854" s="236"/>
      <c r="L854" s="239"/>
      <c r="M854" s="236"/>
    </row>
    <row r="855" spans="1:13" x14ac:dyDescent="0.3">
      <c r="A855" s="220"/>
      <c r="B855" s="55"/>
      <c r="C855" s="55"/>
      <c r="D855" s="55"/>
      <c r="E855" s="176"/>
      <c r="F855" s="55"/>
      <c r="I855" s="239"/>
      <c r="J855" s="239"/>
      <c r="K855" s="236"/>
      <c r="L855" s="242"/>
      <c r="M855" s="236"/>
    </row>
    <row r="856" spans="1:13" x14ac:dyDescent="0.3">
      <c r="A856" s="220"/>
      <c r="B856" s="55"/>
      <c r="C856" s="55"/>
      <c r="D856" s="55"/>
      <c r="E856" s="176"/>
      <c r="F856" s="55"/>
      <c r="I856" s="239"/>
      <c r="J856" s="239"/>
      <c r="K856" s="236"/>
      <c r="L856" s="236"/>
      <c r="M856" s="236"/>
    </row>
    <row r="857" spans="1:13" x14ac:dyDescent="0.3">
      <c r="A857" s="220"/>
      <c r="B857" s="55"/>
      <c r="C857" s="55"/>
      <c r="D857" s="55"/>
      <c r="E857" s="176"/>
      <c r="F857" s="55"/>
      <c r="I857" s="239"/>
      <c r="J857" s="239"/>
      <c r="K857" s="236"/>
      <c r="L857" s="236"/>
      <c r="M857" s="236"/>
    </row>
    <row r="858" spans="1:13" x14ac:dyDescent="0.3">
      <c r="A858" s="220"/>
      <c r="B858" s="55"/>
      <c r="C858" s="55"/>
      <c r="D858" s="55"/>
      <c r="E858" s="176"/>
      <c r="F858" s="55"/>
      <c r="I858" s="239"/>
      <c r="J858" s="239"/>
      <c r="K858" s="236"/>
      <c r="L858" s="236"/>
      <c r="M858" s="236"/>
    </row>
    <row r="859" spans="1:13" x14ac:dyDescent="0.3">
      <c r="A859" s="220"/>
      <c r="B859" s="55"/>
      <c r="C859" s="55"/>
      <c r="D859" s="55"/>
      <c r="E859" s="176"/>
      <c r="F859" s="55"/>
      <c r="I859" s="239"/>
      <c r="J859" s="239"/>
      <c r="K859" s="236"/>
      <c r="L859" s="236"/>
      <c r="M859" s="236"/>
    </row>
    <row r="860" spans="1:13" x14ac:dyDescent="0.3">
      <c r="A860" s="220"/>
      <c r="B860" s="55"/>
      <c r="C860" s="55"/>
      <c r="D860" s="55"/>
      <c r="E860" s="176"/>
      <c r="F860" s="55"/>
      <c r="I860" s="239"/>
      <c r="J860" s="239"/>
      <c r="K860" s="236"/>
      <c r="L860" s="236"/>
      <c r="M860" s="236"/>
    </row>
    <row r="861" spans="1:13" x14ac:dyDescent="0.3">
      <c r="A861" s="220"/>
      <c r="B861" s="55"/>
      <c r="C861" s="55"/>
      <c r="D861" s="55"/>
      <c r="E861" s="176"/>
      <c r="F861" s="55"/>
      <c r="I861" s="239"/>
      <c r="J861" s="239"/>
      <c r="K861" s="236"/>
      <c r="L861" s="236"/>
      <c r="M861" s="236"/>
    </row>
    <row r="862" spans="1:13" x14ac:dyDescent="0.3">
      <c r="A862" s="220"/>
      <c r="B862" s="55"/>
      <c r="C862" s="55"/>
      <c r="D862" s="55"/>
      <c r="E862" s="176"/>
      <c r="F862" s="55"/>
      <c r="I862" s="239"/>
      <c r="J862" s="239"/>
      <c r="K862" s="236"/>
      <c r="L862" s="236"/>
      <c r="M862" s="236"/>
    </row>
    <row r="863" spans="1:13" x14ac:dyDescent="0.3">
      <c r="A863" s="220"/>
      <c r="B863" s="55"/>
      <c r="C863" s="55"/>
      <c r="D863" s="55"/>
      <c r="E863" s="176"/>
      <c r="F863" s="55"/>
      <c r="I863" s="239"/>
      <c r="J863" s="239"/>
      <c r="K863" s="236"/>
      <c r="L863" s="236"/>
      <c r="M863" s="236"/>
    </row>
    <row r="864" spans="1:13" x14ac:dyDescent="0.3">
      <c r="A864" s="220"/>
      <c r="B864" s="55"/>
      <c r="C864" s="55"/>
      <c r="D864" s="55"/>
      <c r="E864" s="176"/>
      <c r="F864" s="55"/>
      <c r="I864" s="239"/>
      <c r="J864" s="239"/>
      <c r="K864" s="236"/>
      <c r="L864" s="236"/>
      <c r="M864" s="236"/>
    </row>
    <row r="865" spans="1:13" x14ac:dyDescent="0.3">
      <c r="A865" s="220"/>
      <c r="B865" s="55"/>
      <c r="C865" s="55"/>
      <c r="D865" s="55"/>
      <c r="E865" s="176"/>
      <c r="F865" s="55"/>
      <c r="I865" s="239"/>
      <c r="J865" s="239"/>
      <c r="K865" s="236"/>
      <c r="L865" s="236"/>
      <c r="M865" s="236"/>
    </row>
    <row r="866" spans="1:13" x14ac:dyDescent="0.3">
      <c r="A866" s="220"/>
      <c r="B866" s="55"/>
      <c r="C866" s="55"/>
      <c r="D866" s="55"/>
      <c r="E866" s="176"/>
      <c r="F866" s="55"/>
      <c r="I866" s="239"/>
      <c r="J866" s="239"/>
      <c r="K866" s="236"/>
      <c r="L866" s="236"/>
      <c r="M866" s="236"/>
    </row>
    <row r="867" spans="1:13" x14ac:dyDescent="0.3">
      <c r="A867" s="220"/>
      <c r="B867" s="55"/>
      <c r="C867" s="55"/>
      <c r="D867" s="55"/>
      <c r="E867" s="176"/>
      <c r="F867" s="55"/>
      <c r="I867" s="239"/>
      <c r="J867" s="239"/>
      <c r="K867" s="236"/>
      <c r="L867" s="236"/>
      <c r="M867" s="236"/>
    </row>
    <row r="868" spans="1:13" x14ac:dyDescent="0.3">
      <c r="A868" s="220"/>
      <c r="B868" s="55"/>
      <c r="C868" s="55"/>
      <c r="D868" s="55"/>
      <c r="E868" s="176"/>
      <c r="F868" s="55"/>
      <c r="I868" s="239"/>
      <c r="J868" s="239"/>
      <c r="K868" s="236"/>
      <c r="L868" s="236"/>
      <c r="M868" s="236"/>
    </row>
    <row r="869" spans="1:13" x14ac:dyDescent="0.3">
      <c r="A869" s="220"/>
      <c r="B869" s="55"/>
      <c r="C869" s="55"/>
      <c r="D869" s="55"/>
      <c r="E869" s="176"/>
      <c r="F869" s="55"/>
      <c r="I869" s="239"/>
      <c r="J869" s="239"/>
      <c r="K869" s="236"/>
      <c r="L869" s="236"/>
      <c r="M869" s="236"/>
    </row>
    <row r="870" spans="1:13" x14ac:dyDescent="0.3">
      <c r="A870" s="220"/>
      <c r="B870" s="55"/>
      <c r="C870" s="55"/>
      <c r="D870" s="55"/>
      <c r="E870" s="176"/>
      <c r="F870" s="55"/>
      <c r="I870" s="239"/>
      <c r="J870" s="239"/>
      <c r="K870" s="236"/>
      <c r="L870" s="236"/>
      <c r="M870" s="236"/>
    </row>
    <row r="871" spans="1:13" x14ac:dyDescent="0.3">
      <c r="A871" s="220"/>
      <c r="B871" s="55"/>
      <c r="C871" s="55"/>
      <c r="D871" s="55"/>
      <c r="E871" s="176"/>
      <c r="F871" s="55"/>
      <c r="I871" s="239"/>
      <c r="J871" s="239"/>
      <c r="K871" s="236"/>
      <c r="L871" s="236"/>
      <c r="M871" s="236"/>
    </row>
    <row r="872" spans="1:13" x14ac:dyDescent="0.3">
      <c r="A872" s="220"/>
      <c r="B872" s="55"/>
      <c r="C872" s="55"/>
      <c r="D872" s="55"/>
      <c r="E872" s="176"/>
      <c r="F872" s="55"/>
      <c r="I872" s="239"/>
      <c r="J872" s="239"/>
      <c r="K872" s="236"/>
      <c r="L872" s="236"/>
      <c r="M872" s="236"/>
    </row>
    <row r="873" spans="1:13" x14ac:dyDescent="0.3">
      <c r="A873" s="220"/>
      <c r="B873" s="55"/>
      <c r="C873" s="55"/>
      <c r="D873" s="55"/>
      <c r="E873" s="176"/>
      <c r="F873" s="55"/>
      <c r="I873" s="239"/>
      <c r="J873" s="239"/>
      <c r="K873" s="236"/>
      <c r="L873" s="236"/>
      <c r="M873" s="236"/>
    </row>
    <row r="874" spans="1:13" x14ac:dyDescent="0.3">
      <c r="A874" s="220"/>
      <c r="B874" s="55"/>
      <c r="C874" s="55"/>
      <c r="D874" s="55"/>
      <c r="E874" s="176"/>
      <c r="F874" s="55"/>
      <c r="I874" s="239"/>
      <c r="J874" s="239"/>
      <c r="K874" s="236"/>
      <c r="L874" s="236"/>
      <c r="M874" s="236"/>
    </row>
    <row r="875" spans="1:13" x14ac:dyDescent="0.3">
      <c r="A875" s="220"/>
      <c r="B875" s="55"/>
      <c r="C875" s="55"/>
      <c r="D875" s="55"/>
      <c r="E875" s="176"/>
      <c r="F875" s="55"/>
      <c r="I875" s="239"/>
      <c r="J875" s="239"/>
      <c r="K875" s="236"/>
      <c r="L875" s="236"/>
      <c r="M875" s="236"/>
    </row>
    <row r="876" spans="1:13" x14ac:dyDescent="0.3">
      <c r="A876" s="220"/>
      <c r="B876" s="55"/>
      <c r="C876" s="55"/>
      <c r="D876" s="55"/>
      <c r="E876" s="176"/>
      <c r="F876" s="55"/>
      <c r="I876" s="239"/>
      <c r="J876" s="239"/>
      <c r="K876" s="236"/>
      <c r="L876" s="236"/>
      <c r="M876" s="236"/>
    </row>
    <row r="877" spans="1:13" x14ac:dyDescent="0.3">
      <c r="A877" s="220"/>
      <c r="B877" s="55"/>
      <c r="C877" s="55"/>
      <c r="D877" s="55"/>
      <c r="E877" s="176"/>
      <c r="F877" s="55"/>
      <c r="I877" s="239"/>
      <c r="J877" s="239"/>
      <c r="K877" s="236"/>
      <c r="L877" s="236"/>
      <c r="M877" s="236"/>
    </row>
    <row r="878" spans="1:13" x14ac:dyDescent="0.3">
      <c r="A878" s="220"/>
      <c r="B878" s="55"/>
      <c r="C878" s="55"/>
      <c r="D878" s="55"/>
      <c r="E878" s="176"/>
      <c r="F878" s="55"/>
      <c r="I878" s="239"/>
      <c r="J878" s="239"/>
      <c r="K878" s="236"/>
      <c r="L878" s="236"/>
      <c r="M878" s="236"/>
    </row>
    <row r="879" spans="1:13" x14ac:dyDescent="0.3">
      <c r="A879" s="220"/>
      <c r="B879" s="55"/>
      <c r="C879" s="55"/>
      <c r="D879" s="55"/>
      <c r="E879" s="176"/>
      <c r="F879" s="55"/>
      <c r="I879" s="239"/>
      <c r="J879" s="239"/>
      <c r="K879" s="236"/>
      <c r="L879" s="236"/>
      <c r="M879" s="236"/>
    </row>
    <row r="880" spans="1:13" x14ac:dyDescent="0.3">
      <c r="A880" s="220"/>
      <c r="B880" s="55"/>
      <c r="C880" s="55"/>
      <c r="D880" s="55"/>
      <c r="E880" s="176"/>
      <c r="F880" s="55"/>
      <c r="I880" s="239"/>
      <c r="J880" s="239"/>
      <c r="K880" s="236"/>
      <c r="L880" s="236"/>
      <c r="M880" s="236"/>
    </row>
    <row r="881" spans="1:13" x14ac:dyDescent="0.3">
      <c r="A881" s="220"/>
      <c r="B881" s="55"/>
      <c r="C881" s="55"/>
      <c r="D881" s="55"/>
      <c r="E881" s="176"/>
      <c r="F881" s="55"/>
      <c r="I881" s="239"/>
      <c r="J881" s="239"/>
      <c r="K881" s="236"/>
      <c r="L881" s="236"/>
      <c r="M881" s="236"/>
    </row>
    <row r="882" spans="1:13" x14ac:dyDescent="0.3">
      <c r="A882" s="220"/>
      <c r="B882" s="55"/>
      <c r="C882" s="55"/>
      <c r="D882" s="55"/>
      <c r="E882" s="176"/>
      <c r="F882" s="55"/>
      <c r="I882" s="239"/>
      <c r="J882" s="239"/>
      <c r="K882" s="236"/>
      <c r="L882" s="236"/>
      <c r="M882" s="236"/>
    </row>
    <row r="883" spans="1:13" x14ac:dyDescent="0.3">
      <c r="A883" s="220"/>
      <c r="B883" s="55"/>
      <c r="C883" s="55"/>
      <c r="D883" s="55"/>
      <c r="E883" s="176"/>
      <c r="F883" s="55"/>
      <c r="I883" s="239"/>
      <c r="J883" s="239"/>
      <c r="K883" s="236"/>
      <c r="L883" s="236"/>
      <c r="M883" s="236"/>
    </row>
    <row r="884" spans="1:13" x14ac:dyDescent="0.3">
      <c r="A884" s="220"/>
      <c r="B884" s="55"/>
      <c r="C884" s="55"/>
      <c r="D884" s="55"/>
      <c r="E884" s="176"/>
      <c r="F884" s="55"/>
      <c r="I884" s="239"/>
      <c r="J884" s="239"/>
      <c r="K884" s="236"/>
      <c r="L884" s="236"/>
      <c r="M884" s="236"/>
    </row>
    <row r="885" spans="1:13" x14ac:dyDescent="0.3">
      <c r="A885" s="220"/>
      <c r="B885" s="55"/>
      <c r="C885" s="55"/>
      <c r="D885" s="55"/>
      <c r="E885" s="176"/>
      <c r="F885" s="55"/>
      <c r="I885" s="239"/>
      <c r="J885" s="239"/>
      <c r="K885" s="236"/>
      <c r="L885" s="236"/>
      <c r="M885" s="236"/>
    </row>
    <row r="886" spans="1:13" x14ac:dyDescent="0.3">
      <c r="A886" s="220"/>
      <c r="B886" s="55"/>
      <c r="C886" s="55"/>
      <c r="D886" s="55"/>
      <c r="E886" s="176"/>
      <c r="F886" s="55"/>
      <c r="I886" s="239"/>
      <c r="J886" s="239"/>
      <c r="K886" s="236"/>
      <c r="L886" s="236"/>
      <c r="M886" s="236"/>
    </row>
    <row r="887" spans="1:13" x14ac:dyDescent="0.3">
      <c r="A887" s="220"/>
      <c r="B887" s="55"/>
      <c r="C887" s="55"/>
      <c r="D887" s="55"/>
      <c r="E887" s="176"/>
      <c r="F887" s="55"/>
      <c r="I887" s="239"/>
      <c r="J887" s="239"/>
      <c r="K887" s="236"/>
      <c r="L887" s="236"/>
      <c r="M887" s="236"/>
    </row>
    <row r="888" spans="1:13" x14ac:dyDescent="0.3">
      <c r="A888" s="220"/>
      <c r="B888" s="55"/>
      <c r="C888" s="55"/>
      <c r="D888" s="55"/>
      <c r="E888" s="176"/>
      <c r="F888" s="55"/>
      <c r="I888" s="239"/>
      <c r="J888" s="239"/>
      <c r="K888" s="236"/>
      <c r="L888" s="236"/>
      <c r="M888" s="236"/>
    </row>
    <row r="889" spans="1:13" x14ac:dyDescent="0.3">
      <c r="A889" s="220"/>
      <c r="B889" s="55"/>
      <c r="C889" s="55"/>
      <c r="D889" s="55"/>
      <c r="E889" s="176"/>
      <c r="F889" s="55"/>
      <c r="I889" s="239"/>
      <c r="J889" s="239"/>
      <c r="K889" s="236"/>
      <c r="L889" s="236"/>
      <c r="M889" s="236"/>
    </row>
    <row r="890" spans="1:13" x14ac:dyDescent="0.3">
      <c r="A890" s="220"/>
      <c r="B890" s="55"/>
      <c r="C890" s="55"/>
      <c r="D890" s="55"/>
      <c r="E890" s="176"/>
      <c r="F890" s="55"/>
      <c r="I890" s="239"/>
      <c r="J890" s="239"/>
      <c r="K890" s="236"/>
      <c r="L890" s="236"/>
      <c r="M890" s="236"/>
    </row>
    <row r="891" spans="1:13" x14ac:dyDescent="0.3">
      <c r="A891" s="220"/>
      <c r="B891" s="55"/>
      <c r="C891" s="55"/>
      <c r="D891" s="55"/>
      <c r="E891" s="176"/>
      <c r="F891" s="55"/>
      <c r="I891" s="239"/>
      <c r="J891" s="239"/>
      <c r="K891" s="236"/>
      <c r="L891" s="236"/>
      <c r="M891" s="236"/>
    </row>
    <row r="892" spans="1:13" x14ac:dyDescent="0.3">
      <c r="A892" s="220"/>
      <c r="B892" s="55"/>
      <c r="C892" s="55"/>
      <c r="D892" s="55"/>
      <c r="E892" s="176"/>
      <c r="F892" s="55"/>
      <c r="I892" s="239"/>
      <c r="J892" s="239"/>
      <c r="K892" s="236"/>
      <c r="L892" s="236"/>
      <c r="M892" s="236"/>
    </row>
    <row r="893" spans="1:13" x14ac:dyDescent="0.3">
      <c r="A893" s="220"/>
      <c r="B893" s="55"/>
      <c r="C893" s="55"/>
      <c r="D893" s="55"/>
      <c r="E893" s="176"/>
      <c r="F893" s="55"/>
      <c r="I893" s="239"/>
      <c r="J893" s="239"/>
      <c r="K893" s="236"/>
      <c r="L893" s="236"/>
      <c r="M893" s="236"/>
    </row>
    <row r="894" spans="1:13" x14ac:dyDescent="0.3">
      <c r="A894" s="220"/>
      <c r="B894" s="55"/>
      <c r="C894" s="55"/>
      <c r="D894" s="55"/>
      <c r="E894" s="176"/>
      <c r="F894" s="55"/>
      <c r="I894" s="239"/>
      <c r="J894" s="239"/>
      <c r="K894" s="236"/>
      <c r="L894" s="236"/>
      <c r="M894" s="236"/>
    </row>
    <row r="895" spans="1:13" x14ac:dyDescent="0.3">
      <c r="A895" s="220"/>
      <c r="B895" s="55"/>
      <c r="C895" s="55"/>
      <c r="D895" s="55"/>
      <c r="E895" s="176"/>
      <c r="F895" s="55"/>
      <c r="I895" s="239"/>
      <c r="J895" s="239"/>
      <c r="K895" s="236"/>
      <c r="L895" s="236"/>
      <c r="M895" s="236"/>
    </row>
    <row r="896" spans="1:13" x14ac:dyDescent="0.3">
      <c r="A896" s="220"/>
      <c r="B896" s="55"/>
      <c r="C896" s="55"/>
      <c r="D896" s="55"/>
      <c r="E896" s="176"/>
      <c r="F896" s="55"/>
      <c r="I896" s="239"/>
      <c r="J896" s="239"/>
      <c r="K896" s="236"/>
      <c r="L896" s="236"/>
      <c r="M896" s="236"/>
    </row>
    <row r="897" spans="1:13" x14ac:dyDescent="0.3">
      <c r="A897" s="220"/>
      <c r="B897" s="55"/>
      <c r="C897" s="55"/>
      <c r="D897" s="55"/>
      <c r="E897" s="176"/>
      <c r="F897" s="55"/>
      <c r="I897" s="239"/>
      <c r="J897" s="239"/>
      <c r="K897" s="236"/>
      <c r="L897" s="236"/>
      <c r="M897" s="236"/>
    </row>
    <row r="898" spans="1:13" x14ac:dyDescent="0.3">
      <c r="A898" s="220"/>
      <c r="B898" s="55"/>
      <c r="C898" s="55"/>
      <c r="D898" s="55"/>
      <c r="E898" s="176"/>
      <c r="F898" s="55"/>
      <c r="I898" s="239"/>
      <c r="J898" s="239"/>
      <c r="K898" s="236"/>
      <c r="L898" s="236"/>
      <c r="M898" s="236"/>
    </row>
    <row r="899" spans="1:13" x14ac:dyDescent="0.3">
      <c r="A899" s="220"/>
      <c r="B899" s="55"/>
      <c r="C899" s="55"/>
      <c r="D899" s="55"/>
      <c r="E899" s="176"/>
      <c r="F899" s="55"/>
      <c r="I899" s="242"/>
      <c r="J899" s="239"/>
      <c r="K899" s="236"/>
      <c r="L899" s="236"/>
      <c r="M899" s="236"/>
    </row>
    <row r="900" spans="1:13" x14ac:dyDescent="0.3">
      <c r="A900" s="220"/>
      <c r="B900" s="55"/>
      <c r="C900" s="55"/>
      <c r="D900" s="55"/>
      <c r="E900" s="176"/>
      <c r="F900" s="55"/>
      <c r="I900" s="236"/>
      <c r="J900" s="239"/>
      <c r="K900" s="236"/>
      <c r="L900" s="236"/>
      <c r="M900" s="236"/>
    </row>
    <row r="901" spans="1:13" x14ac:dyDescent="0.3">
      <c r="A901" s="220"/>
      <c r="B901" s="55"/>
      <c r="C901" s="55"/>
      <c r="D901" s="55"/>
      <c r="E901" s="176"/>
      <c r="F901" s="55"/>
      <c r="I901" s="236"/>
      <c r="J901" s="239"/>
      <c r="K901" s="236"/>
      <c r="L901" s="236"/>
      <c r="M901" s="236"/>
    </row>
    <row r="902" spans="1:13" x14ac:dyDescent="0.3">
      <c r="A902" s="220"/>
      <c r="B902" s="55"/>
      <c r="C902" s="55"/>
      <c r="D902" s="55"/>
      <c r="E902" s="176"/>
      <c r="F902" s="55"/>
      <c r="I902" s="236"/>
      <c r="J902" s="239"/>
      <c r="K902" s="236"/>
      <c r="L902" s="236"/>
      <c r="M902" s="236"/>
    </row>
    <row r="903" spans="1:13" x14ac:dyDescent="0.3">
      <c r="A903" s="220"/>
      <c r="B903" s="55"/>
      <c r="C903" s="55"/>
      <c r="D903" s="55"/>
      <c r="E903" s="176"/>
      <c r="F903" s="55"/>
      <c r="I903" s="236"/>
      <c r="J903" s="239"/>
      <c r="K903" s="236"/>
      <c r="L903" s="236"/>
      <c r="M903" s="236"/>
    </row>
    <row r="904" spans="1:13" x14ac:dyDescent="0.3">
      <c r="A904" s="220"/>
      <c r="B904" s="55"/>
      <c r="C904" s="55"/>
      <c r="D904" s="55"/>
      <c r="E904" s="176"/>
      <c r="F904" s="55"/>
      <c r="I904" s="236"/>
      <c r="J904" s="239"/>
      <c r="K904" s="236"/>
      <c r="L904" s="236"/>
      <c r="M904" s="236"/>
    </row>
    <row r="905" spans="1:13" x14ac:dyDescent="0.3">
      <c r="A905" s="220"/>
      <c r="B905" s="55"/>
      <c r="C905" s="55"/>
      <c r="D905" s="55"/>
      <c r="E905" s="176"/>
      <c r="F905" s="55"/>
      <c r="I905" s="236"/>
      <c r="J905" s="239"/>
      <c r="K905" s="236"/>
      <c r="L905" s="236"/>
      <c r="M905" s="236"/>
    </row>
    <row r="906" spans="1:13" x14ac:dyDescent="0.3">
      <c r="A906" s="220"/>
      <c r="B906" s="55"/>
      <c r="C906" s="55"/>
      <c r="D906" s="55"/>
      <c r="E906" s="176"/>
      <c r="F906" s="55"/>
      <c r="I906" s="236"/>
      <c r="J906" s="239"/>
      <c r="K906" s="236"/>
      <c r="L906" s="236"/>
      <c r="M906" s="236"/>
    </row>
    <row r="907" spans="1:13" x14ac:dyDescent="0.3">
      <c r="A907" s="220"/>
      <c r="B907" s="55"/>
      <c r="C907" s="55"/>
      <c r="D907" s="55"/>
      <c r="E907" s="176"/>
      <c r="F907" s="55"/>
      <c r="I907" s="236"/>
      <c r="J907" s="239"/>
      <c r="K907" s="236"/>
      <c r="L907" s="236"/>
      <c r="M907" s="236"/>
    </row>
    <row r="908" spans="1:13" x14ac:dyDescent="0.3">
      <c r="A908" s="220"/>
      <c r="B908" s="55"/>
      <c r="C908" s="55"/>
      <c r="D908" s="55"/>
      <c r="E908" s="176"/>
      <c r="F908" s="55"/>
      <c r="I908" s="236"/>
      <c r="J908" s="239"/>
      <c r="K908" s="236"/>
      <c r="L908" s="236"/>
      <c r="M908" s="236"/>
    </row>
    <row r="909" spans="1:13" x14ac:dyDescent="0.3">
      <c r="A909" s="220"/>
      <c r="B909" s="55"/>
      <c r="C909" s="55"/>
      <c r="D909" s="55"/>
      <c r="E909" s="176"/>
      <c r="F909" s="55"/>
      <c r="I909" s="236"/>
      <c r="J909" s="239"/>
      <c r="K909" s="236"/>
      <c r="L909" s="236"/>
      <c r="M909" s="236"/>
    </row>
    <row r="910" spans="1:13" x14ac:dyDescent="0.3">
      <c r="A910" s="220"/>
      <c r="B910" s="55"/>
      <c r="C910" s="55"/>
      <c r="D910" s="55"/>
      <c r="E910" s="176"/>
      <c r="F910" s="55"/>
      <c r="I910" s="236"/>
      <c r="J910" s="239"/>
      <c r="K910" s="236"/>
      <c r="L910" s="236"/>
      <c r="M910" s="236"/>
    </row>
    <row r="911" spans="1:13" x14ac:dyDescent="0.3">
      <c r="A911" s="220"/>
      <c r="B911" s="55"/>
      <c r="C911" s="55"/>
      <c r="D911" s="55"/>
      <c r="E911" s="176"/>
      <c r="F911" s="55"/>
      <c r="I911" s="236"/>
      <c r="J911" s="239"/>
      <c r="K911" s="236"/>
      <c r="L911" s="236"/>
      <c r="M911" s="236"/>
    </row>
    <row r="912" spans="1:13" x14ac:dyDescent="0.3">
      <c r="A912" s="220"/>
      <c r="B912" s="55"/>
      <c r="C912" s="55"/>
      <c r="D912" s="55"/>
      <c r="E912" s="176"/>
      <c r="F912" s="55"/>
      <c r="I912" s="236"/>
      <c r="J912" s="239"/>
      <c r="K912" s="236"/>
      <c r="L912" s="236"/>
      <c r="M912" s="236"/>
    </row>
    <row r="913" spans="1:13" x14ac:dyDescent="0.3">
      <c r="A913" s="220"/>
      <c r="B913" s="55"/>
      <c r="C913" s="55"/>
      <c r="D913" s="55"/>
      <c r="E913" s="176"/>
      <c r="F913" s="55"/>
      <c r="I913" s="236"/>
      <c r="J913" s="239"/>
      <c r="K913" s="236"/>
      <c r="L913" s="236"/>
      <c r="M913" s="236"/>
    </row>
    <row r="914" spans="1:13" x14ac:dyDescent="0.3">
      <c r="A914" s="220"/>
      <c r="B914" s="55"/>
      <c r="C914" s="55"/>
      <c r="D914" s="55"/>
      <c r="E914" s="176"/>
      <c r="F914" s="55"/>
      <c r="I914" s="236"/>
      <c r="J914" s="239"/>
      <c r="K914" s="236"/>
      <c r="L914" s="236"/>
      <c r="M914" s="236"/>
    </row>
    <row r="915" spans="1:13" x14ac:dyDescent="0.3">
      <c r="A915" s="220"/>
      <c r="B915" s="55"/>
      <c r="C915" s="55"/>
      <c r="D915" s="55"/>
      <c r="E915" s="176"/>
      <c r="F915" s="55"/>
      <c r="I915" s="236"/>
      <c r="J915" s="239"/>
      <c r="K915" s="236"/>
      <c r="L915" s="236"/>
      <c r="M915" s="236"/>
    </row>
    <row r="916" spans="1:13" x14ac:dyDescent="0.3">
      <c r="A916" s="220"/>
      <c r="B916" s="55"/>
      <c r="C916" s="55"/>
      <c r="D916" s="55"/>
      <c r="E916" s="176"/>
      <c r="F916" s="55"/>
      <c r="I916" s="236"/>
      <c r="J916" s="239"/>
      <c r="K916" s="236"/>
      <c r="L916" s="236"/>
      <c r="M916" s="236"/>
    </row>
    <row r="917" spans="1:13" x14ac:dyDescent="0.3">
      <c r="A917" s="220"/>
      <c r="B917" s="55"/>
      <c r="C917" s="55"/>
      <c r="D917" s="55"/>
      <c r="E917" s="176"/>
      <c r="F917" s="55"/>
      <c r="J917" s="240"/>
    </row>
    <row r="918" spans="1:13" x14ac:dyDescent="0.3">
      <c r="A918" s="220"/>
      <c r="B918" s="55"/>
      <c r="C918" s="55"/>
      <c r="D918" s="55"/>
      <c r="E918" s="176"/>
      <c r="F918" s="55"/>
      <c r="J918" s="240"/>
    </row>
    <row r="919" spans="1:13" x14ac:dyDescent="0.3">
      <c r="A919" s="220"/>
      <c r="B919" s="55"/>
      <c r="C919" s="55"/>
      <c r="D919" s="55"/>
      <c r="E919" s="176"/>
      <c r="F919" s="55"/>
      <c r="J919" s="240"/>
    </row>
    <row r="920" spans="1:13" x14ac:dyDescent="0.3">
      <c r="A920" s="220"/>
      <c r="B920" s="55"/>
      <c r="C920" s="55"/>
      <c r="D920" s="55"/>
      <c r="E920" s="176"/>
      <c r="F920" s="55"/>
      <c r="J920" s="240"/>
    </row>
    <row r="921" spans="1:13" x14ac:dyDescent="0.3">
      <c r="A921" s="220"/>
      <c r="B921" s="55"/>
      <c r="C921" s="55"/>
      <c r="D921" s="55"/>
      <c r="E921" s="176"/>
      <c r="F921" s="55"/>
      <c r="J921" s="240"/>
    </row>
    <row r="922" spans="1:13" x14ac:dyDescent="0.3">
      <c r="A922" s="220"/>
      <c r="B922" s="55"/>
      <c r="C922" s="55"/>
      <c r="D922" s="55"/>
      <c r="E922" s="176"/>
      <c r="F922" s="55"/>
      <c r="J922" s="240"/>
    </row>
    <row r="923" spans="1:13" x14ac:dyDescent="0.3">
      <c r="A923" s="220"/>
      <c r="B923" s="55"/>
      <c r="C923" s="55"/>
      <c r="D923" s="55"/>
      <c r="E923" s="176"/>
      <c r="F923" s="55"/>
      <c r="J923" s="240"/>
    </row>
    <row r="924" spans="1:13" x14ac:dyDescent="0.3">
      <c r="A924" s="220"/>
      <c r="B924" s="55"/>
      <c r="C924" s="55"/>
      <c r="D924" s="55"/>
      <c r="E924" s="176"/>
      <c r="F924" s="55"/>
      <c r="J924" s="240"/>
    </row>
    <row r="925" spans="1:13" x14ac:dyDescent="0.3">
      <c r="A925" s="220"/>
      <c r="B925" s="55"/>
      <c r="C925" s="55"/>
      <c r="D925" s="55"/>
      <c r="E925" s="176"/>
      <c r="F925" s="55"/>
      <c r="J925" s="240"/>
    </row>
    <row r="926" spans="1:13" x14ac:dyDescent="0.3">
      <c r="A926" s="220"/>
      <c r="B926" s="55"/>
      <c r="C926" s="55"/>
      <c r="D926" s="55"/>
      <c r="E926" s="176"/>
      <c r="F926" s="55"/>
      <c r="J926" s="240"/>
    </row>
    <row r="927" spans="1:13" x14ac:dyDescent="0.3">
      <c r="A927" s="220"/>
      <c r="B927" s="55"/>
      <c r="C927" s="55"/>
      <c r="D927" s="55"/>
      <c r="E927" s="176"/>
      <c r="F927" s="55"/>
      <c r="J927" s="240"/>
    </row>
    <row r="928" spans="1:13" x14ac:dyDescent="0.3">
      <c r="A928" s="220"/>
      <c r="B928" s="55"/>
      <c r="C928" s="55"/>
      <c r="D928" s="55"/>
      <c r="E928" s="176"/>
      <c r="F928" s="55"/>
      <c r="J928" s="240"/>
    </row>
    <row r="929" spans="1:10" x14ac:dyDescent="0.3">
      <c r="A929" s="220"/>
      <c r="B929" s="55"/>
      <c r="C929" s="55"/>
      <c r="D929" s="55"/>
      <c r="E929" s="176"/>
      <c r="F929" s="55"/>
      <c r="J929" s="240"/>
    </row>
    <row r="930" spans="1:10" x14ac:dyDescent="0.3">
      <c r="A930" s="220"/>
      <c r="B930" s="55"/>
      <c r="C930" s="55"/>
      <c r="D930" s="55"/>
      <c r="E930" s="176"/>
      <c r="F930" s="55"/>
      <c r="J930" s="240"/>
    </row>
    <row r="931" spans="1:10" x14ac:dyDescent="0.3">
      <c r="A931" s="220"/>
      <c r="B931" s="55"/>
      <c r="C931" s="55"/>
      <c r="D931" s="55"/>
      <c r="E931" s="176"/>
      <c r="F931" s="55"/>
      <c r="J931" s="240"/>
    </row>
    <row r="932" spans="1:10" x14ac:dyDescent="0.3">
      <c r="A932" s="220"/>
      <c r="B932" s="55"/>
      <c r="C932" s="55"/>
      <c r="D932" s="55"/>
      <c r="E932" s="176"/>
      <c r="F932" s="55"/>
      <c r="J932" s="240"/>
    </row>
    <row r="933" spans="1:10" x14ac:dyDescent="0.3">
      <c r="A933" s="220"/>
      <c r="B933" s="55"/>
      <c r="C933" s="55"/>
      <c r="D933" s="55"/>
      <c r="E933" s="176"/>
      <c r="F933" s="55"/>
      <c r="J933" s="241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L10" sqref="L10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30" t="s">
        <v>164</v>
      </c>
      <c r="B1" s="330"/>
      <c r="C1" s="330"/>
      <c r="D1" s="330"/>
      <c r="E1" s="246"/>
    </row>
    <row r="2" spans="1:60" ht="15.6" x14ac:dyDescent="0.3">
      <c r="A2" s="330"/>
      <c r="B2" s="330"/>
      <c r="C2" s="330"/>
      <c r="D2" s="330"/>
      <c r="E2" s="246"/>
      <c r="H2" s="255"/>
    </row>
    <row r="3" spans="1:60" x14ac:dyDescent="0.3">
      <c r="A3" s="30" t="s">
        <v>47</v>
      </c>
      <c r="B3" s="195">
        <v>575</v>
      </c>
    </row>
    <row r="4" spans="1:60" x14ac:dyDescent="0.3">
      <c r="A4" s="27" t="s">
        <v>140</v>
      </c>
      <c r="B4" s="8">
        <v>12</v>
      </c>
      <c r="C4" s="30" t="s">
        <v>158</v>
      </c>
      <c r="D4" s="273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1">
        <f>(B3/(B5*B4))</f>
        <v>5.989583333333333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7.4999999999999997E-3</v>
      </c>
      <c r="E6" s="258"/>
    </row>
    <row r="7" spans="1:60" x14ac:dyDescent="0.3">
      <c r="A7" s="27" t="s">
        <v>142</v>
      </c>
      <c r="B7" s="256">
        <v>0.09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7">
        <v>1</v>
      </c>
      <c r="C8" s="28" t="s">
        <v>159</v>
      </c>
      <c r="D8" s="29">
        <f>B8*B4</f>
        <v>12</v>
      </c>
      <c r="E8" s="10"/>
    </row>
    <row r="9" spans="1:60" x14ac:dyDescent="0.3">
      <c r="H9" s="278" t="s">
        <v>162</v>
      </c>
      <c r="I9" s="280">
        <v>260.91000000000003</v>
      </c>
      <c r="J9" s="279">
        <v>575.04</v>
      </c>
      <c r="L9" t="s">
        <v>157</v>
      </c>
      <c r="M9" s="271">
        <v>51.75</v>
      </c>
      <c r="N9" s="205">
        <v>48.785200000000003</v>
      </c>
      <c r="O9" s="205">
        <v>42.316299999999998</v>
      </c>
      <c r="P9" s="205">
        <v>35.8476</v>
      </c>
      <c r="Q9" s="205">
        <v>29.378900000000002</v>
      </c>
      <c r="R9" s="205">
        <v>22.91</v>
      </c>
      <c r="S9" s="205">
        <v>16.441299999999998</v>
      </c>
      <c r="T9" s="205">
        <v>9.9725000000000001</v>
      </c>
      <c r="U9" s="205">
        <v>3.5038</v>
      </c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5" t="s">
        <v>158</v>
      </c>
      <c r="I10" s="245" t="s">
        <v>157</v>
      </c>
      <c r="J10" s="17" t="s">
        <v>152</v>
      </c>
    </row>
    <row r="11" spans="1:60" x14ac:dyDescent="0.3">
      <c r="A11" s="200">
        <v>0</v>
      </c>
      <c r="B11" s="254">
        <v>0</v>
      </c>
      <c r="C11" s="254">
        <v>0</v>
      </c>
      <c r="D11" s="254">
        <v>0</v>
      </c>
      <c r="E11" s="254">
        <v>0</v>
      </c>
      <c r="F11" s="249">
        <f>B3</f>
        <v>575</v>
      </c>
      <c r="H11" s="5">
        <v>1</v>
      </c>
      <c r="I11" s="271">
        <v>51.75</v>
      </c>
      <c r="J11" s="274">
        <v>0</v>
      </c>
    </row>
    <row r="12" spans="1:60" x14ac:dyDescent="0.3">
      <c r="A12" s="250">
        <v>1</v>
      </c>
      <c r="B12" s="261">
        <v>4.3125</v>
      </c>
      <c r="C12" s="248">
        <v>4.3125</v>
      </c>
      <c r="D12" s="261">
        <v>0</v>
      </c>
      <c r="E12" s="259"/>
      <c r="F12" s="262">
        <v>575</v>
      </c>
      <c r="H12" s="8">
        <v>2</v>
      </c>
      <c r="I12" s="205">
        <v>48.785200000000003</v>
      </c>
      <c r="J12" s="214">
        <v>71.88</v>
      </c>
    </row>
    <row r="13" spans="1:60" x14ac:dyDescent="0.3">
      <c r="A13" s="250">
        <v>2</v>
      </c>
      <c r="B13" s="261">
        <v>4.3125</v>
      </c>
      <c r="C13" s="248">
        <v>4.3125</v>
      </c>
      <c r="D13" s="261">
        <v>0</v>
      </c>
      <c r="E13" s="259"/>
      <c r="F13" s="262">
        <v>575</v>
      </c>
      <c r="H13" s="8">
        <v>3</v>
      </c>
      <c r="I13" s="205">
        <v>42.316299999999998</v>
      </c>
      <c r="J13" s="214">
        <v>71.88</v>
      </c>
    </row>
    <row r="14" spans="1:60" x14ac:dyDescent="0.3">
      <c r="A14" s="250">
        <v>3</v>
      </c>
      <c r="B14" s="261">
        <v>4.3125</v>
      </c>
      <c r="C14" s="248">
        <v>4.3125</v>
      </c>
      <c r="D14" s="261">
        <v>0</v>
      </c>
      <c r="E14" s="259"/>
      <c r="F14" s="262">
        <v>575</v>
      </c>
      <c r="H14" s="8">
        <v>4</v>
      </c>
      <c r="I14" s="205">
        <v>35.8476</v>
      </c>
      <c r="J14" s="214">
        <v>71.88</v>
      </c>
    </row>
    <row r="15" spans="1:60" x14ac:dyDescent="0.3">
      <c r="A15" s="250">
        <v>4</v>
      </c>
      <c r="B15" s="261">
        <v>4.3125</v>
      </c>
      <c r="C15" s="248">
        <v>4.3125</v>
      </c>
      <c r="D15" s="261">
        <v>0</v>
      </c>
      <c r="E15" s="259"/>
      <c r="F15" s="262">
        <v>575</v>
      </c>
      <c r="H15" s="8">
        <v>5</v>
      </c>
      <c r="I15" s="205">
        <v>29.378900000000002</v>
      </c>
      <c r="J15" s="214">
        <v>71.88</v>
      </c>
    </row>
    <row r="16" spans="1:60" x14ac:dyDescent="0.3">
      <c r="A16" s="250">
        <v>5</v>
      </c>
      <c r="B16" s="261">
        <v>4.3125</v>
      </c>
      <c r="C16" s="248">
        <v>4.3125</v>
      </c>
      <c r="D16" s="261">
        <v>0</v>
      </c>
      <c r="E16" s="259"/>
      <c r="F16" s="262">
        <v>575</v>
      </c>
      <c r="H16" s="8">
        <v>6</v>
      </c>
      <c r="I16" s="205">
        <v>22.91</v>
      </c>
      <c r="J16" s="214">
        <v>71.88</v>
      </c>
    </row>
    <row r="17" spans="1:10" x14ac:dyDescent="0.3">
      <c r="A17" s="250">
        <v>6</v>
      </c>
      <c r="B17" s="261">
        <v>4.3125</v>
      </c>
      <c r="C17" s="248">
        <v>4.3125</v>
      </c>
      <c r="D17" s="261">
        <v>0</v>
      </c>
      <c r="E17" s="259"/>
      <c r="F17" s="262">
        <v>575</v>
      </c>
      <c r="H17" s="8">
        <v>7</v>
      </c>
      <c r="I17" s="205">
        <v>16.441299999999998</v>
      </c>
      <c r="J17" s="214">
        <v>71.88</v>
      </c>
    </row>
    <row r="18" spans="1:10" x14ac:dyDescent="0.3">
      <c r="A18" s="250">
        <v>7</v>
      </c>
      <c r="B18" s="261">
        <v>4.3125</v>
      </c>
      <c r="C18" s="248">
        <v>4.3125</v>
      </c>
      <c r="D18" s="261">
        <v>0</v>
      </c>
      <c r="E18" s="259"/>
      <c r="F18" s="262">
        <v>575</v>
      </c>
      <c r="H18" s="8">
        <v>8</v>
      </c>
      <c r="I18" s="205">
        <v>9.9725000000000001</v>
      </c>
      <c r="J18" s="214">
        <v>71.88</v>
      </c>
    </row>
    <row r="19" spans="1:10" x14ac:dyDescent="0.3">
      <c r="A19" s="250">
        <v>8</v>
      </c>
      <c r="B19" s="261">
        <v>4.3125</v>
      </c>
      <c r="C19" s="248">
        <v>4.3125</v>
      </c>
      <c r="D19" s="261">
        <v>0</v>
      </c>
      <c r="E19" s="259"/>
      <c r="F19" s="262">
        <v>575</v>
      </c>
      <c r="H19" s="8">
        <v>9</v>
      </c>
      <c r="I19" s="205">
        <v>3.5038</v>
      </c>
      <c r="J19" s="214">
        <v>71.88</v>
      </c>
    </row>
    <row r="20" spans="1:10" x14ac:dyDescent="0.3">
      <c r="A20" s="250">
        <v>9</v>
      </c>
      <c r="B20" s="261">
        <v>4.3125</v>
      </c>
      <c r="C20" s="248">
        <v>4.3125</v>
      </c>
      <c r="D20" s="261">
        <v>0</v>
      </c>
      <c r="E20" s="259"/>
      <c r="F20" s="262">
        <v>575</v>
      </c>
      <c r="H20" s="8"/>
      <c r="I20" s="205"/>
      <c r="J20" s="214"/>
    </row>
    <row r="21" spans="1:10" x14ac:dyDescent="0.3">
      <c r="A21" s="250">
        <v>10</v>
      </c>
      <c r="B21" s="261">
        <v>4.3125</v>
      </c>
      <c r="C21" s="248">
        <v>4.3125</v>
      </c>
      <c r="D21" s="261">
        <v>0</v>
      </c>
      <c r="E21" s="259"/>
      <c r="F21" s="262">
        <v>575</v>
      </c>
      <c r="H21" s="8"/>
      <c r="I21" s="205"/>
      <c r="J21" s="214"/>
    </row>
    <row r="22" spans="1:10" x14ac:dyDescent="0.3">
      <c r="A22" s="250">
        <v>11</v>
      </c>
      <c r="B22" s="261">
        <v>4.3125</v>
      </c>
      <c r="C22" s="248">
        <v>4.3125</v>
      </c>
      <c r="D22" s="261">
        <v>0</v>
      </c>
      <c r="E22" s="259"/>
      <c r="F22" s="262">
        <v>575</v>
      </c>
      <c r="H22" s="8"/>
      <c r="I22" s="205"/>
      <c r="J22" s="214"/>
    </row>
    <row r="23" spans="1:10" x14ac:dyDescent="0.3">
      <c r="A23" s="250">
        <v>12</v>
      </c>
      <c r="B23" s="261">
        <v>4.3125</v>
      </c>
      <c r="C23" s="248">
        <v>4.3125</v>
      </c>
      <c r="D23" s="261">
        <v>0</v>
      </c>
      <c r="E23" s="259"/>
      <c r="F23" s="262">
        <v>575</v>
      </c>
      <c r="H23" s="8"/>
      <c r="I23" s="205"/>
      <c r="J23" s="214"/>
    </row>
    <row r="24" spans="1:10" x14ac:dyDescent="0.3">
      <c r="A24" s="250">
        <v>13</v>
      </c>
      <c r="B24" s="261">
        <v>10.3</v>
      </c>
      <c r="C24" s="248">
        <v>4.3125</v>
      </c>
      <c r="D24" s="261">
        <v>5.99</v>
      </c>
      <c r="E24" s="259"/>
      <c r="F24" s="262">
        <v>569.01</v>
      </c>
      <c r="H24" s="8"/>
      <c r="I24" s="205"/>
      <c r="J24" s="214"/>
    </row>
    <row r="25" spans="1:10" x14ac:dyDescent="0.3">
      <c r="A25" s="250">
        <v>14</v>
      </c>
      <c r="B25" s="261">
        <v>10.26</v>
      </c>
      <c r="C25" s="248">
        <v>4.2675779999999994</v>
      </c>
      <c r="D25" s="261">
        <v>5.99</v>
      </c>
      <c r="E25" s="259"/>
      <c r="F25" s="262">
        <v>563.02</v>
      </c>
      <c r="H25" s="8"/>
      <c r="I25" s="205"/>
      <c r="J25" s="214"/>
    </row>
    <row r="26" spans="1:10" x14ac:dyDescent="0.3">
      <c r="A26" s="250">
        <v>15</v>
      </c>
      <c r="B26" s="261">
        <v>10.210000000000001</v>
      </c>
      <c r="C26" s="248">
        <v>4.2226559999999997</v>
      </c>
      <c r="D26" s="261">
        <v>5.99</v>
      </c>
      <c r="E26" s="259"/>
      <c r="F26" s="262">
        <v>557.03</v>
      </c>
      <c r="H26" s="8"/>
      <c r="I26" s="205"/>
      <c r="J26" s="214"/>
    </row>
    <row r="27" spans="1:10" x14ac:dyDescent="0.3">
      <c r="A27" s="250">
        <v>16</v>
      </c>
      <c r="B27" s="261">
        <v>10.17</v>
      </c>
      <c r="C27" s="248">
        <v>4.1777340000000001</v>
      </c>
      <c r="D27" s="261">
        <v>5.99</v>
      </c>
      <c r="E27" s="259"/>
      <c r="F27" s="262">
        <v>551.04</v>
      </c>
      <c r="H27" s="8"/>
      <c r="I27" s="205"/>
      <c r="J27" s="214"/>
    </row>
    <row r="28" spans="1:10" x14ac:dyDescent="0.3">
      <c r="A28" s="250">
        <v>17</v>
      </c>
      <c r="B28" s="261">
        <v>10.119999999999999</v>
      </c>
      <c r="C28" s="248">
        <v>4.1328119999999995</v>
      </c>
      <c r="D28" s="261">
        <v>5.99</v>
      </c>
      <c r="E28" s="259"/>
      <c r="F28" s="262">
        <v>545.04999999999995</v>
      </c>
      <c r="H28" s="8"/>
      <c r="I28" s="205"/>
      <c r="J28" s="214"/>
    </row>
    <row r="29" spans="1:10" x14ac:dyDescent="0.3">
      <c r="A29" s="250">
        <v>18</v>
      </c>
      <c r="B29" s="261">
        <v>10.08</v>
      </c>
      <c r="C29" s="248">
        <v>4.0878899999999998</v>
      </c>
      <c r="D29" s="261">
        <v>5.99</v>
      </c>
      <c r="E29" s="259"/>
      <c r="F29" s="262">
        <v>539.05999999999995</v>
      </c>
      <c r="H29" s="8"/>
      <c r="I29" s="205"/>
      <c r="J29" s="201"/>
    </row>
    <row r="30" spans="1:10" x14ac:dyDescent="0.3">
      <c r="A30" s="250">
        <v>19</v>
      </c>
      <c r="B30" s="261">
        <v>10.029999999999999</v>
      </c>
      <c r="C30" s="248">
        <v>4.0429680000000001</v>
      </c>
      <c r="D30" s="261">
        <v>5.99</v>
      </c>
      <c r="E30" s="259"/>
      <c r="F30" s="262">
        <v>533.07000000000005</v>
      </c>
      <c r="H30" s="8"/>
      <c r="I30" s="205"/>
      <c r="J30" s="201"/>
    </row>
    <row r="31" spans="1:10" x14ac:dyDescent="0.3">
      <c r="A31" s="250">
        <v>20</v>
      </c>
      <c r="B31" s="261">
        <v>9.99</v>
      </c>
      <c r="C31" s="248">
        <v>3.998046</v>
      </c>
      <c r="D31" s="261">
        <v>5.99</v>
      </c>
      <c r="E31" s="259"/>
      <c r="F31" s="262">
        <v>527.08000000000004</v>
      </c>
      <c r="H31" s="8"/>
      <c r="I31" s="205"/>
      <c r="J31" s="201"/>
    </row>
    <row r="32" spans="1:10" x14ac:dyDescent="0.3">
      <c r="A32" s="250">
        <v>21</v>
      </c>
      <c r="B32" s="261">
        <v>9.94</v>
      </c>
      <c r="C32" s="248">
        <v>3.9531239999999999</v>
      </c>
      <c r="D32" s="261">
        <v>5.99</v>
      </c>
      <c r="E32" s="259"/>
      <c r="F32" s="262">
        <v>521.09</v>
      </c>
      <c r="H32" s="8"/>
      <c r="I32" s="205"/>
      <c r="J32" s="201"/>
    </row>
    <row r="33" spans="1:10" x14ac:dyDescent="0.3">
      <c r="A33" s="250">
        <v>22</v>
      </c>
      <c r="B33" s="261">
        <v>9.9</v>
      </c>
      <c r="C33" s="248">
        <v>3.9082019999999997</v>
      </c>
      <c r="D33" s="261">
        <v>5.99</v>
      </c>
      <c r="E33" s="259"/>
      <c r="F33" s="262">
        <v>515.1</v>
      </c>
      <c r="H33" s="8"/>
      <c r="I33" s="205"/>
      <c r="J33" s="201"/>
    </row>
    <row r="34" spans="1:10" x14ac:dyDescent="0.3">
      <c r="A34" s="250">
        <v>23</v>
      </c>
      <c r="B34" s="261">
        <v>9.85</v>
      </c>
      <c r="C34" s="248">
        <v>3.86328</v>
      </c>
      <c r="D34" s="261">
        <v>5.99</v>
      </c>
      <c r="E34" s="259"/>
      <c r="F34" s="262">
        <v>509.11</v>
      </c>
      <c r="H34" s="8"/>
      <c r="I34" s="205"/>
      <c r="J34" s="201"/>
    </row>
    <row r="35" spans="1:10" x14ac:dyDescent="0.3">
      <c r="A35" s="250">
        <v>24</v>
      </c>
      <c r="B35" s="261">
        <v>9.81</v>
      </c>
      <c r="C35" s="248">
        <v>3.8183579999999999</v>
      </c>
      <c r="D35" s="261">
        <v>5.99</v>
      </c>
      <c r="E35" s="259"/>
      <c r="F35" s="262">
        <v>503.12</v>
      </c>
      <c r="H35" s="8"/>
      <c r="I35" s="205"/>
      <c r="J35" s="201"/>
    </row>
    <row r="36" spans="1:10" x14ac:dyDescent="0.3">
      <c r="A36" s="250">
        <v>25</v>
      </c>
      <c r="B36" s="261">
        <v>9.76</v>
      </c>
      <c r="C36" s="248">
        <v>3.7734359999999998</v>
      </c>
      <c r="D36" s="261">
        <v>5.99</v>
      </c>
      <c r="E36" s="259"/>
      <c r="F36" s="262">
        <v>497.14</v>
      </c>
      <c r="H36" s="8"/>
      <c r="I36" s="205"/>
      <c r="J36" s="201"/>
    </row>
    <row r="37" spans="1:10" x14ac:dyDescent="0.3">
      <c r="A37" s="250">
        <v>26</v>
      </c>
      <c r="B37" s="261">
        <v>9.7200000000000006</v>
      </c>
      <c r="C37" s="248">
        <v>3.7285139999999997</v>
      </c>
      <c r="D37" s="261">
        <v>5.99</v>
      </c>
      <c r="E37" s="259"/>
      <c r="F37" s="262">
        <v>491.15</v>
      </c>
      <c r="H37" s="8"/>
      <c r="I37" s="205"/>
      <c r="J37" s="201"/>
    </row>
    <row r="38" spans="1:10" x14ac:dyDescent="0.3">
      <c r="A38" s="250">
        <v>27</v>
      </c>
      <c r="B38" s="261">
        <v>9.67</v>
      </c>
      <c r="C38" s="248">
        <v>3.683592</v>
      </c>
      <c r="D38" s="261">
        <v>5.99</v>
      </c>
      <c r="E38" s="259"/>
      <c r="F38" s="262">
        <v>485.16</v>
      </c>
      <c r="H38" s="8"/>
      <c r="I38" s="205"/>
      <c r="J38" s="201"/>
    </row>
    <row r="39" spans="1:10" x14ac:dyDescent="0.3">
      <c r="A39" s="250">
        <v>28</v>
      </c>
      <c r="B39" s="261">
        <v>9.6300000000000008</v>
      </c>
      <c r="C39" s="248">
        <v>3.6386699999999998</v>
      </c>
      <c r="D39" s="261">
        <v>5.99</v>
      </c>
      <c r="E39" s="259"/>
      <c r="F39" s="262">
        <v>479.17</v>
      </c>
      <c r="H39" s="8"/>
      <c r="I39" s="205"/>
      <c r="J39" s="201"/>
    </row>
    <row r="40" spans="1:10" x14ac:dyDescent="0.3">
      <c r="A40" s="250">
        <v>29</v>
      </c>
      <c r="B40" s="261">
        <v>9.58</v>
      </c>
      <c r="C40" s="248">
        <v>3.5937479999999997</v>
      </c>
      <c r="D40" s="261">
        <v>5.99</v>
      </c>
      <c r="E40" s="259"/>
      <c r="F40" s="262">
        <v>473.18</v>
      </c>
      <c r="H40" s="8"/>
      <c r="I40" s="205"/>
      <c r="J40" s="201"/>
    </row>
    <row r="41" spans="1:10" x14ac:dyDescent="0.3">
      <c r="A41" s="250">
        <v>30</v>
      </c>
      <c r="B41" s="261">
        <v>9.5399999999999991</v>
      </c>
      <c r="C41" s="248">
        <v>3.548826</v>
      </c>
      <c r="D41" s="261">
        <v>5.99</v>
      </c>
      <c r="E41" s="259"/>
      <c r="F41" s="262">
        <v>467.19</v>
      </c>
      <c r="H41" s="8"/>
      <c r="I41" s="205"/>
      <c r="J41" s="201"/>
    </row>
    <row r="42" spans="1:10" x14ac:dyDescent="0.3">
      <c r="A42" s="250">
        <v>31</v>
      </c>
      <c r="B42" s="261">
        <v>9.49</v>
      </c>
      <c r="C42" s="248">
        <v>3.5039039999999999</v>
      </c>
      <c r="D42" s="261">
        <v>5.99</v>
      </c>
      <c r="E42" s="259"/>
      <c r="F42" s="262">
        <v>461.2</v>
      </c>
      <c r="H42" s="8"/>
      <c r="I42" s="205"/>
      <c r="J42" s="201"/>
    </row>
    <row r="43" spans="1:10" x14ac:dyDescent="0.3">
      <c r="A43" s="250">
        <v>32</v>
      </c>
      <c r="B43" s="261">
        <v>9.4499999999999993</v>
      </c>
      <c r="C43" s="248">
        <v>3.4589819999999998</v>
      </c>
      <c r="D43" s="261">
        <v>5.99</v>
      </c>
      <c r="E43" s="259"/>
      <c r="F43" s="262">
        <v>455.21</v>
      </c>
      <c r="H43" s="8"/>
      <c r="I43" s="205"/>
      <c r="J43" s="201"/>
    </row>
    <row r="44" spans="1:10" x14ac:dyDescent="0.3">
      <c r="A44" s="250">
        <v>33</v>
      </c>
      <c r="B44" s="261">
        <v>9.4</v>
      </c>
      <c r="C44" s="248">
        <v>3.4140600000000001</v>
      </c>
      <c r="D44" s="261">
        <v>5.99</v>
      </c>
      <c r="E44" s="259"/>
      <c r="F44" s="262">
        <v>449.22</v>
      </c>
      <c r="H44" s="8"/>
      <c r="I44" s="205"/>
      <c r="J44" s="201"/>
    </row>
    <row r="45" spans="1:10" x14ac:dyDescent="0.3">
      <c r="A45" s="250">
        <v>34</v>
      </c>
      <c r="B45" s="261">
        <v>9.36</v>
      </c>
      <c r="C45" s="248">
        <v>3.369138</v>
      </c>
      <c r="D45" s="261">
        <v>5.99</v>
      </c>
      <c r="E45" s="259"/>
      <c r="F45" s="262">
        <v>443.23</v>
      </c>
      <c r="H45" s="8"/>
      <c r="I45" s="205"/>
      <c r="J45" s="201"/>
    </row>
    <row r="46" spans="1:10" x14ac:dyDescent="0.3">
      <c r="A46" s="250">
        <v>35</v>
      </c>
      <c r="B46" s="261">
        <v>9.31</v>
      </c>
      <c r="C46" s="248">
        <v>3.3242159999999998</v>
      </c>
      <c r="D46" s="261">
        <v>5.99</v>
      </c>
      <c r="E46" s="259"/>
      <c r="F46" s="262">
        <v>437.24</v>
      </c>
      <c r="H46" s="8"/>
      <c r="I46" s="205"/>
      <c r="J46" s="201"/>
    </row>
    <row r="47" spans="1:10" x14ac:dyDescent="0.3">
      <c r="A47" s="250">
        <v>36</v>
      </c>
      <c r="B47" s="261">
        <v>9.27</v>
      </c>
      <c r="C47" s="248">
        <v>3.2792939999999997</v>
      </c>
      <c r="D47" s="261">
        <v>5.99</v>
      </c>
      <c r="E47" s="259"/>
      <c r="F47" s="262">
        <v>431.25</v>
      </c>
      <c r="H47" s="8"/>
      <c r="I47" s="205"/>
      <c r="J47" s="201"/>
    </row>
    <row r="48" spans="1:10" x14ac:dyDescent="0.3">
      <c r="A48" s="250">
        <v>37</v>
      </c>
      <c r="B48" s="261">
        <v>9.2200000000000006</v>
      </c>
      <c r="C48" s="248">
        <v>3.234372</v>
      </c>
      <c r="D48" s="261">
        <v>5.99</v>
      </c>
      <c r="E48" s="259"/>
      <c r="F48" s="262">
        <v>425.26</v>
      </c>
      <c r="H48" s="8"/>
      <c r="I48" s="205"/>
      <c r="J48" s="201"/>
    </row>
    <row r="49" spans="1:10" x14ac:dyDescent="0.3">
      <c r="A49" s="250">
        <v>38</v>
      </c>
      <c r="B49" s="261">
        <v>9.18</v>
      </c>
      <c r="C49" s="248">
        <v>3.1894499999999999</v>
      </c>
      <c r="D49" s="261">
        <v>5.99</v>
      </c>
      <c r="E49" s="259"/>
      <c r="F49" s="262">
        <v>419.27</v>
      </c>
      <c r="H49" s="8"/>
      <c r="I49" s="205"/>
      <c r="J49" s="201"/>
    </row>
    <row r="50" spans="1:10" x14ac:dyDescent="0.3">
      <c r="A50" s="250">
        <v>39</v>
      </c>
      <c r="B50" s="261">
        <v>9.1300000000000008</v>
      </c>
      <c r="C50" s="248">
        <v>3.1445279999999998</v>
      </c>
      <c r="D50" s="261">
        <v>5.99</v>
      </c>
      <c r="E50" s="259"/>
      <c r="F50" s="262">
        <v>413.28</v>
      </c>
      <c r="H50" s="8"/>
      <c r="I50" s="205"/>
      <c r="J50" s="201"/>
    </row>
    <row r="51" spans="1:10" x14ac:dyDescent="0.3">
      <c r="A51" s="250">
        <v>40</v>
      </c>
      <c r="B51" s="261">
        <v>9.09</v>
      </c>
      <c r="C51" s="248">
        <v>3.0996060000000001</v>
      </c>
      <c r="D51" s="261">
        <v>5.99</v>
      </c>
      <c r="E51" s="259"/>
      <c r="F51" s="262">
        <v>407.29</v>
      </c>
      <c r="H51" s="8"/>
      <c r="I51" s="205"/>
      <c r="J51" s="201"/>
    </row>
    <row r="52" spans="1:10" x14ac:dyDescent="0.3">
      <c r="A52" s="250">
        <v>41</v>
      </c>
      <c r="B52" s="261">
        <v>9.0399999999999991</v>
      </c>
      <c r="C52" s="248">
        <v>3.054684</v>
      </c>
      <c r="D52" s="261">
        <v>5.99</v>
      </c>
      <c r="E52" s="259"/>
      <c r="F52" s="262">
        <v>401.3</v>
      </c>
      <c r="H52" s="8"/>
      <c r="I52" s="205"/>
      <c r="J52" s="201"/>
    </row>
    <row r="53" spans="1:10" x14ac:dyDescent="0.3">
      <c r="A53" s="250">
        <v>42</v>
      </c>
      <c r="B53" s="261">
        <v>9</v>
      </c>
      <c r="C53" s="248">
        <v>3.0097619999999998</v>
      </c>
      <c r="D53" s="261">
        <v>5.99</v>
      </c>
      <c r="E53" s="259"/>
      <c r="F53" s="262">
        <v>395.31</v>
      </c>
      <c r="G53" s="229"/>
      <c r="H53" s="8"/>
      <c r="I53" s="205"/>
      <c r="J53" s="201"/>
    </row>
    <row r="54" spans="1:10" x14ac:dyDescent="0.3">
      <c r="A54" s="250">
        <v>43</v>
      </c>
      <c r="B54" s="261">
        <v>8.9499999999999993</v>
      </c>
      <c r="C54" s="248">
        <v>2.9648399999999997</v>
      </c>
      <c r="D54" s="261">
        <v>5.99</v>
      </c>
      <c r="E54" s="259"/>
      <c r="F54" s="262">
        <v>389.32</v>
      </c>
      <c r="G54" s="229"/>
      <c r="H54" s="8"/>
      <c r="I54" s="205"/>
      <c r="J54" s="201"/>
    </row>
    <row r="55" spans="1:10" x14ac:dyDescent="0.3">
      <c r="A55" s="250">
        <v>44</v>
      </c>
      <c r="B55" s="261">
        <v>8.91</v>
      </c>
      <c r="C55" s="248">
        <v>2.919918</v>
      </c>
      <c r="D55" s="261">
        <v>5.99</v>
      </c>
      <c r="E55" s="259"/>
      <c r="F55" s="262">
        <v>383.33</v>
      </c>
      <c r="H55" s="8"/>
      <c r="I55" s="205"/>
      <c r="J55" s="201"/>
    </row>
    <row r="56" spans="1:10" x14ac:dyDescent="0.3">
      <c r="A56" s="250">
        <v>45</v>
      </c>
      <c r="B56" s="261">
        <v>8.86</v>
      </c>
      <c r="C56" s="248">
        <v>2.8749959999999999</v>
      </c>
      <c r="D56" s="261">
        <v>5.99</v>
      </c>
      <c r="E56" s="259"/>
      <c r="F56" s="262">
        <v>377.34</v>
      </c>
      <c r="H56" s="8"/>
      <c r="I56" s="205"/>
      <c r="J56" s="201"/>
    </row>
    <row r="57" spans="1:10" x14ac:dyDescent="0.3">
      <c r="A57" s="250">
        <v>46</v>
      </c>
      <c r="B57" s="261">
        <v>8.82</v>
      </c>
      <c r="C57" s="248">
        <v>2.8300739999999998</v>
      </c>
      <c r="D57" s="261">
        <v>5.99</v>
      </c>
      <c r="E57" s="259"/>
      <c r="F57" s="262">
        <v>371.35</v>
      </c>
      <c r="H57" s="8"/>
      <c r="I57" s="205"/>
      <c r="J57" s="201"/>
    </row>
    <row r="58" spans="1:10" x14ac:dyDescent="0.3">
      <c r="A58" s="250">
        <v>47</v>
      </c>
      <c r="B58" s="261">
        <v>8.77</v>
      </c>
      <c r="C58" s="248">
        <v>2.7851520000000001</v>
      </c>
      <c r="D58" s="261">
        <v>5.99</v>
      </c>
      <c r="E58" s="259"/>
      <c r="F58" s="262">
        <v>365.36</v>
      </c>
      <c r="H58" s="8"/>
      <c r="I58" s="205"/>
      <c r="J58" s="201"/>
    </row>
    <row r="59" spans="1:10" x14ac:dyDescent="0.3">
      <c r="A59" s="250">
        <v>48</v>
      </c>
      <c r="B59" s="261">
        <v>8.73</v>
      </c>
      <c r="C59" s="248">
        <v>2.7402299999999999</v>
      </c>
      <c r="D59" s="261">
        <v>5.99</v>
      </c>
      <c r="E59" s="259"/>
      <c r="F59" s="262">
        <v>359.37</v>
      </c>
      <c r="H59" s="8"/>
      <c r="I59" s="205"/>
      <c r="J59" s="201"/>
    </row>
    <row r="60" spans="1:10" x14ac:dyDescent="0.3">
      <c r="A60" s="250">
        <v>49</v>
      </c>
      <c r="B60" s="261">
        <v>8.68</v>
      </c>
      <c r="C60" s="248">
        <v>2.6953079999999998</v>
      </c>
      <c r="D60" s="261">
        <v>5.99</v>
      </c>
      <c r="E60" s="259"/>
      <c r="F60" s="262">
        <v>353.38</v>
      </c>
      <c r="H60" s="8"/>
      <c r="I60" s="205"/>
      <c r="J60" s="201"/>
    </row>
    <row r="61" spans="1:10" x14ac:dyDescent="0.3">
      <c r="A61" s="250">
        <v>50</v>
      </c>
      <c r="B61" s="261">
        <v>8.64</v>
      </c>
      <c r="C61" s="248">
        <v>2.6503859999999997</v>
      </c>
      <c r="D61" s="261">
        <v>5.99</v>
      </c>
      <c r="E61" s="259"/>
      <c r="F61" s="262">
        <v>347.4</v>
      </c>
      <c r="H61" s="8"/>
      <c r="I61" s="205"/>
      <c r="J61" s="201"/>
    </row>
    <row r="62" spans="1:10" x14ac:dyDescent="0.3">
      <c r="A62" s="250">
        <v>51</v>
      </c>
      <c r="B62" s="261">
        <v>8.6</v>
      </c>
      <c r="C62" s="248">
        <v>2.605464</v>
      </c>
      <c r="D62" s="261">
        <v>5.99</v>
      </c>
      <c r="E62" s="259"/>
      <c r="F62" s="262">
        <v>341.41</v>
      </c>
      <c r="H62" s="8"/>
      <c r="I62" s="205"/>
      <c r="J62" s="201"/>
    </row>
    <row r="63" spans="1:10" x14ac:dyDescent="0.3">
      <c r="A63" s="250">
        <v>52</v>
      </c>
      <c r="B63" s="261">
        <v>8.5500000000000007</v>
      </c>
      <c r="C63" s="248">
        <v>2.5605419999999999</v>
      </c>
      <c r="D63" s="261">
        <v>5.99</v>
      </c>
      <c r="E63" s="259"/>
      <c r="F63" s="262">
        <v>335.42</v>
      </c>
      <c r="H63" s="8"/>
      <c r="I63" s="205"/>
      <c r="J63" s="201"/>
    </row>
    <row r="64" spans="1:10" x14ac:dyDescent="0.3">
      <c r="A64" s="250">
        <v>53</v>
      </c>
      <c r="B64" s="261">
        <v>8.51</v>
      </c>
      <c r="C64" s="248">
        <v>2.5156199999999997</v>
      </c>
      <c r="D64" s="261">
        <v>5.99</v>
      </c>
      <c r="E64" s="259"/>
      <c r="F64" s="262">
        <v>329.43</v>
      </c>
      <c r="H64" s="8"/>
      <c r="I64" s="205"/>
      <c r="J64" s="201"/>
    </row>
    <row r="65" spans="1:10" x14ac:dyDescent="0.3">
      <c r="A65" s="250">
        <v>54</v>
      </c>
      <c r="B65" s="261">
        <v>8.4600000000000009</v>
      </c>
      <c r="C65" s="248">
        <v>2.4706980000000001</v>
      </c>
      <c r="D65" s="261">
        <v>5.99</v>
      </c>
      <c r="E65" s="259"/>
      <c r="F65" s="262">
        <v>323.44</v>
      </c>
      <c r="H65" s="8"/>
      <c r="I65" s="205"/>
      <c r="J65" s="201"/>
    </row>
    <row r="66" spans="1:10" x14ac:dyDescent="0.3">
      <c r="A66" s="250">
        <v>55</v>
      </c>
      <c r="B66" s="261">
        <v>8.42</v>
      </c>
      <c r="C66" s="248">
        <v>2.4257759999999999</v>
      </c>
      <c r="D66" s="261">
        <v>5.99</v>
      </c>
      <c r="E66" s="259"/>
      <c r="F66" s="262">
        <v>317.45</v>
      </c>
      <c r="H66" s="8"/>
      <c r="I66" s="205"/>
      <c r="J66" s="201"/>
    </row>
    <row r="67" spans="1:10" x14ac:dyDescent="0.3">
      <c r="A67" s="250">
        <v>56</v>
      </c>
      <c r="B67" s="261">
        <v>8.3699999999999992</v>
      </c>
      <c r="C67" s="248">
        <v>2.3808539999999998</v>
      </c>
      <c r="D67" s="261">
        <v>5.99</v>
      </c>
      <c r="E67" s="259"/>
      <c r="F67" s="262">
        <v>311.45999999999998</v>
      </c>
      <c r="H67" s="8"/>
      <c r="I67" s="205"/>
      <c r="J67" s="201"/>
    </row>
    <row r="68" spans="1:10" x14ac:dyDescent="0.3">
      <c r="A68" s="250">
        <v>57</v>
      </c>
      <c r="B68" s="261">
        <v>8.33</v>
      </c>
      <c r="C68" s="248">
        <v>2.3359320000000001</v>
      </c>
      <c r="D68" s="261">
        <v>5.99</v>
      </c>
      <c r="E68" s="259"/>
      <c r="F68" s="262">
        <v>305.47000000000003</v>
      </c>
      <c r="H68" s="8"/>
      <c r="I68" s="205"/>
      <c r="J68" s="201"/>
    </row>
    <row r="69" spans="1:10" x14ac:dyDescent="0.3">
      <c r="A69" s="250">
        <v>58</v>
      </c>
      <c r="B69" s="261">
        <v>8.2799999999999994</v>
      </c>
      <c r="C69" s="248">
        <v>2.29101</v>
      </c>
      <c r="D69" s="261">
        <v>5.99</v>
      </c>
      <c r="E69" s="259"/>
      <c r="F69" s="262">
        <v>299.48</v>
      </c>
      <c r="H69" s="8"/>
      <c r="I69" s="205"/>
      <c r="J69" s="201"/>
    </row>
    <row r="70" spans="1:10" x14ac:dyDescent="0.3">
      <c r="A70" s="250">
        <v>59</v>
      </c>
      <c r="B70" s="261">
        <v>8.24</v>
      </c>
      <c r="C70" s="248">
        <v>2.2460879999999999</v>
      </c>
      <c r="D70" s="261">
        <v>5.99</v>
      </c>
      <c r="E70" s="259"/>
      <c r="F70" s="262">
        <v>293.49</v>
      </c>
      <c r="H70" s="8"/>
      <c r="I70" s="205"/>
      <c r="J70" s="201"/>
    </row>
    <row r="71" spans="1:10" x14ac:dyDescent="0.3">
      <c r="A71" s="250">
        <v>60</v>
      </c>
      <c r="B71" s="261">
        <v>8.19</v>
      </c>
      <c r="C71" s="248">
        <v>2.2011659999999997</v>
      </c>
      <c r="D71" s="261">
        <v>5.99</v>
      </c>
      <c r="E71" s="259"/>
      <c r="F71" s="262">
        <v>287.5</v>
      </c>
      <c r="H71" s="8"/>
      <c r="I71" s="205"/>
      <c r="J71" s="201"/>
    </row>
    <row r="72" spans="1:10" x14ac:dyDescent="0.3">
      <c r="A72" s="250">
        <v>61</v>
      </c>
      <c r="B72" s="261">
        <v>8.15</v>
      </c>
      <c r="C72" s="248">
        <v>2.156244</v>
      </c>
      <c r="D72" s="261">
        <v>5.99</v>
      </c>
      <c r="E72" s="259"/>
      <c r="F72" s="262">
        <v>281.51</v>
      </c>
      <c r="H72" s="8"/>
      <c r="I72" s="205"/>
      <c r="J72" s="201"/>
    </row>
    <row r="73" spans="1:10" x14ac:dyDescent="0.3">
      <c r="A73" s="250">
        <v>62</v>
      </c>
      <c r="B73" s="261">
        <v>8.1</v>
      </c>
      <c r="C73" s="248">
        <v>2.1113219999999999</v>
      </c>
      <c r="D73" s="261">
        <v>5.99</v>
      </c>
      <c r="E73" s="259"/>
      <c r="F73" s="262">
        <v>275.52</v>
      </c>
      <c r="H73" s="8"/>
      <c r="I73" s="205"/>
      <c r="J73" s="201"/>
    </row>
    <row r="74" spans="1:10" x14ac:dyDescent="0.3">
      <c r="A74" s="250">
        <v>63</v>
      </c>
      <c r="B74" s="261">
        <v>8.06</v>
      </c>
      <c r="C74" s="248">
        <v>2.0663999999999998</v>
      </c>
      <c r="D74" s="261">
        <v>5.99</v>
      </c>
      <c r="E74" s="259"/>
      <c r="F74" s="262">
        <v>269.52999999999997</v>
      </c>
      <c r="H74" s="8"/>
      <c r="I74" s="205"/>
      <c r="J74" s="201"/>
    </row>
    <row r="75" spans="1:10" x14ac:dyDescent="0.3">
      <c r="A75" s="250">
        <v>64</v>
      </c>
      <c r="B75" s="261">
        <v>8.01</v>
      </c>
      <c r="C75" s="248">
        <v>2.0214780000000001</v>
      </c>
      <c r="D75" s="261">
        <v>5.99</v>
      </c>
      <c r="E75" s="259"/>
      <c r="F75" s="262">
        <v>263.54000000000002</v>
      </c>
      <c r="H75" s="8"/>
      <c r="I75" s="205"/>
      <c r="J75" s="201"/>
    </row>
    <row r="76" spans="1:10" x14ac:dyDescent="0.3">
      <c r="A76" s="250">
        <v>65</v>
      </c>
      <c r="B76" s="261">
        <v>7.97</v>
      </c>
      <c r="C76" s="248">
        <v>1.976556</v>
      </c>
      <c r="D76" s="261">
        <v>5.99</v>
      </c>
      <c r="E76" s="259"/>
      <c r="F76" s="262">
        <v>257.55</v>
      </c>
      <c r="H76" s="8"/>
      <c r="I76" s="205"/>
      <c r="J76" s="201"/>
    </row>
    <row r="77" spans="1:10" x14ac:dyDescent="0.3">
      <c r="A77" s="250">
        <v>66</v>
      </c>
      <c r="B77" s="261">
        <v>7.92</v>
      </c>
      <c r="C77" s="248">
        <v>1.9316339999999999</v>
      </c>
      <c r="D77" s="261">
        <v>5.99</v>
      </c>
      <c r="E77" s="259"/>
      <c r="F77" s="262">
        <v>251.56</v>
      </c>
      <c r="H77" s="8"/>
      <c r="I77" s="205"/>
      <c r="J77" s="201"/>
    </row>
    <row r="78" spans="1:10" x14ac:dyDescent="0.3">
      <c r="A78" s="250">
        <v>67</v>
      </c>
      <c r="B78" s="261">
        <v>7.88</v>
      </c>
      <c r="C78" s="248">
        <v>1.8867119999999999</v>
      </c>
      <c r="D78" s="261">
        <v>5.99</v>
      </c>
      <c r="E78" s="259"/>
      <c r="F78" s="262">
        <v>245.57</v>
      </c>
      <c r="H78" s="8"/>
      <c r="I78" s="205"/>
      <c r="J78" s="201"/>
    </row>
    <row r="79" spans="1:10" x14ac:dyDescent="0.3">
      <c r="A79" s="250">
        <v>68</v>
      </c>
      <c r="B79" s="261">
        <v>7.83</v>
      </c>
      <c r="C79" s="248">
        <v>1.84179</v>
      </c>
      <c r="D79" s="261">
        <v>5.99</v>
      </c>
      <c r="E79" s="259"/>
      <c r="F79" s="262">
        <v>239.58</v>
      </c>
      <c r="H79" s="8"/>
      <c r="I79" s="205"/>
      <c r="J79" s="201"/>
    </row>
    <row r="80" spans="1:10" x14ac:dyDescent="0.3">
      <c r="A80" s="250">
        <v>69</v>
      </c>
      <c r="B80" s="261">
        <v>7.79</v>
      </c>
      <c r="C80" s="248">
        <v>1.7968679999999999</v>
      </c>
      <c r="D80" s="261">
        <v>5.99</v>
      </c>
      <c r="E80" s="259"/>
      <c r="F80" s="262">
        <v>233.59</v>
      </c>
      <c r="H80" s="8"/>
      <c r="I80" s="205"/>
      <c r="J80" s="201"/>
    </row>
    <row r="81" spans="1:10" x14ac:dyDescent="0.3">
      <c r="A81" s="250">
        <v>70</v>
      </c>
      <c r="B81" s="261">
        <v>7.74</v>
      </c>
      <c r="C81" s="248">
        <v>1.751946</v>
      </c>
      <c r="D81" s="261">
        <v>5.99</v>
      </c>
      <c r="E81" s="259"/>
      <c r="F81" s="262">
        <v>227.6</v>
      </c>
      <c r="H81" s="8"/>
      <c r="I81" s="205"/>
      <c r="J81" s="201"/>
    </row>
    <row r="82" spans="1:10" x14ac:dyDescent="0.3">
      <c r="A82" s="250">
        <v>71</v>
      </c>
      <c r="B82" s="261">
        <v>7.7</v>
      </c>
      <c r="C82" s="248">
        <v>1.7070239999999999</v>
      </c>
      <c r="D82" s="261">
        <v>5.99</v>
      </c>
      <c r="E82" s="259"/>
      <c r="F82" s="262">
        <v>221.61</v>
      </c>
      <c r="H82" s="8"/>
      <c r="I82" s="205"/>
      <c r="J82" s="201"/>
    </row>
    <row r="83" spans="1:10" x14ac:dyDescent="0.3">
      <c r="A83" s="250">
        <v>72</v>
      </c>
      <c r="B83" s="261">
        <v>7.65</v>
      </c>
      <c r="C83" s="248">
        <v>1.662102</v>
      </c>
      <c r="D83" s="261">
        <v>5.99</v>
      </c>
      <c r="E83" s="259"/>
      <c r="F83" s="262">
        <v>215.62</v>
      </c>
      <c r="H83" s="8"/>
      <c r="I83" s="205"/>
      <c r="J83" s="201"/>
    </row>
    <row r="84" spans="1:10" x14ac:dyDescent="0.3">
      <c r="A84" s="250">
        <v>73</v>
      </c>
      <c r="B84" s="261">
        <v>7.61</v>
      </c>
      <c r="C84" s="248">
        <v>1.6171799999999998</v>
      </c>
      <c r="D84" s="261">
        <v>5.99</v>
      </c>
      <c r="E84" s="259"/>
      <c r="F84" s="262">
        <v>209.63</v>
      </c>
      <c r="H84" s="8"/>
      <c r="I84" s="205"/>
      <c r="J84" s="201"/>
    </row>
    <row r="85" spans="1:10" x14ac:dyDescent="0.3">
      <c r="A85" s="250">
        <v>74</v>
      </c>
      <c r="B85" s="261">
        <v>7.56</v>
      </c>
      <c r="C85" s="248">
        <v>1.5722579999999999</v>
      </c>
      <c r="D85" s="261">
        <v>5.99</v>
      </c>
      <c r="E85" s="259"/>
      <c r="F85" s="262">
        <v>203.64</v>
      </c>
      <c r="H85" s="8"/>
      <c r="I85" s="205"/>
      <c r="J85" s="201"/>
    </row>
    <row r="86" spans="1:10" x14ac:dyDescent="0.3">
      <c r="A86" s="250">
        <v>75</v>
      </c>
      <c r="B86" s="261">
        <v>7.52</v>
      </c>
      <c r="C86" s="248">
        <v>1.527336</v>
      </c>
      <c r="D86" s="261">
        <v>5.99</v>
      </c>
      <c r="E86" s="259"/>
      <c r="F86" s="262">
        <v>197.66</v>
      </c>
      <c r="H86" s="8"/>
      <c r="I86" s="205"/>
      <c r="J86" s="201"/>
    </row>
    <row r="87" spans="1:10" x14ac:dyDescent="0.3">
      <c r="A87" s="250">
        <v>76</v>
      </c>
      <c r="B87" s="261">
        <v>7.47</v>
      </c>
      <c r="C87" s="248">
        <v>1.4824139999999999</v>
      </c>
      <c r="D87" s="261">
        <v>5.99</v>
      </c>
      <c r="E87" s="259"/>
      <c r="F87" s="262">
        <v>191.67</v>
      </c>
      <c r="H87" s="8"/>
      <c r="I87" s="205"/>
      <c r="J87" s="201"/>
    </row>
    <row r="88" spans="1:10" x14ac:dyDescent="0.3">
      <c r="A88" s="250">
        <v>77</v>
      </c>
      <c r="B88" s="261">
        <v>7.43</v>
      </c>
      <c r="C88" s="248">
        <v>1.437492</v>
      </c>
      <c r="D88" s="261">
        <v>5.99</v>
      </c>
      <c r="E88" s="259"/>
      <c r="F88" s="262">
        <v>185.68</v>
      </c>
      <c r="H88" s="8"/>
      <c r="I88" s="205"/>
      <c r="J88" s="201"/>
    </row>
    <row r="89" spans="1:10" x14ac:dyDescent="0.3">
      <c r="A89" s="250">
        <v>78</v>
      </c>
      <c r="B89" s="261">
        <v>7.38</v>
      </c>
      <c r="C89" s="248">
        <v>1.3925699999999999</v>
      </c>
      <c r="D89" s="261">
        <v>5.99</v>
      </c>
      <c r="E89" s="259"/>
      <c r="F89" s="262">
        <v>179.69</v>
      </c>
      <c r="H89" s="8"/>
      <c r="I89" s="205"/>
      <c r="J89" s="201"/>
    </row>
    <row r="90" spans="1:10" x14ac:dyDescent="0.3">
      <c r="A90" s="250">
        <v>79</v>
      </c>
      <c r="B90" s="261">
        <v>7.34</v>
      </c>
      <c r="C90" s="248">
        <v>1.347648</v>
      </c>
      <c r="D90" s="261">
        <v>5.99</v>
      </c>
      <c r="E90" s="259"/>
      <c r="F90" s="262">
        <v>173.7</v>
      </c>
      <c r="H90" s="8"/>
      <c r="I90" s="205"/>
      <c r="J90" s="201"/>
    </row>
    <row r="91" spans="1:10" x14ac:dyDescent="0.3">
      <c r="A91" s="250">
        <v>80</v>
      </c>
      <c r="B91" s="261">
        <v>7.29</v>
      </c>
      <c r="C91" s="248">
        <v>1.3027260000000001</v>
      </c>
      <c r="D91" s="261">
        <v>5.99</v>
      </c>
      <c r="E91" s="259"/>
      <c r="F91" s="262">
        <v>167.71</v>
      </c>
      <c r="H91" s="8"/>
      <c r="I91" s="205"/>
      <c r="J91" s="201"/>
    </row>
    <row r="92" spans="1:10" x14ac:dyDescent="0.3">
      <c r="A92" s="250">
        <v>81</v>
      </c>
      <c r="B92" s="261">
        <v>7.25</v>
      </c>
      <c r="C92" s="248">
        <v>1.2578039999999999</v>
      </c>
      <c r="D92" s="261">
        <v>5.99</v>
      </c>
      <c r="E92" s="259"/>
      <c r="F92" s="262">
        <v>161.72</v>
      </c>
      <c r="H92" s="8"/>
      <c r="I92" s="205"/>
      <c r="J92" s="201"/>
    </row>
    <row r="93" spans="1:10" x14ac:dyDescent="0.3">
      <c r="A93" s="250">
        <v>82</v>
      </c>
      <c r="B93" s="261">
        <v>7.2</v>
      </c>
      <c r="C93" s="248">
        <v>1.212882</v>
      </c>
      <c r="D93" s="261">
        <v>5.99</v>
      </c>
      <c r="E93" s="259"/>
      <c r="F93" s="262">
        <v>155.72999999999999</v>
      </c>
      <c r="H93" s="8"/>
      <c r="I93" s="205"/>
      <c r="J93" s="201"/>
    </row>
    <row r="94" spans="1:10" x14ac:dyDescent="0.3">
      <c r="A94" s="250">
        <v>83</v>
      </c>
      <c r="B94" s="261">
        <v>7.16</v>
      </c>
      <c r="C94" s="248">
        <v>1.1679599999999999</v>
      </c>
      <c r="D94" s="261">
        <v>5.99</v>
      </c>
      <c r="E94" s="259"/>
      <c r="F94" s="262">
        <v>149.74</v>
      </c>
      <c r="H94" s="8"/>
      <c r="I94" s="205"/>
      <c r="J94" s="201"/>
    </row>
    <row r="95" spans="1:10" x14ac:dyDescent="0.3">
      <c r="A95" s="250">
        <v>84</v>
      </c>
      <c r="B95" s="261">
        <v>7.11</v>
      </c>
      <c r="C95" s="248">
        <v>1.123038</v>
      </c>
      <c r="D95" s="261">
        <v>5.99</v>
      </c>
      <c r="E95" s="259"/>
      <c r="F95" s="262">
        <v>143.75</v>
      </c>
      <c r="H95" s="8"/>
      <c r="I95" s="205"/>
      <c r="J95" s="201"/>
    </row>
    <row r="96" spans="1:10" x14ac:dyDescent="0.3">
      <c r="A96" s="250">
        <v>85</v>
      </c>
      <c r="B96" s="261">
        <v>7.07</v>
      </c>
      <c r="C96" s="248">
        <v>1.0781159999999999</v>
      </c>
      <c r="D96" s="261">
        <v>5.99</v>
      </c>
      <c r="E96" s="259"/>
      <c r="F96" s="262">
        <v>137.76</v>
      </c>
      <c r="H96" s="8"/>
      <c r="I96" s="205"/>
      <c r="J96" s="201"/>
    </row>
    <row r="97" spans="1:10" x14ac:dyDescent="0.3">
      <c r="A97" s="250">
        <v>86</v>
      </c>
      <c r="B97" s="261">
        <v>7.02</v>
      </c>
      <c r="C97" s="248">
        <v>1.0331939999999999</v>
      </c>
      <c r="D97" s="261">
        <v>5.99</v>
      </c>
      <c r="E97" s="259"/>
      <c r="F97" s="262">
        <v>131.77000000000001</v>
      </c>
      <c r="H97" s="8"/>
      <c r="I97" s="205"/>
      <c r="J97" s="201"/>
    </row>
    <row r="98" spans="1:10" x14ac:dyDescent="0.3">
      <c r="A98" s="250">
        <v>87</v>
      </c>
      <c r="B98" s="261">
        <v>6.98</v>
      </c>
      <c r="C98" s="248">
        <v>0.98827199999999993</v>
      </c>
      <c r="D98" s="261">
        <v>5.99</v>
      </c>
      <c r="E98" s="259"/>
      <c r="F98" s="262">
        <v>125.78</v>
      </c>
      <c r="H98" s="8"/>
      <c r="I98" s="205"/>
      <c r="J98" s="201"/>
    </row>
    <row r="99" spans="1:10" x14ac:dyDescent="0.3">
      <c r="A99" s="250">
        <v>88</v>
      </c>
      <c r="B99" s="261">
        <v>6.93</v>
      </c>
      <c r="C99" s="248">
        <v>0.94334999999999991</v>
      </c>
      <c r="D99" s="261">
        <v>5.99</v>
      </c>
      <c r="E99" s="259"/>
      <c r="F99" s="262">
        <v>119.79</v>
      </c>
      <c r="H99" s="8"/>
      <c r="I99" s="205"/>
      <c r="J99" s="201"/>
    </row>
    <row r="100" spans="1:10" x14ac:dyDescent="0.3">
      <c r="A100" s="250">
        <v>89</v>
      </c>
      <c r="B100" s="261">
        <v>6.89</v>
      </c>
      <c r="C100" s="248">
        <v>0.898428</v>
      </c>
      <c r="D100" s="261">
        <v>5.99</v>
      </c>
      <c r="E100" s="259"/>
      <c r="F100" s="262">
        <v>113.8</v>
      </c>
      <c r="H100" s="8"/>
      <c r="I100" s="205"/>
      <c r="J100" s="201"/>
    </row>
    <row r="101" spans="1:10" x14ac:dyDescent="0.3">
      <c r="A101" s="250">
        <v>90</v>
      </c>
      <c r="B101" s="261">
        <v>6.84</v>
      </c>
      <c r="C101" s="248">
        <v>0.85350599999999999</v>
      </c>
      <c r="D101" s="261">
        <v>5.99</v>
      </c>
      <c r="E101" s="259"/>
      <c r="F101" s="262">
        <v>107.81</v>
      </c>
      <c r="H101" s="8"/>
      <c r="I101" s="205"/>
      <c r="J101" s="201"/>
    </row>
    <row r="102" spans="1:10" x14ac:dyDescent="0.3">
      <c r="A102" s="250">
        <v>91</v>
      </c>
      <c r="B102" s="261">
        <v>6.8</v>
      </c>
      <c r="C102" s="248">
        <v>0.80858399999999997</v>
      </c>
      <c r="D102" s="261">
        <v>5.99</v>
      </c>
      <c r="E102" s="259"/>
      <c r="F102" s="262">
        <v>101.82</v>
      </c>
      <c r="H102" s="8"/>
      <c r="I102" s="205"/>
      <c r="J102" s="201"/>
    </row>
    <row r="103" spans="1:10" x14ac:dyDescent="0.3">
      <c r="A103" s="250">
        <v>92</v>
      </c>
      <c r="B103" s="261">
        <v>6.75</v>
      </c>
      <c r="C103" s="248">
        <v>0.76366199999999995</v>
      </c>
      <c r="D103" s="261">
        <v>5.99</v>
      </c>
      <c r="E103" s="259"/>
      <c r="F103" s="262">
        <v>95.83</v>
      </c>
      <c r="H103" s="8"/>
      <c r="I103" s="205"/>
      <c r="J103" s="201"/>
    </row>
    <row r="104" spans="1:10" x14ac:dyDescent="0.3">
      <c r="A104" s="250">
        <v>93</v>
      </c>
      <c r="B104" s="261">
        <v>6.71</v>
      </c>
      <c r="C104" s="248">
        <v>0.71873999999999993</v>
      </c>
      <c r="D104" s="261">
        <v>5.99</v>
      </c>
      <c r="E104" s="259"/>
      <c r="F104" s="262">
        <v>89.84</v>
      </c>
      <c r="H104" s="8"/>
      <c r="I104" s="205"/>
      <c r="J104" s="201"/>
    </row>
    <row r="105" spans="1:10" x14ac:dyDescent="0.3">
      <c r="A105" s="250">
        <v>94</v>
      </c>
      <c r="B105" s="261">
        <v>6.66</v>
      </c>
      <c r="C105" s="248">
        <v>0.67381800000000003</v>
      </c>
      <c r="D105" s="261">
        <v>5.99</v>
      </c>
      <c r="E105" s="259"/>
      <c r="F105" s="262">
        <v>83.85</v>
      </c>
      <c r="H105" s="8"/>
      <c r="I105" s="205"/>
      <c r="J105" s="201"/>
    </row>
    <row r="106" spans="1:10" x14ac:dyDescent="0.3">
      <c r="A106" s="250">
        <v>95</v>
      </c>
      <c r="B106" s="261">
        <v>6.62</v>
      </c>
      <c r="C106" s="248">
        <v>0.62889600000000001</v>
      </c>
      <c r="D106" s="261">
        <v>5.99</v>
      </c>
      <c r="E106" s="259"/>
      <c r="F106" s="262">
        <v>77.86</v>
      </c>
      <c r="H106" s="8"/>
      <c r="I106" s="205"/>
      <c r="J106" s="201"/>
    </row>
    <row r="107" spans="1:10" x14ac:dyDescent="0.3">
      <c r="A107" s="250">
        <v>96</v>
      </c>
      <c r="B107" s="261">
        <v>6.57</v>
      </c>
      <c r="C107" s="248">
        <v>0.58397399999999999</v>
      </c>
      <c r="D107" s="261">
        <v>5.99</v>
      </c>
      <c r="E107" s="259"/>
      <c r="F107" s="262">
        <v>71.87</v>
      </c>
      <c r="H107" s="8"/>
      <c r="I107" s="205"/>
      <c r="J107" s="201"/>
    </row>
    <row r="108" spans="1:10" x14ac:dyDescent="0.3">
      <c r="A108" s="250">
        <v>97</v>
      </c>
      <c r="B108" s="261">
        <v>6.53</v>
      </c>
      <c r="C108" s="248">
        <v>0.53905199999999998</v>
      </c>
      <c r="D108" s="261">
        <v>5.99</v>
      </c>
      <c r="E108" s="259"/>
      <c r="F108" s="262">
        <v>65.88</v>
      </c>
      <c r="H108" s="8"/>
      <c r="I108" s="205"/>
      <c r="J108" s="201"/>
    </row>
    <row r="109" spans="1:10" x14ac:dyDescent="0.3">
      <c r="A109" s="250">
        <v>98</v>
      </c>
      <c r="B109" s="261">
        <v>6.48</v>
      </c>
      <c r="C109" s="248">
        <v>0.49412999999999996</v>
      </c>
      <c r="D109" s="261">
        <v>5.99</v>
      </c>
      <c r="E109" s="259"/>
      <c r="F109" s="262">
        <v>59.89</v>
      </c>
      <c r="H109" s="8"/>
      <c r="I109" s="205"/>
      <c r="J109" s="201"/>
    </row>
    <row r="110" spans="1:10" x14ac:dyDescent="0.3">
      <c r="A110" s="250">
        <v>99</v>
      </c>
      <c r="B110" s="261">
        <v>6.44</v>
      </c>
      <c r="C110" s="248">
        <v>0.449208</v>
      </c>
      <c r="D110" s="261">
        <v>5.99</v>
      </c>
      <c r="E110" s="259"/>
      <c r="F110" s="262">
        <v>53.9</v>
      </c>
      <c r="H110" s="8"/>
      <c r="I110" s="205"/>
      <c r="J110" s="201"/>
    </row>
    <row r="111" spans="1:10" x14ac:dyDescent="0.3">
      <c r="A111" s="250">
        <v>100</v>
      </c>
      <c r="B111" s="261">
        <v>6.39</v>
      </c>
      <c r="C111" s="248">
        <v>0.40428599999999998</v>
      </c>
      <c r="D111" s="261">
        <v>5.99</v>
      </c>
      <c r="E111" s="259"/>
      <c r="F111" s="262">
        <v>47.92</v>
      </c>
      <c r="H111" s="8"/>
      <c r="I111" s="205"/>
      <c r="J111" s="201"/>
    </row>
    <row r="112" spans="1:10" x14ac:dyDescent="0.3">
      <c r="A112" s="250">
        <v>101</v>
      </c>
      <c r="B112" s="261">
        <v>6.35</v>
      </c>
      <c r="C112" s="248">
        <v>0.35936399999999996</v>
      </c>
      <c r="D112" s="261">
        <v>5.99</v>
      </c>
      <c r="E112" s="259"/>
      <c r="F112" s="262">
        <v>41.93</v>
      </c>
      <c r="H112" s="8"/>
      <c r="I112" s="205"/>
      <c r="J112" s="201"/>
    </row>
    <row r="113" spans="1:10" x14ac:dyDescent="0.3">
      <c r="A113" s="250">
        <v>102</v>
      </c>
      <c r="B113" s="261">
        <v>6.3</v>
      </c>
      <c r="C113" s="248">
        <v>0.314442</v>
      </c>
      <c r="D113" s="261">
        <v>5.99</v>
      </c>
      <c r="E113" s="259"/>
      <c r="F113" s="262">
        <v>35.94</v>
      </c>
      <c r="H113" s="8"/>
      <c r="I113" s="205"/>
      <c r="J113" s="201"/>
    </row>
    <row r="114" spans="1:10" x14ac:dyDescent="0.3">
      <c r="A114" s="250">
        <v>103</v>
      </c>
      <c r="B114" s="261">
        <v>6.26</v>
      </c>
      <c r="C114" s="248">
        <v>0.26951999999999998</v>
      </c>
      <c r="D114" s="261">
        <v>5.99</v>
      </c>
      <c r="E114" s="259"/>
      <c r="F114" s="262">
        <v>29.95</v>
      </c>
      <c r="H114" s="8"/>
      <c r="I114" s="205"/>
      <c r="J114" s="201"/>
    </row>
    <row r="115" spans="1:10" x14ac:dyDescent="0.3">
      <c r="A115" s="250">
        <v>104</v>
      </c>
      <c r="B115" s="261">
        <v>6.21</v>
      </c>
      <c r="C115" s="248">
        <v>0.22459799999999999</v>
      </c>
      <c r="D115" s="261">
        <v>5.99</v>
      </c>
      <c r="E115" s="259"/>
      <c r="F115" s="262">
        <v>23.96</v>
      </c>
      <c r="H115" s="8"/>
      <c r="I115" s="205"/>
      <c r="J115" s="201"/>
    </row>
    <row r="116" spans="1:10" x14ac:dyDescent="0.3">
      <c r="A116" s="250">
        <v>105</v>
      </c>
      <c r="B116" s="261">
        <v>6.17</v>
      </c>
      <c r="C116" s="248">
        <v>0.179676</v>
      </c>
      <c r="D116" s="261">
        <v>5.99</v>
      </c>
      <c r="E116" s="259"/>
      <c r="F116" s="262">
        <v>17.97</v>
      </c>
      <c r="H116" s="8"/>
      <c r="I116" s="205"/>
      <c r="J116" s="201"/>
    </row>
    <row r="117" spans="1:10" x14ac:dyDescent="0.3">
      <c r="A117" s="250">
        <v>106</v>
      </c>
      <c r="B117" s="261">
        <v>6.12</v>
      </c>
      <c r="C117" s="248">
        <v>0.13475399999999998</v>
      </c>
      <c r="D117" s="261">
        <v>5.99</v>
      </c>
      <c r="E117" s="259"/>
      <c r="F117" s="262">
        <v>11.98</v>
      </c>
      <c r="H117" s="8"/>
      <c r="I117" s="205"/>
      <c r="J117" s="201"/>
    </row>
    <row r="118" spans="1:10" x14ac:dyDescent="0.3">
      <c r="A118" s="250">
        <v>107</v>
      </c>
      <c r="B118" s="261">
        <v>6.08</v>
      </c>
      <c r="C118" s="248">
        <v>8.9831999999999995E-2</v>
      </c>
      <c r="D118" s="261">
        <v>5.99</v>
      </c>
      <c r="E118" s="259"/>
      <c r="F118" s="262">
        <v>5.99</v>
      </c>
      <c r="H118" s="8"/>
      <c r="I118" s="205"/>
      <c r="J118" s="201"/>
    </row>
    <row r="119" spans="1:10" x14ac:dyDescent="0.3">
      <c r="A119" s="250">
        <v>108</v>
      </c>
      <c r="B119" s="261">
        <v>6.03</v>
      </c>
      <c r="C119" s="248">
        <v>4.4909999999999999E-2</v>
      </c>
      <c r="D119" s="261">
        <v>5.99</v>
      </c>
      <c r="E119" s="259"/>
      <c r="F119" s="262">
        <v>0</v>
      </c>
      <c r="H119" s="8"/>
      <c r="I119" s="205"/>
      <c r="J119" s="201"/>
    </row>
    <row r="120" spans="1:10" x14ac:dyDescent="0.3">
      <c r="A120" s="250"/>
      <c r="B120" s="261"/>
      <c r="C120" s="248"/>
      <c r="D120" s="261"/>
      <c r="E120" s="259"/>
      <c r="F120" s="262"/>
      <c r="H120" s="8"/>
      <c r="I120" s="205"/>
      <c r="J120" s="201"/>
    </row>
    <row r="121" spans="1:10" x14ac:dyDescent="0.3">
      <c r="A121" s="250"/>
      <c r="B121" s="261"/>
      <c r="C121" s="248"/>
      <c r="D121" s="261"/>
      <c r="E121" s="259"/>
      <c r="F121" s="262"/>
      <c r="H121" s="8"/>
      <c r="I121" s="205"/>
      <c r="J121" s="201"/>
    </row>
    <row r="122" spans="1:10" x14ac:dyDescent="0.3">
      <c r="A122" s="250"/>
      <c r="B122" s="261"/>
      <c r="C122" s="248"/>
      <c r="D122" s="261"/>
      <c r="E122" s="259"/>
      <c r="F122" s="262"/>
      <c r="H122" s="8"/>
      <c r="I122" s="205"/>
      <c r="J122" s="201"/>
    </row>
    <row r="123" spans="1:10" x14ac:dyDescent="0.3">
      <c r="A123" s="250"/>
      <c r="B123" s="261"/>
      <c r="C123" s="248"/>
      <c r="D123" s="261"/>
      <c r="E123" s="259"/>
      <c r="F123" s="262"/>
      <c r="H123" s="8"/>
      <c r="I123" s="205"/>
      <c r="J123" s="201"/>
    </row>
    <row r="124" spans="1:10" x14ac:dyDescent="0.3">
      <c r="A124" s="250"/>
      <c r="B124" s="261"/>
      <c r="C124" s="248"/>
      <c r="D124" s="261"/>
      <c r="E124" s="259"/>
      <c r="F124" s="262"/>
      <c r="H124" s="8"/>
      <c r="I124" s="205"/>
      <c r="J124" s="201"/>
    </row>
    <row r="125" spans="1:10" x14ac:dyDescent="0.3">
      <c r="A125" s="250"/>
      <c r="B125" s="261"/>
      <c r="C125" s="248"/>
      <c r="D125" s="261"/>
      <c r="E125" s="259"/>
      <c r="F125" s="262"/>
      <c r="H125" s="8"/>
      <c r="I125" s="205"/>
      <c r="J125" s="201"/>
    </row>
    <row r="126" spans="1:10" x14ac:dyDescent="0.3">
      <c r="A126" s="250"/>
      <c r="B126" s="261"/>
      <c r="C126" s="248"/>
      <c r="D126" s="261"/>
      <c r="E126" s="259"/>
      <c r="F126" s="262"/>
      <c r="H126" s="8"/>
      <c r="I126" s="205"/>
      <c r="J126" s="201"/>
    </row>
    <row r="127" spans="1:10" x14ac:dyDescent="0.3">
      <c r="A127" s="250"/>
      <c r="B127" s="261"/>
      <c r="C127" s="248"/>
      <c r="D127" s="261"/>
      <c r="E127" s="259"/>
      <c r="F127" s="262"/>
      <c r="H127" s="8"/>
      <c r="I127" s="205"/>
      <c r="J127" s="201"/>
    </row>
    <row r="128" spans="1:10" x14ac:dyDescent="0.3">
      <c r="A128" s="250"/>
      <c r="B128" s="261"/>
      <c r="C128" s="248"/>
      <c r="D128" s="261"/>
      <c r="E128" s="259"/>
      <c r="F128" s="262"/>
      <c r="H128" s="8"/>
      <c r="I128" s="205"/>
      <c r="J128" s="201"/>
    </row>
    <row r="129" spans="1:10" x14ac:dyDescent="0.3">
      <c r="A129" s="250"/>
      <c r="B129" s="261"/>
      <c r="C129" s="248"/>
      <c r="D129" s="261"/>
      <c r="E129" s="259"/>
      <c r="F129" s="262"/>
      <c r="H129" s="8"/>
      <c r="I129" s="205"/>
      <c r="J129" s="201"/>
    </row>
    <row r="130" spans="1:10" x14ac:dyDescent="0.3">
      <c r="A130" s="250"/>
      <c r="B130" s="261"/>
      <c r="C130" s="248"/>
      <c r="D130" s="261"/>
      <c r="E130" s="259"/>
      <c r="F130" s="262"/>
      <c r="H130" s="8"/>
      <c r="I130" s="205"/>
      <c r="J130" s="201"/>
    </row>
    <row r="131" spans="1:10" x14ac:dyDescent="0.3">
      <c r="A131" s="250"/>
      <c r="B131" s="261"/>
      <c r="C131" s="248"/>
      <c r="D131" s="261"/>
      <c r="E131" s="259"/>
      <c r="F131" s="262"/>
      <c r="H131" s="8"/>
      <c r="I131" s="205"/>
      <c r="J131" s="201"/>
    </row>
    <row r="132" spans="1:10" x14ac:dyDescent="0.3">
      <c r="A132" s="8"/>
      <c r="B132" s="263"/>
      <c r="C132" s="10"/>
      <c r="D132" s="263"/>
      <c r="E132" s="205"/>
      <c r="F132" s="264"/>
      <c r="H132" s="8"/>
      <c r="I132" s="205"/>
      <c r="J132" s="201"/>
    </row>
    <row r="133" spans="1:10" x14ac:dyDescent="0.3">
      <c r="A133" s="8"/>
      <c r="B133" s="263"/>
      <c r="C133" s="10"/>
      <c r="D133" s="263"/>
      <c r="E133" s="205"/>
      <c r="F133" s="264"/>
      <c r="H133" s="8"/>
      <c r="I133" s="205"/>
      <c r="J133" s="201"/>
    </row>
    <row r="134" spans="1:10" x14ac:dyDescent="0.3">
      <c r="A134" s="8"/>
      <c r="B134" s="263"/>
      <c r="C134" s="10"/>
      <c r="D134" s="263"/>
      <c r="E134" s="205"/>
      <c r="F134" s="264"/>
      <c r="H134" s="8"/>
      <c r="I134" s="205"/>
      <c r="J134" s="201"/>
    </row>
    <row r="135" spans="1:10" x14ac:dyDescent="0.3">
      <c r="A135" s="8"/>
      <c r="B135" s="263"/>
      <c r="C135" s="10"/>
      <c r="D135" s="263"/>
      <c r="E135" s="205"/>
      <c r="F135" s="264"/>
      <c r="H135" s="8"/>
      <c r="I135" s="205"/>
      <c r="J135" s="201"/>
    </row>
    <row r="136" spans="1:10" x14ac:dyDescent="0.3">
      <c r="A136" s="8"/>
      <c r="B136" s="263"/>
      <c r="C136" s="10"/>
      <c r="D136" s="263"/>
      <c r="E136" s="205"/>
      <c r="F136" s="264"/>
      <c r="H136" s="8"/>
      <c r="I136" s="205"/>
      <c r="J136" s="201"/>
    </row>
    <row r="137" spans="1:10" x14ac:dyDescent="0.3">
      <c r="A137" s="8"/>
      <c r="B137" s="263"/>
      <c r="C137" s="10"/>
      <c r="D137" s="263"/>
      <c r="E137" s="205"/>
      <c r="F137" s="264"/>
      <c r="H137" s="8"/>
      <c r="I137" s="205"/>
      <c r="J137" s="201"/>
    </row>
    <row r="138" spans="1:10" x14ac:dyDescent="0.3">
      <c r="A138" s="8"/>
      <c r="B138" s="263"/>
      <c r="C138" s="10"/>
      <c r="D138" s="263"/>
      <c r="E138" s="205"/>
      <c r="F138" s="264"/>
      <c r="H138" s="8"/>
      <c r="I138" s="205"/>
      <c r="J138" s="201"/>
    </row>
    <row r="139" spans="1:10" x14ac:dyDescent="0.3">
      <c r="A139" s="8"/>
      <c r="B139" s="263"/>
      <c r="C139" s="10"/>
      <c r="D139" s="263"/>
      <c r="E139" s="205"/>
      <c r="F139" s="264"/>
      <c r="H139" s="8"/>
      <c r="I139" s="205"/>
      <c r="J139" s="201"/>
    </row>
    <row r="140" spans="1:10" x14ac:dyDescent="0.3">
      <c r="A140" s="8"/>
      <c r="B140" s="263"/>
      <c r="C140" s="10"/>
      <c r="D140" s="263"/>
      <c r="E140" s="205"/>
      <c r="F140" s="264"/>
      <c r="H140" s="8"/>
      <c r="I140" s="205"/>
      <c r="J140" s="201"/>
    </row>
    <row r="141" spans="1:10" x14ac:dyDescent="0.3">
      <c r="A141" s="8"/>
      <c r="B141" s="263"/>
      <c r="C141" s="10"/>
      <c r="D141" s="263"/>
      <c r="E141" s="205"/>
      <c r="F141" s="264"/>
      <c r="H141" s="8"/>
      <c r="I141" s="205"/>
      <c r="J141" s="201"/>
    </row>
    <row r="142" spans="1:10" x14ac:dyDescent="0.3">
      <c r="A142" s="8"/>
      <c r="B142" s="263"/>
      <c r="C142" s="10"/>
      <c r="D142" s="263"/>
      <c r="E142" s="205"/>
      <c r="F142" s="264"/>
      <c r="H142" s="8"/>
      <c r="I142" s="205"/>
      <c r="J142" s="201"/>
    </row>
    <row r="143" spans="1:10" x14ac:dyDescent="0.3">
      <c r="A143" s="8"/>
      <c r="B143" s="263"/>
      <c r="C143" s="10"/>
      <c r="D143" s="263"/>
      <c r="E143" s="205"/>
      <c r="F143" s="264"/>
      <c r="H143" s="8"/>
      <c r="I143" s="205"/>
      <c r="J143" s="201"/>
    </row>
    <row r="144" spans="1:10" x14ac:dyDescent="0.3">
      <c r="A144" s="8"/>
      <c r="B144" s="263"/>
      <c r="C144" s="10"/>
      <c r="D144" s="263"/>
      <c r="E144" s="205"/>
      <c r="F144" s="264"/>
      <c r="H144" s="8"/>
      <c r="I144" s="205"/>
      <c r="J144" s="201"/>
    </row>
    <row r="145" spans="1:10" x14ac:dyDescent="0.3">
      <c r="A145" s="8"/>
      <c r="B145" s="263"/>
      <c r="C145" s="10"/>
      <c r="D145" s="263"/>
      <c r="E145" s="205"/>
      <c r="F145" s="264"/>
      <c r="H145" s="8"/>
      <c r="I145" s="205"/>
      <c r="J145" s="201"/>
    </row>
    <row r="146" spans="1:10" x14ac:dyDescent="0.3">
      <c r="A146" s="8"/>
      <c r="B146" s="263"/>
      <c r="C146" s="10"/>
      <c r="D146" s="263"/>
      <c r="E146" s="205"/>
      <c r="F146" s="264"/>
      <c r="H146" s="8"/>
      <c r="I146" s="205"/>
      <c r="J146" s="201"/>
    </row>
    <row r="147" spans="1:10" x14ac:dyDescent="0.3">
      <c r="A147" s="8"/>
      <c r="B147" s="263"/>
      <c r="C147" s="10"/>
      <c r="D147" s="263"/>
      <c r="E147" s="205"/>
      <c r="F147" s="264"/>
      <c r="H147" s="8"/>
      <c r="I147" s="205"/>
      <c r="J147" s="201"/>
    </row>
    <row r="148" spans="1:10" x14ac:dyDescent="0.3">
      <c r="A148" s="8"/>
      <c r="B148" s="263"/>
      <c r="C148" s="10"/>
      <c r="D148" s="263"/>
      <c r="E148" s="205"/>
      <c r="F148" s="264"/>
      <c r="H148" s="8"/>
      <c r="I148" s="205"/>
      <c r="J148" s="201"/>
    </row>
    <row r="149" spans="1:10" x14ac:dyDescent="0.3">
      <c r="A149" s="8"/>
      <c r="B149" s="263"/>
      <c r="C149" s="10"/>
      <c r="D149" s="263"/>
      <c r="E149" s="205"/>
      <c r="F149" s="264"/>
      <c r="H149" s="8"/>
      <c r="I149" s="205"/>
      <c r="J149" s="201"/>
    </row>
    <row r="150" spans="1:10" x14ac:dyDescent="0.3">
      <c r="A150" s="8"/>
      <c r="B150" s="263"/>
      <c r="C150" s="10"/>
      <c r="D150" s="263"/>
      <c r="E150" s="205"/>
      <c r="F150" s="264"/>
      <c r="H150" s="8"/>
      <c r="I150" s="205"/>
      <c r="J150" s="201"/>
    </row>
    <row r="151" spans="1:10" x14ac:dyDescent="0.3">
      <c r="A151" s="8"/>
      <c r="B151" s="263"/>
      <c r="C151" s="10"/>
      <c r="D151" s="263"/>
      <c r="E151" s="205"/>
      <c r="F151" s="264"/>
      <c r="H151" s="8"/>
      <c r="I151" s="205"/>
      <c r="J151" s="201"/>
    </row>
    <row r="152" spans="1:10" x14ac:dyDescent="0.3">
      <c r="A152" s="8"/>
      <c r="B152" s="263"/>
      <c r="C152" s="10"/>
      <c r="D152" s="263"/>
      <c r="E152" s="205"/>
      <c r="F152" s="264"/>
      <c r="H152" s="8"/>
      <c r="I152" s="205"/>
      <c r="J152" s="201"/>
    </row>
    <row r="153" spans="1:10" x14ac:dyDescent="0.3">
      <c r="A153" s="8"/>
      <c r="B153" s="263"/>
      <c r="C153" s="10"/>
      <c r="D153" s="263"/>
      <c r="E153" s="205"/>
      <c r="F153" s="264"/>
      <c r="H153" s="8"/>
      <c r="I153" s="205"/>
      <c r="J153" s="201"/>
    </row>
    <row r="154" spans="1:10" x14ac:dyDescent="0.3">
      <c r="A154" s="8"/>
      <c r="B154" s="263"/>
      <c r="C154" s="10"/>
      <c r="D154" s="263"/>
      <c r="E154" s="205"/>
      <c r="F154" s="264"/>
      <c r="H154" s="8"/>
      <c r="I154" s="205"/>
      <c r="J154" s="201"/>
    </row>
    <row r="155" spans="1:10" x14ac:dyDescent="0.3">
      <c r="A155" s="8"/>
      <c r="B155" s="263"/>
      <c r="C155" s="10"/>
      <c r="D155" s="263"/>
      <c r="E155" s="205"/>
      <c r="F155" s="264"/>
      <c r="H155" s="8"/>
      <c r="I155" s="205"/>
      <c r="J155" s="201"/>
    </row>
    <row r="156" spans="1:10" x14ac:dyDescent="0.3">
      <c r="A156" s="8"/>
      <c r="B156" s="263"/>
      <c r="C156" s="10"/>
      <c r="D156" s="263"/>
      <c r="E156" s="205"/>
      <c r="F156" s="264"/>
      <c r="H156" s="8"/>
      <c r="I156" s="205"/>
      <c r="J156" s="201"/>
    </row>
    <row r="157" spans="1:10" x14ac:dyDescent="0.3">
      <c r="A157" s="8"/>
      <c r="B157" s="263"/>
      <c r="C157" s="10"/>
      <c r="D157" s="263"/>
      <c r="E157" s="205"/>
      <c r="F157" s="264"/>
      <c r="H157" s="8"/>
      <c r="I157" s="205"/>
      <c r="J157" s="201"/>
    </row>
    <row r="158" spans="1:10" x14ac:dyDescent="0.3">
      <c r="A158" s="8"/>
      <c r="B158" s="263"/>
      <c r="C158" s="10"/>
      <c r="D158" s="263"/>
      <c r="E158" s="205"/>
      <c r="F158" s="264"/>
      <c r="H158" s="8"/>
      <c r="I158" s="205"/>
      <c r="J158" s="201"/>
    </row>
    <row r="159" spans="1:10" x14ac:dyDescent="0.3">
      <c r="A159" s="8"/>
      <c r="B159" s="263"/>
      <c r="C159" s="10"/>
      <c r="D159" s="263"/>
      <c r="E159" s="205"/>
      <c r="F159" s="264"/>
      <c r="H159" s="8"/>
      <c r="I159" s="205"/>
      <c r="J159" s="201"/>
    </row>
    <row r="160" spans="1:10" x14ac:dyDescent="0.3">
      <c r="A160" s="8"/>
      <c r="B160" s="263"/>
      <c r="C160" s="10"/>
      <c r="D160" s="263"/>
      <c r="E160" s="205"/>
      <c r="F160" s="264"/>
      <c r="H160" s="8"/>
      <c r="I160" s="205"/>
      <c r="J160" s="201"/>
    </row>
    <row r="161" spans="1:10" x14ac:dyDescent="0.3">
      <c r="A161" s="8"/>
      <c r="B161" s="263"/>
      <c r="C161" s="10"/>
      <c r="D161" s="263"/>
      <c r="E161" s="205"/>
      <c r="F161" s="264"/>
      <c r="H161" s="8"/>
      <c r="I161" s="205"/>
      <c r="J161" s="201"/>
    </row>
    <row r="162" spans="1:10" x14ac:dyDescent="0.3">
      <c r="A162" s="8"/>
      <c r="B162" s="263"/>
      <c r="C162" s="10"/>
      <c r="D162" s="263"/>
      <c r="E162" s="205"/>
      <c r="F162" s="264"/>
      <c r="H162" s="8"/>
      <c r="I162" s="205"/>
      <c r="J162" s="201"/>
    </row>
    <row r="163" spans="1:10" x14ac:dyDescent="0.3">
      <c r="A163" s="8"/>
      <c r="B163" s="263"/>
      <c r="C163" s="10"/>
      <c r="D163" s="263"/>
      <c r="E163" s="205"/>
      <c r="F163" s="264"/>
      <c r="H163" s="8"/>
      <c r="I163" s="205"/>
      <c r="J163" s="201"/>
    </row>
    <row r="164" spans="1:10" x14ac:dyDescent="0.3">
      <c r="A164" s="8"/>
      <c r="B164" s="263"/>
      <c r="C164" s="10"/>
      <c r="D164" s="263"/>
      <c r="E164" s="205"/>
      <c r="F164" s="264"/>
      <c r="H164" s="8"/>
      <c r="I164" s="205"/>
      <c r="J164" s="201"/>
    </row>
    <row r="165" spans="1:10" x14ac:dyDescent="0.3">
      <c r="A165" s="8"/>
      <c r="B165" s="263"/>
      <c r="C165" s="10"/>
      <c r="D165" s="263"/>
      <c r="E165" s="205"/>
      <c r="F165" s="264"/>
      <c r="H165" s="8"/>
      <c r="I165" s="205"/>
      <c r="J165" s="201"/>
    </row>
    <row r="166" spans="1:10" x14ac:dyDescent="0.3">
      <c r="A166" s="8"/>
      <c r="B166" s="263"/>
      <c r="C166" s="10"/>
      <c r="D166" s="263"/>
      <c r="E166" s="205"/>
      <c r="F166" s="264"/>
      <c r="H166" s="8"/>
      <c r="I166" s="205"/>
      <c r="J166" s="201"/>
    </row>
    <row r="167" spans="1:10" x14ac:dyDescent="0.3">
      <c r="A167" s="8"/>
      <c r="B167" s="263"/>
      <c r="C167" s="10"/>
      <c r="D167" s="263"/>
      <c r="E167" s="205"/>
      <c r="F167" s="264"/>
      <c r="H167" s="8"/>
      <c r="I167" s="205"/>
      <c r="J167" s="201"/>
    </row>
    <row r="168" spans="1:10" x14ac:dyDescent="0.3">
      <c r="A168" s="8"/>
      <c r="B168" s="263"/>
      <c r="C168" s="10"/>
      <c r="D168" s="263"/>
      <c r="E168" s="205"/>
      <c r="F168" s="264"/>
      <c r="H168" s="8"/>
      <c r="I168" s="205"/>
      <c r="J168" s="201"/>
    </row>
    <row r="169" spans="1:10" x14ac:dyDescent="0.3">
      <c r="A169" s="8"/>
      <c r="B169" s="263"/>
      <c r="C169" s="10"/>
      <c r="D169" s="263"/>
      <c r="E169" s="205"/>
      <c r="F169" s="264"/>
      <c r="H169" s="8"/>
      <c r="I169" s="205"/>
      <c r="J169" s="201"/>
    </row>
    <row r="170" spans="1:10" x14ac:dyDescent="0.3">
      <c r="A170" s="8"/>
      <c r="B170" s="263"/>
      <c r="C170" s="10"/>
      <c r="D170" s="263"/>
      <c r="E170" s="205"/>
      <c r="F170" s="264"/>
      <c r="H170" s="8"/>
      <c r="I170" s="205"/>
      <c r="J170" s="201"/>
    </row>
    <row r="171" spans="1:10" x14ac:dyDescent="0.3">
      <c r="A171" s="8"/>
      <c r="B171" s="263"/>
      <c r="C171" s="10"/>
      <c r="D171" s="263"/>
      <c r="E171" s="205"/>
      <c r="F171" s="264"/>
      <c r="H171" s="8"/>
      <c r="I171" s="205"/>
      <c r="J171" s="201"/>
    </row>
    <row r="172" spans="1:10" x14ac:dyDescent="0.3">
      <c r="A172" s="8"/>
      <c r="B172" s="263"/>
      <c r="C172" s="10"/>
      <c r="D172" s="263"/>
      <c r="E172" s="205"/>
      <c r="F172" s="264"/>
      <c r="H172" s="8"/>
      <c r="I172" s="205"/>
      <c r="J172" s="201"/>
    </row>
    <row r="173" spans="1:10" x14ac:dyDescent="0.3">
      <c r="A173" s="8"/>
      <c r="B173" s="263"/>
      <c r="C173" s="10"/>
      <c r="D173" s="263"/>
      <c r="E173" s="205"/>
      <c r="F173" s="264"/>
      <c r="H173" s="8"/>
      <c r="I173" s="205"/>
      <c r="J173" s="201"/>
    </row>
    <row r="174" spans="1:10" x14ac:dyDescent="0.3">
      <c r="A174" s="8"/>
      <c r="B174" s="263"/>
      <c r="C174" s="10"/>
      <c r="D174" s="263"/>
      <c r="E174" s="205"/>
      <c r="F174" s="264"/>
      <c r="H174" s="8"/>
      <c r="I174" s="205"/>
      <c r="J174" s="201"/>
    </row>
    <row r="175" spans="1:10" x14ac:dyDescent="0.3">
      <c r="A175" s="8"/>
      <c r="B175" s="263"/>
      <c r="C175" s="10"/>
      <c r="D175" s="263"/>
      <c r="E175" s="205"/>
      <c r="F175" s="264"/>
      <c r="H175" s="8"/>
      <c r="I175" s="205"/>
      <c r="J175" s="201"/>
    </row>
    <row r="176" spans="1:10" x14ac:dyDescent="0.3">
      <c r="A176" s="8"/>
      <c r="B176" s="263"/>
      <c r="C176" s="10"/>
      <c r="D176" s="263"/>
      <c r="E176" s="205"/>
      <c r="F176" s="264"/>
      <c r="H176" s="8"/>
      <c r="I176" s="205"/>
      <c r="J176" s="201"/>
    </row>
    <row r="177" spans="1:10" x14ac:dyDescent="0.3">
      <c r="A177" s="8"/>
      <c r="B177" s="263"/>
      <c r="C177" s="10"/>
      <c r="D177" s="263"/>
      <c r="E177" s="205"/>
      <c r="F177" s="264"/>
      <c r="H177" s="8"/>
      <c r="I177" s="205"/>
      <c r="J177" s="201"/>
    </row>
    <row r="178" spans="1:10" x14ac:dyDescent="0.3">
      <c r="A178" s="8"/>
      <c r="B178" s="263"/>
      <c r="C178" s="10"/>
      <c r="D178" s="263"/>
      <c r="E178" s="205"/>
      <c r="F178" s="264"/>
      <c r="H178" s="8"/>
      <c r="I178" s="205"/>
      <c r="J178" s="201"/>
    </row>
    <row r="179" spans="1:10" x14ac:dyDescent="0.3">
      <c r="A179" s="8"/>
      <c r="B179" s="263"/>
      <c r="C179" s="10"/>
      <c r="D179" s="263"/>
      <c r="E179" s="205"/>
      <c r="F179" s="264"/>
      <c r="H179" s="8"/>
      <c r="I179" s="205"/>
      <c r="J179" s="201"/>
    </row>
    <row r="180" spans="1:10" x14ac:dyDescent="0.3">
      <c r="A180" s="8"/>
      <c r="B180" s="263"/>
      <c r="C180" s="10"/>
      <c r="D180" s="263"/>
      <c r="E180" s="205"/>
      <c r="F180" s="264"/>
      <c r="H180" s="8"/>
      <c r="I180" s="205"/>
      <c r="J180" s="201"/>
    </row>
    <row r="181" spans="1:10" x14ac:dyDescent="0.3">
      <c r="A181" s="8"/>
      <c r="B181" s="263"/>
      <c r="C181" s="10"/>
      <c r="D181" s="263"/>
      <c r="E181" s="205"/>
      <c r="F181" s="264"/>
      <c r="H181" s="8"/>
      <c r="I181" s="205"/>
      <c r="J181" s="201"/>
    </row>
    <row r="182" spans="1:10" x14ac:dyDescent="0.3">
      <c r="A182" s="8"/>
      <c r="B182" s="263"/>
      <c r="C182" s="10"/>
      <c r="D182" s="263"/>
      <c r="E182" s="205"/>
      <c r="F182" s="264"/>
      <c r="H182" s="8"/>
      <c r="I182" s="205"/>
      <c r="J182" s="201"/>
    </row>
    <row r="183" spans="1:10" x14ac:dyDescent="0.3">
      <c r="A183" s="8"/>
      <c r="B183" s="263"/>
      <c r="C183" s="10"/>
      <c r="D183" s="263"/>
      <c r="E183" s="205"/>
      <c r="F183" s="264"/>
      <c r="H183" s="8"/>
      <c r="I183" s="205"/>
      <c r="J183" s="201"/>
    </row>
    <row r="184" spans="1:10" x14ac:dyDescent="0.3">
      <c r="A184" s="8"/>
      <c r="B184" s="263"/>
      <c r="C184" s="10"/>
      <c r="D184" s="263"/>
      <c r="E184" s="205"/>
      <c r="F184" s="264"/>
      <c r="H184" s="8"/>
      <c r="I184" s="205"/>
      <c r="J184" s="201"/>
    </row>
    <row r="185" spans="1:10" x14ac:dyDescent="0.3">
      <c r="A185" s="8"/>
      <c r="B185" s="263"/>
      <c r="C185" s="10"/>
      <c r="D185" s="263"/>
      <c r="E185" s="205"/>
      <c r="F185" s="264"/>
      <c r="H185" s="8"/>
      <c r="I185" s="205"/>
      <c r="J185" s="201"/>
    </row>
    <row r="186" spans="1:10" x14ac:dyDescent="0.3">
      <c r="A186" s="8"/>
      <c r="B186" s="263"/>
      <c r="C186" s="10"/>
      <c r="D186" s="263"/>
      <c r="E186" s="205"/>
      <c r="F186" s="264"/>
      <c r="H186" s="8"/>
      <c r="I186" s="205"/>
      <c r="J186" s="201"/>
    </row>
    <row r="187" spans="1:10" x14ac:dyDescent="0.3">
      <c r="A187" s="8"/>
      <c r="B187" s="263"/>
      <c r="C187" s="10"/>
      <c r="D187" s="263"/>
      <c r="E187" s="205"/>
      <c r="F187" s="264"/>
      <c r="H187" s="8"/>
      <c r="I187" s="205"/>
      <c r="J187" s="201"/>
    </row>
    <row r="188" spans="1:10" x14ac:dyDescent="0.3">
      <c r="A188" s="8"/>
      <c r="B188" s="263"/>
      <c r="C188" s="10"/>
      <c r="D188" s="263"/>
      <c r="E188" s="205"/>
      <c r="F188" s="264"/>
      <c r="H188" s="8"/>
      <c r="I188" s="205"/>
      <c r="J188" s="201"/>
    </row>
    <row r="189" spans="1:10" x14ac:dyDescent="0.3">
      <c r="A189" s="8"/>
      <c r="B189" s="263"/>
      <c r="C189" s="10"/>
      <c r="D189" s="263"/>
      <c r="E189" s="205"/>
      <c r="F189" s="264"/>
      <c r="H189" s="8"/>
      <c r="I189" s="205"/>
      <c r="J189" s="201"/>
    </row>
    <row r="190" spans="1:10" x14ac:dyDescent="0.3">
      <c r="A190" s="8"/>
      <c r="B190" s="263"/>
      <c r="C190" s="10"/>
      <c r="D190" s="263"/>
      <c r="E190" s="205"/>
      <c r="F190" s="264"/>
      <c r="H190" s="8"/>
      <c r="I190" s="205"/>
      <c r="J190" s="201"/>
    </row>
    <row r="191" spans="1:10" x14ac:dyDescent="0.3">
      <c r="A191" s="8"/>
      <c r="B191" s="263"/>
      <c r="C191" s="10"/>
      <c r="D191" s="263"/>
      <c r="E191" s="205"/>
      <c r="F191" s="264"/>
      <c r="H191" s="8"/>
      <c r="I191" s="205"/>
      <c r="J191" s="201"/>
    </row>
    <row r="192" spans="1:10" x14ac:dyDescent="0.3">
      <c r="A192" s="8"/>
      <c r="B192" s="263"/>
      <c r="C192" s="10"/>
      <c r="D192" s="263"/>
      <c r="E192" s="205"/>
      <c r="F192" s="264"/>
      <c r="H192" s="8"/>
      <c r="I192" s="205"/>
      <c r="J192" s="201"/>
    </row>
    <row r="193" spans="1:10" x14ac:dyDescent="0.3">
      <c r="A193" s="8"/>
      <c r="B193" s="263"/>
      <c r="C193" s="10"/>
      <c r="D193" s="263"/>
      <c r="E193" s="205"/>
      <c r="F193" s="264"/>
      <c r="H193" s="8"/>
      <c r="I193" s="205"/>
      <c r="J193" s="201"/>
    </row>
    <row r="194" spans="1:10" x14ac:dyDescent="0.3">
      <c r="A194" s="8"/>
      <c r="B194" s="263"/>
      <c r="C194" s="10"/>
      <c r="D194" s="263"/>
      <c r="E194" s="205"/>
      <c r="F194" s="264"/>
      <c r="H194" s="8"/>
      <c r="I194" s="205"/>
      <c r="J194" s="201"/>
    </row>
    <row r="195" spans="1:10" x14ac:dyDescent="0.3">
      <c r="A195" s="8"/>
      <c r="B195" s="263"/>
      <c r="C195" s="10"/>
      <c r="D195" s="263"/>
      <c r="E195" s="205"/>
      <c r="F195" s="264"/>
      <c r="H195" s="8"/>
      <c r="I195" s="205"/>
      <c r="J195" s="201"/>
    </row>
    <row r="196" spans="1:10" x14ac:dyDescent="0.3">
      <c r="A196" s="8"/>
      <c r="B196" s="263"/>
      <c r="C196" s="10"/>
      <c r="D196" s="263"/>
      <c r="E196" s="205"/>
      <c r="F196" s="264"/>
      <c r="H196" s="8"/>
      <c r="I196" s="205"/>
      <c r="J196" s="201"/>
    </row>
    <row r="197" spans="1:10" x14ac:dyDescent="0.3">
      <c r="A197" s="8"/>
      <c r="B197" s="263"/>
      <c r="C197" s="10"/>
      <c r="D197" s="263"/>
      <c r="E197" s="205"/>
      <c r="F197" s="264"/>
      <c r="H197" s="8"/>
      <c r="I197" s="205"/>
      <c r="J197" s="201"/>
    </row>
    <row r="198" spans="1:10" x14ac:dyDescent="0.3">
      <c r="A198" s="8"/>
      <c r="B198" s="263"/>
      <c r="C198" s="10"/>
      <c r="D198" s="263"/>
      <c r="E198" s="205"/>
      <c r="F198" s="264"/>
      <c r="H198" s="8"/>
      <c r="I198" s="205"/>
      <c r="J198" s="201"/>
    </row>
    <row r="199" spans="1:10" x14ac:dyDescent="0.3">
      <c r="A199" s="8"/>
      <c r="B199" s="263"/>
      <c r="C199" s="10"/>
      <c r="D199" s="263"/>
      <c r="E199" s="205"/>
      <c r="F199" s="264"/>
      <c r="H199" s="8"/>
      <c r="I199" s="205"/>
      <c r="J199" s="201"/>
    </row>
    <row r="200" spans="1:10" x14ac:dyDescent="0.3">
      <c r="A200" s="8"/>
      <c r="B200" s="263"/>
      <c r="C200" s="10"/>
      <c r="D200" s="263"/>
      <c r="E200" s="205"/>
      <c r="F200" s="264"/>
      <c r="H200" s="8"/>
      <c r="I200" s="205"/>
      <c r="J200" s="201"/>
    </row>
    <row r="201" spans="1:10" x14ac:dyDescent="0.3">
      <c r="A201" s="8"/>
      <c r="B201" s="263"/>
      <c r="C201" s="10"/>
      <c r="D201" s="263"/>
      <c r="E201" s="205"/>
      <c r="F201" s="264"/>
      <c r="H201" s="8"/>
      <c r="I201" s="205"/>
      <c r="J201" s="201"/>
    </row>
    <row r="202" spans="1:10" x14ac:dyDescent="0.3">
      <c r="A202" s="8"/>
      <c r="B202" s="263"/>
      <c r="C202" s="10"/>
      <c r="D202" s="263"/>
      <c r="E202" s="205"/>
      <c r="F202" s="264"/>
      <c r="H202" s="8"/>
      <c r="I202" s="205"/>
      <c r="J202" s="201"/>
    </row>
    <row r="203" spans="1:10" x14ac:dyDescent="0.3">
      <c r="A203" s="8"/>
      <c r="B203" s="263"/>
      <c r="C203" s="10"/>
      <c r="D203" s="263"/>
      <c r="E203" s="205"/>
      <c r="F203" s="264"/>
      <c r="H203" s="8"/>
      <c r="I203" s="205"/>
      <c r="J203" s="201"/>
    </row>
    <row r="204" spans="1:10" x14ac:dyDescent="0.3">
      <c r="A204" s="8"/>
      <c r="B204" s="263"/>
      <c r="C204" s="10"/>
      <c r="D204" s="263"/>
      <c r="E204" s="205"/>
      <c r="F204" s="264"/>
      <c r="H204" s="8"/>
      <c r="I204" s="205"/>
      <c r="J204" s="201"/>
    </row>
    <row r="205" spans="1:10" x14ac:dyDescent="0.3">
      <c r="A205" s="8"/>
      <c r="B205" s="263"/>
      <c r="C205" s="10"/>
      <c r="D205" s="263"/>
      <c r="E205" s="205"/>
      <c r="F205" s="264"/>
      <c r="H205" s="8"/>
      <c r="I205" s="205"/>
      <c r="J205" s="201"/>
    </row>
    <row r="206" spans="1:10" x14ac:dyDescent="0.3">
      <c r="A206" s="8"/>
      <c r="B206" s="263"/>
      <c r="C206" s="10"/>
      <c r="D206" s="263"/>
      <c r="E206" s="205"/>
      <c r="F206" s="264"/>
      <c r="H206" s="8"/>
      <c r="I206" s="205"/>
      <c r="J206" s="201"/>
    </row>
    <row r="207" spans="1:10" x14ac:dyDescent="0.3">
      <c r="A207" s="8"/>
      <c r="B207" s="263"/>
      <c r="C207" s="10"/>
      <c r="D207" s="263"/>
      <c r="E207" s="205"/>
      <c r="F207" s="264"/>
      <c r="H207" s="8"/>
      <c r="I207" s="205"/>
      <c r="J207" s="201"/>
    </row>
    <row r="208" spans="1:10" x14ac:dyDescent="0.3">
      <c r="A208" s="8"/>
      <c r="B208" s="263"/>
      <c r="C208" s="10"/>
      <c r="D208" s="263"/>
      <c r="E208" s="205"/>
      <c r="F208" s="264"/>
      <c r="H208" s="8"/>
      <c r="I208" s="205"/>
      <c r="J208" s="201"/>
    </row>
    <row r="209" spans="1:10" x14ac:dyDescent="0.3">
      <c r="A209" s="8"/>
      <c r="B209" s="263"/>
      <c r="C209" s="10"/>
      <c r="D209" s="263"/>
      <c r="E209" s="205"/>
      <c r="F209" s="264"/>
      <c r="H209" s="8"/>
      <c r="I209" s="205"/>
      <c r="J209" s="201"/>
    </row>
    <row r="210" spans="1:10" x14ac:dyDescent="0.3">
      <c r="A210" s="8"/>
      <c r="B210" s="263"/>
      <c r="C210" s="10"/>
      <c r="D210" s="263"/>
      <c r="E210" s="205"/>
      <c r="F210" s="264"/>
      <c r="H210" s="8"/>
      <c r="I210" s="205"/>
      <c r="J210" s="201"/>
    </row>
    <row r="211" spans="1:10" x14ac:dyDescent="0.3">
      <c r="A211" s="8"/>
      <c r="B211" s="263"/>
      <c r="C211" s="10"/>
      <c r="D211" s="263"/>
      <c r="E211" s="205"/>
      <c r="F211" s="264"/>
      <c r="H211" s="8"/>
      <c r="I211" s="205"/>
      <c r="J211" s="201"/>
    </row>
    <row r="212" spans="1:10" x14ac:dyDescent="0.3">
      <c r="A212" s="8"/>
      <c r="B212" s="263"/>
      <c r="C212" s="10"/>
      <c r="D212" s="263"/>
      <c r="E212" s="205"/>
      <c r="F212" s="264"/>
      <c r="H212" s="8"/>
      <c r="I212" s="205"/>
      <c r="J212" s="201"/>
    </row>
    <row r="213" spans="1:10" x14ac:dyDescent="0.3">
      <c r="A213" s="8"/>
      <c r="B213" s="263"/>
      <c r="C213" s="10"/>
      <c r="D213" s="263"/>
      <c r="E213" s="205"/>
      <c r="F213" s="264"/>
      <c r="H213" s="8"/>
      <c r="I213" s="205"/>
      <c r="J213" s="201"/>
    </row>
    <row r="214" spans="1:10" x14ac:dyDescent="0.3">
      <c r="A214" s="8"/>
      <c r="B214" s="263"/>
      <c r="C214" s="10"/>
      <c r="D214" s="263"/>
      <c r="E214" s="205"/>
      <c r="F214" s="264"/>
      <c r="H214" s="8"/>
      <c r="I214" s="205"/>
      <c r="J214" s="201"/>
    </row>
    <row r="215" spans="1:10" x14ac:dyDescent="0.3">
      <c r="A215" s="8"/>
      <c r="B215" s="263"/>
      <c r="C215" s="10"/>
      <c r="D215" s="263"/>
      <c r="E215" s="205"/>
      <c r="F215" s="264"/>
      <c r="H215" s="8"/>
      <c r="I215" s="205"/>
      <c r="J215" s="201"/>
    </row>
    <row r="216" spans="1:10" x14ac:dyDescent="0.3">
      <c r="A216" s="8"/>
      <c r="B216" s="263"/>
      <c r="C216" s="10"/>
      <c r="D216" s="263"/>
      <c r="E216" s="205"/>
      <c r="F216" s="264"/>
      <c r="H216" s="8"/>
      <c r="I216" s="205"/>
      <c r="J216" s="201"/>
    </row>
    <row r="217" spans="1:10" x14ac:dyDescent="0.3">
      <c r="A217" s="8"/>
      <c r="B217" s="263"/>
      <c r="C217" s="10"/>
      <c r="D217" s="263"/>
      <c r="E217" s="205"/>
      <c r="F217" s="264"/>
      <c r="H217" s="8"/>
      <c r="I217" s="205"/>
      <c r="J217" s="201"/>
    </row>
    <row r="218" spans="1:10" x14ac:dyDescent="0.3">
      <c r="A218" s="8"/>
      <c r="B218" s="263"/>
      <c r="C218" s="10"/>
      <c r="D218" s="263"/>
      <c r="E218" s="205"/>
      <c r="F218" s="264"/>
      <c r="H218" s="8"/>
      <c r="I218" s="205"/>
      <c r="J218" s="201"/>
    </row>
    <row r="219" spans="1:10" x14ac:dyDescent="0.3">
      <c r="A219" s="8"/>
      <c r="B219" s="263"/>
      <c r="C219" s="10"/>
      <c r="D219" s="263"/>
      <c r="E219" s="205"/>
      <c r="F219" s="264"/>
      <c r="H219" s="8"/>
      <c r="I219" s="205"/>
      <c r="J219" s="201"/>
    </row>
    <row r="220" spans="1:10" x14ac:dyDescent="0.3">
      <c r="A220" s="8"/>
      <c r="B220" s="263"/>
      <c r="C220" s="10"/>
      <c r="D220" s="263"/>
      <c r="E220" s="205"/>
      <c r="F220" s="264"/>
      <c r="H220" s="8"/>
      <c r="I220" s="205"/>
      <c r="J220" s="201"/>
    </row>
    <row r="221" spans="1:10" x14ac:dyDescent="0.3">
      <c r="A221" s="8"/>
      <c r="B221" s="263"/>
      <c r="C221" s="10"/>
      <c r="D221" s="263"/>
      <c r="E221" s="205"/>
      <c r="F221" s="264"/>
      <c r="H221" s="8"/>
      <c r="I221" s="205"/>
      <c r="J221" s="201"/>
    </row>
    <row r="222" spans="1:10" x14ac:dyDescent="0.3">
      <c r="A222" s="8"/>
      <c r="B222" s="263"/>
      <c r="C222" s="10"/>
      <c r="D222" s="263"/>
      <c r="E222" s="205"/>
      <c r="F222" s="264"/>
      <c r="H222" s="8"/>
      <c r="I222" s="205"/>
      <c r="J222" s="201"/>
    </row>
    <row r="223" spans="1:10" x14ac:dyDescent="0.3">
      <c r="A223" s="8"/>
      <c r="B223" s="263"/>
      <c r="C223" s="10"/>
      <c r="D223" s="263"/>
      <c r="E223" s="205"/>
      <c r="F223" s="264"/>
      <c r="H223" s="8"/>
      <c r="I223" s="205"/>
      <c r="J223" s="201"/>
    </row>
    <row r="224" spans="1:10" x14ac:dyDescent="0.3">
      <c r="A224" s="8"/>
      <c r="B224" s="263"/>
      <c r="C224" s="10"/>
      <c r="D224" s="263"/>
      <c r="E224" s="205"/>
      <c r="F224" s="264"/>
      <c r="H224" s="8"/>
      <c r="I224" s="205"/>
      <c r="J224" s="201"/>
    </row>
    <row r="225" spans="1:10" x14ac:dyDescent="0.3">
      <c r="A225" s="8"/>
      <c r="B225" s="263"/>
      <c r="C225" s="10"/>
      <c r="D225" s="263"/>
      <c r="E225" s="205"/>
      <c r="F225" s="264"/>
      <c r="H225" s="8"/>
      <c r="I225" s="205"/>
      <c r="J225" s="201"/>
    </row>
    <row r="226" spans="1:10" x14ac:dyDescent="0.3">
      <c r="A226" s="8"/>
      <c r="B226" s="263"/>
      <c r="C226" s="10"/>
      <c r="D226" s="263"/>
      <c r="E226" s="205"/>
      <c r="F226" s="264"/>
      <c r="H226" s="8"/>
      <c r="I226" s="205"/>
      <c r="J226" s="201"/>
    </row>
    <row r="227" spans="1:10" x14ac:dyDescent="0.3">
      <c r="A227" s="8"/>
      <c r="B227" s="263"/>
      <c r="C227" s="10"/>
      <c r="D227" s="263"/>
      <c r="E227" s="205"/>
      <c r="F227" s="264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7"/>
      <c r="C578" s="267"/>
      <c r="D578" s="267"/>
      <c r="E578" s="265"/>
      <c r="F578" s="266"/>
      <c r="H578" s="8"/>
      <c r="I578" s="205"/>
      <c r="J578" s="201"/>
    </row>
    <row r="579" spans="1:10" x14ac:dyDescent="0.3">
      <c r="A579" s="8"/>
      <c r="B579" s="267"/>
      <c r="C579" s="267"/>
      <c r="D579" s="267"/>
      <c r="E579" s="265"/>
      <c r="F579" s="266"/>
      <c r="H579" s="8"/>
      <c r="I579" s="205"/>
      <c r="J579" s="201"/>
    </row>
    <row r="580" spans="1:10" x14ac:dyDescent="0.3">
      <c r="A580" s="8"/>
      <c r="B580" s="267"/>
      <c r="C580" s="267"/>
      <c r="D580" s="267"/>
      <c r="E580" s="265"/>
      <c r="F580" s="266"/>
      <c r="H580" s="8"/>
      <c r="I580" s="205"/>
      <c r="J580" s="201"/>
    </row>
    <row r="581" spans="1:10" x14ac:dyDescent="0.3">
      <c r="A581" s="8"/>
      <c r="B581" s="267"/>
      <c r="C581" s="267"/>
      <c r="D581" s="267"/>
      <c r="E581" s="265"/>
      <c r="F581" s="266"/>
      <c r="H581" s="8"/>
      <c r="I581" s="205"/>
      <c r="J581" s="201"/>
    </row>
    <row r="582" spans="1:10" x14ac:dyDescent="0.3">
      <c r="A582" s="8"/>
      <c r="B582" s="267"/>
      <c r="C582" s="267"/>
      <c r="D582" s="267"/>
      <c r="E582" s="265"/>
      <c r="F582" s="266"/>
      <c r="H582" s="8"/>
      <c r="I582" s="205"/>
      <c r="J582" s="201"/>
    </row>
    <row r="583" spans="1:10" x14ac:dyDescent="0.3">
      <c r="A583" s="8"/>
      <c r="B583" s="267"/>
      <c r="C583" s="267"/>
      <c r="D583" s="267"/>
      <c r="E583" s="265"/>
      <c r="F583" s="266"/>
      <c r="H583" s="8"/>
      <c r="I583" s="205"/>
      <c r="J583" s="201"/>
    </row>
    <row r="584" spans="1:10" x14ac:dyDescent="0.3">
      <c r="A584" s="8"/>
      <c r="B584" s="267"/>
      <c r="C584" s="267"/>
      <c r="D584" s="267"/>
      <c r="E584" s="265"/>
      <c r="F584" s="266"/>
      <c r="H584" s="8"/>
      <c r="I584" s="205"/>
      <c r="J584" s="201"/>
    </row>
    <row r="585" spans="1:10" x14ac:dyDescent="0.3">
      <c r="A585" s="8"/>
      <c r="B585" s="267"/>
      <c r="C585" s="267"/>
      <c r="D585" s="267"/>
      <c r="E585" s="265"/>
      <c r="F585" s="266"/>
      <c r="H585" s="8"/>
      <c r="I585" s="205"/>
      <c r="J585" s="201"/>
    </row>
    <row r="586" spans="1:10" x14ac:dyDescent="0.3">
      <c r="A586" s="8"/>
      <c r="B586" s="267"/>
      <c r="C586" s="267"/>
      <c r="D586" s="267"/>
      <c r="E586" s="265"/>
      <c r="F586" s="266"/>
      <c r="H586" s="8"/>
      <c r="I586" s="205"/>
      <c r="J586" s="201"/>
    </row>
    <row r="587" spans="1:10" x14ac:dyDescent="0.3">
      <c r="A587" s="8"/>
      <c r="B587" s="267"/>
      <c r="C587" s="267"/>
      <c r="D587" s="267"/>
      <c r="E587" s="265"/>
      <c r="F587" s="266"/>
      <c r="H587" s="8"/>
      <c r="I587" s="205"/>
      <c r="J587" s="201"/>
    </row>
    <row r="588" spans="1:10" x14ac:dyDescent="0.3">
      <c r="A588" s="8"/>
      <c r="B588" s="267"/>
      <c r="C588" s="267"/>
      <c r="D588" s="267"/>
      <c r="E588" s="265"/>
      <c r="F588" s="266"/>
      <c r="H588" s="8"/>
      <c r="I588" s="205"/>
      <c r="J588" s="201"/>
    </row>
    <row r="589" spans="1:10" x14ac:dyDescent="0.3">
      <c r="A589" s="8"/>
      <c r="B589" s="267"/>
      <c r="C589" s="267"/>
      <c r="D589" s="267"/>
      <c r="E589" s="265"/>
      <c r="F589" s="266"/>
      <c r="H589" s="8"/>
      <c r="I589" s="205"/>
      <c r="J589" s="201"/>
    </row>
    <row r="590" spans="1:10" x14ac:dyDescent="0.3">
      <c r="A590" s="8"/>
      <c r="B590" s="267"/>
      <c r="C590" s="267"/>
      <c r="D590" s="267"/>
      <c r="E590" s="265"/>
      <c r="F590" s="266"/>
      <c r="H590" s="8"/>
      <c r="I590" s="205"/>
      <c r="J590" s="201"/>
    </row>
    <row r="591" spans="1:10" x14ac:dyDescent="0.3">
      <c r="A591" s="8"/>
      <c r="B591" s="267"/>
      <c r="C591" s="267"/>
      <c r="D591" s="267"/>
      <c r="E591" s="265"/>
      <c r="F591" s="266"/>
      <c r="H591" s="8"/>
      <c r="I591" s="205"/>
      <c r="J591" s="201"/>
    </row>
    <row r="592" spans="1:10" x14ac:dyDescent="0.3">
      <c r="A592" s="8"/>
      <c r="B592" s="267"/>
      <c r="C592" s="267"/>
      <c r="D592" s="267"/>
      <c r="E592" s="265"/>
      <c r="F592" s="266"/>
      <c r="H592" s="8"/>
      <c r="I592" s="205"/>
      <c r="J592" s="201"/>
    </row>
    <row r="593" spans="1:10" x14ac:dyDescent="0.3">
      <c r="A593" s="8"/>
      <c r="B593" s="267"/>
      <c r="C593" s="267"/>
      <c r="D593" s="267"/>
      <c r="E593" s="265"/>
      <c r="F593" s="266"/>
      <c r="H593" s="8"/>
      <c r="I593" s="205"/>
      <c r="J593" s="201"/>
    </row>
    <row r="594" spans="1:10" x14ac:dyDescent="0.3">
      <c r="A594" s="8"/>
      <c r="B594" s="267"/>
      <c r="C594" s="267"/>
      <c r="D594" s="267"/>
      <c r="E594" s="265"/>
      <c r="F594" s="266"/>
      <c r="H594" s="8"/>
      <c r="I594" s="205"/>
      <c r="J594" s="201"/>
    </row>
    <row r="595" spans="1:10" x14ac:dyDescent="0.3">
      <c r="A595" s="8"/>
      <c r="B595" s="267"/>
      <c r="C595" s="267"/>
      <c r="D595" s="267"/>
      <c r="E595" s="265"/>
      <c r="F595" s="266"/>
      <c r="H595" s="8"/>
      <c r="I595" s="205"/>
      <c r="J595" s="201"/>
    </row>
    <row r="596" spans="1:10" x14ac:dyDescent="0.3">
      <c r="A596" s="8"/>
      <c r="B596" s="267"/>
      <c r="C596" s="267"/>
      <c r="D596" s="267"/>
      <c r="E596" s="265"/>
      <c r="F596" s="266"/>
      <c r="H596" s="8"/>
      <c r="I596" s="205"/>
      <c r="J596" s="201"/>
    </row>
    <row r="597" spans="1:10" x14ac:dyDescent="0.3">
      <c r="A597" s="8"/>
      <c r="B597" s="267"/>
      <c r="C597" s="267"/>
      <c r="D597" s="267"/>
      <c r="E597" s="265"/>
      <c r="F597" s="266"/>
      <c r="H597" s="8"/>
      <c r="I597" s="205"/>
      <c r="J597" s="201"/>
    </row>
    <row r="598" spans="1:10" x14ac:dyDescent="0.3">
      <c r="A598" s="8"/>
      <c r="B598" s="267"/>
      <c r="C598" s="267"/>
      <c r="D598" s="267"/>
      <c r="E598" s="265"/>
      <c r="F598" s="266"/>
      <c r="H598" s="8"/>
      <c r="I598" s="205"/>
      <c r="J598" s="201"/>
    </row>
    <row r="599" spans="1:10" x14ac:dyDescent="0.3">
      <c r="A599" s="8"/>
      <c r="B599" s="267"/>
      <c r="C599" s="267"/>
      <c r="D599" s="267"/>
      <c r="E599" s="265"/>
      <c r="F599" s="266"/>
      <c r="H599" s="8"/>
      <c r="I599" s="205"/>
      <c r="J599" s="201"/>
    </row>
    <row r="600" spans="1:10" x14ac:dyDescent="0.3">
      <c r="A600" s="8"/>
      <c r="B600" s="267"/>
      <c r="C600" s="267"/>
      <c r="D600" s="267"/>
      <c r="E600" s="265"/>
      <c r="F600" s="266"/>
      <c r="H600" s="8"/>
      <c r="I600" s="205"/>
      <c r="J600" s="201"/>
    </row>
    <row r="601" spans="1:10" x14ac:dyDescent="0.3">
      <c r="A601" s="8"/>
      <c r="B601" s="267"/>
      <c r="C601" s="267"/>
      <c r="D601" s="267"/>
      <c r="E601" s="265"/>
      <c r="F601" s="266"/>
      <c r="H601" s="8"/>
      <c r="I601" s="205"/>
      <c r="J601" s="201"/>
    </row>
    <row r="602" spans="1:10" x14ac:dyDescent="0.3">
      <c r="A602" s="8"/>
      <c r="B602" s="267"/>
      <c r="C602" s="267"/>
      <c r="D602" s="267"/>
      <c r="E602" s="265"/>
      <c r="F602" s="266"/>
      <c r="H602" s="8"/>
      <c r="I602" s="205"/>
      <c r="J602" s="201"/>
    </row>
    <row r="603" spans="1:10" x14ac:dyDescent="0.3">
      <c r="A603" s="8"/>
      <c r="B603" s="267"/>
      <c r="C603" s="267"/>
      <c r="D603" s="267"/>
      <c r="E603" s="265"/>
      <c r="F603" s="266"/>
      <c r="H603" s="8"/>
      <c r="I603" s="205"/>
      <c r="J603" s="201"/>
    </row>
    <row r="604" spans="1:10" x14ac:dyDescent="0.3">
      <c r="A604" s="8"/>
      <c r="B604" s="267"/>
      <c r="C604" s="267"/>
      <c r="D604" s="267"/>
      <c r="E604" s="265"/>
      <c r="F604" s="266"/>
      <c r="H604" s="8"/>
      <c r="I604" s="205"/>
      <c r="J604" s="201"/>
    </row>
    <row r="605" spans="1:10" x14ac:dyDescent="0.3">
      <c r="A605" s="8"/>
      <c r="B605" s="267"/>
      <c r="C605" s="267"/>
      <c r="D605" s="267"/>
      <c r="E605" s="265"/>
      <c r="F605" s="266"/>
      <c r="H605" s="8"/>
      <c r="I605" s="205"/>
      <c r="J605" s="201"/>
    </row>
    <row r="606" spans="1:10" x14ac:dyDescent="0.3">
      <c r="A606" s="8"/>
      <c r="B606" s="267"/>
      <c r="C606" s="267"/>
      <c r="D606" s="267"/>
      <c r="E606" s="265"/>
      <c r="F606" s="266"/>
      <c r="H606" s="8"/>
      <c r="I606" s="205"/>
      <c r="J606" s="201"/>
    </row>
    <row r="607" spans="1:10" x14ac:dyDescent="0.3">
      <c r="A607" s="8"/>
      <c r="B607" s="267"/>
      <c r="C607" s="267"/>
      <c r="D607" s="267"/>
      <c r="E607" s="265"/>
      <c r="F607" s="266"/>
      <c r="H607" s="8"/>
      <c r="I607" s="205"/>
      <c r="J607" s="201"/>
    </row>
    <row r="608" spans="1:10" x14ac:dyDescent="0.3">
      <c r="A608" s="8"/>
      <c r="B608" s="267"/>
      <c r="C608" s="267"/>
      <c r="D608" s="267"/>
      <c r="E608" s="265"/>
      <c r="F608" s="266"/>
      <c r="H608" s="8"/>
      <c r="I608" s="205"/>
      <c r="J608" s="201"/>
    </row>
    <row r="609" spans="1:10" x14ac:dyDescent="0.3">
      <c r="A609" s="8"/>
      <c r="B609" s="267"/>
      <c r="C609" s="267"/>
      <c r="D609" s="267"/>
      <c r="E609" s="265"/>
      <c r="F609" s="266"/>
      <c r="H609" s="8"/>
      <c r="I609" s="205"/>
      <c r="J609" s="201"/>
    </row>
    <row r="610" spans="1:10" x14ac:dyDescent="0.3">
      <c r="A610" s="8"/>
      <c r="B610" s="267"/>
      <c r="C610" s="267"/>
      <c r="D610" s="267"/>
      <c r="E610" s="265"/>
      <c r="F610" s="266"/>
      <c r="H610" s="8"/>
      <c r="I610" s="205"/>
      <c r="J610" s="201"/>
    </row>
    <row r="611" spans="1:10" x14ac:dyDescent="0.3">
      <c r="A611" s="8"/>
      <c r="B611" s="267"/>
      <c r="C611" s="267"/>
      <c r="D611" s="267"/>
      <c r="E611" s="265"/>
      <c r="F611" s="266"/>
      <c r="H611" s="8"/>
      <c r="I611" s="205"/>
      <c r="J611" s="201"/>
    </row>
    <row r="612" spans="1:10" x14ac:dyDescent="0.3">
      <c r="A612" s="8"/>
      <c r="B612" s="267"/>
      <c r="C612" s="267"/>
      <c r="D612" s="267"/>
      <c r="E612" s="265"/>
      <c r="F612" s="266"/>
      <c r="H612" s="8"/>
      <c r="I612" s="205"/>
      <c r="J612" s="201"/>
    </row>
    <row r="613" spans="1:10" x14ac:dyDescent="0.3">
      <c r="A613" s="8"/>
      <c r="B613" s="267"/>
      <c r="C613" s="267"/>
      <c r="D613" s="267"/>
      <c r="E613" s="265"/>
      <c r="F613" s="266"/>
      <c r="H613" s="8"/>
      <c r="I613" s="205"/>
      <c r="J613" s="201"/>
    </row>
    <row r="614" spans="1:10" x14ac:dyDescent="0.3">
      <c r="A614" s="8"/>
      <c r="B614" s="267"/>
      <c r="C614" s="267"/>
      <c r="D614" s="267"/>
      <c r="E614" s="265"/>
      <c r="F614" s="266"/>
      <c r="H614" s="8"/>
      <c r="I614" s="205"/>
      <c r="J614" s="201"/>
    </row>
    <row r="615" spans="1:10" x14ac:dyDescent="0.3">
      <c r="A615" s="8"/>
      <c r="B615" s="267"/>
      <c r="C615" s="267"/>
      <c r="D615" s="267"/>
      <c r="E615" s="265"/>
      <c r="F615" s="266"/>
      <c r="H615" s="8"/>
      <c r="I615" s="205"/>
      <c r="J615" s="201"/>
    </row>
    <row r="616" spans="1:10" x14ac:dyDescent="0.3">
      <c r="A616" s="8"/>
      <c r="B616" s="267"/>
      <c r="C616" s="267"/>
      <c r="D616" s="267"/>
      <c r="E616" s="265"/>
      <c r="F616" s="266"/>
      <c r="H616" s="8"/>
      <c r="I616" s="205"/>
      <c r="J616" s="201"/>
    </row>
    <row r="617" spans="1:10" x14ac:dyDescent="0.3">
      <c r="A617" s="8"/>
      <c r="B617" s="267"/>
      <c r="C617" s="267"/>
      <c r="D617" s="267"/>
      <c r="E617" s="265"/>
      <c r="F617" s="266"/>
      <c r="H617" s="8"/>
      <c r="I617" s="205"/>
      <c r="J617" s="201"/>
    </row>
    <row r="618" spans="1:10" x14ac:dyDescent="0.3">
      <c r="A618" s="8"/>
      <c r="B618" s="267"/>
      <c r="C618" s="267"/>
      <c r="D618" s="267"/>
      <c r="E618" s="265"/>
      <c r="F618" s="266"/>
      <c r="H618" s="8"/>
      <c r="I618" s="205"/>
      <c r="J618" s="201"/>
    </row>
    <row r="619" spans="1:10" x14ac:dyDescent="0.3">
      <c r="A619" s="8"/>
      <c r="B619" s="267"/>
      <c r="C619" s="267"/>
      <c r="D619" s="267"/>
      <c r="E619" s="265"/>
      <c r="F619" s="266"/>
      <c r="H619" s="8"/>
      <c r="I619" s="205"/>
      <c r="J619" s="201"/>
    </row>
    <row r="620" spans="1:10" x14ac:dyDescent="0.3">
      <c r="A620" s="8"/>
      <c r="B620" s="267"/>
      <c r="C620" s="267"/>
      <c r="D620" s="267"/>
      <c r="E620" s="265"/>
      <c r="F620" s="266"/>
      <c r="H620" s="8"/>
      <c r="I620" s="205"/>
      <c r="J620" s="201"/>
    </row>
    <row r="621" spans="1:10" x14ac:dyDescent="0.3">
      <c r="A621" s="8"/>
      <c r="B621" s="267"/>
      <c r="C621" s="267"/>
      <c r="D621" s="267"/>
      <c r="E621" s="265"/>
      <c r="F621" s="266"/>
      <c r="H621" s="8"/>
      <c r="I621" s="205"/>
      <c r="J621" s="201"/>
    </row>
    <row r="622" spans="1:10" x14ac:dyDescent="0.3">
      <c r="A622" s="8"/>
      <c r="B622" s="267"/>
      <c r="C622" s="267"/>
      <c r="D622" s="267"/>
      <c r="E622" s="265"/>
      <c r="F622" s="266"/>
      <c r="H622" s="8"/>
      <c r="I622" s="205"/>
      <c r="J622" s="201"/>
    </row>
    <row r="623" spans="1:10" x14ac:dyDescent="0.3">
      <c r="A623" s="8"/>
      <c r="B623" s="267"/>
      <c r="C623" s="267"/>
      <c r="D623" s="267"/>
      <c r="E623" s="265"/>
      <c r="F623" s="266"/>
      <c r="H623" s="8"/>
      <c r="I623" s="205"/>
      <c r="J623" s="201"/>
    </row>
    <row r="624" spans="1:10" x14ac:dyDescent="0.3">
      <c r="A624" s="8"/>
      <c r="B624" s="267"/>
      <c r="C624" s="267"/>
      <c r="D624" s="267"/>
      <c r="E624" s="265"/>
      <c r="F624" s="266"/>
      <c r="H624" s="8"/>
      <c r="I624" s="205"/>
      <c r="J624" s="201"/>
    </row>
    <row r="625" spans="1:10" x14ac:dyDescent="0.3">
      <c r="A625" s="8"/>
      <c r="B625" s="267"/>
      <c r="C625" s="267"/>
      <c r="D625" s="267"/>
      <c r="E625" s="265"/>
      <c r="F625" s="266"/>
      <c r="H625" s="8"/>
      <c r="I625" s="205"/>
      <c r="J625" s="201"/>
    </row>
    <row r="626" spans="1:10" x14ac:dyDescent="0.3">
      <c r="A626" s="8"/>
      <c r="B626" s="267"/>
      <c r="C626" s="267"/>
      <c r="D626" s="267"/>
      <c r="E626" s="265"/>
      <c r="F626" s="266"/>
      <c r="H626" s="8"/>
      <c r="I626" s="205"/>
      <c r="J626" s="201"/>
    </row>
    <row r="627" spans="1:10" x14ac:dyDescent="0.3">
      <c r="A627" s="8"/>
      <c r="B627" s="267"/>
      <c r="C627" s="267"/>
      <c r="D627" s="267"/>
      <c r="E627" s="265"/>
      <c r="F627" s="266"/>
      <c r="H627" s="8"/>
      <c r="I627" s="205"/>
      <c r="J627" s="201"/>
    </row>
    <row r="628" spans="1:10" x14ac:dyDescent="0.3">
      <c r="A628" s="8"/>
      <c r="B628" s="267"/>
      <c r="C628" s="267"/>
      <c r="D628" s="267"/>
      <c r="E628" s="265"/>
      <c r="F628" s="266"/>
      <c r="H628" s="8"/>
      <c r="I628" s="205"/>
      <c r="J628" s="201"/>
    </row>
    <row r="629" spans="1:10" x14ac:dyDescent="0.3">
      <c r="A629" s="8"/>
      <c r="B629" s="267"/>
      <c r="C629" s="267"/>
      <c r="D629" s="267"/>
      <c r="E629" s="265"/>
      <c r="F629" s="266"/>
      <c r="H629" s="8"/>
      <c r="I629" s="205"/>
      <c r="J629" s="201"/>
    </row>
    <row r="630" spans="1:10" x14ac:dyDescent="0.3">
      <c r="A630" s="8"/>
      <c r="B630" s="267"/>
      <c r="C630" s="267"/>
      <c r="D630" s="267"/>
      <c r="E630" s="265"/>
      <c r="F630" s="266"/>
      <c r="H630" s="8"/>
      <c r="I630" s="205"/>
      <c r="J630" s="201"/>
    </row>
    <row r="631" spans="1:10" x14ac:dyDescent="0.3">
      <c r="A631" s="8"/>
      <c r="B631" s="267"/>
      <c r="C631" s="267"/>
      <c r="D631" s="267"/>
      <c r="E631" s="265"/>
      <c r="F631" s="266"/>
      <c r="H631" s="8"/>
      <c r="I631" s="205"/>
      <c r="J631" s="201"/>
    </row>
    <row r="632" spans="1:10" x14ac:dyDescent="0.3">
      <c r="A632" s="8"/>
      <c r="B632" s="267"/>
      <c r="C632" s="267"/>
      <c r="D632" s="267"/>
      <c r="E632" s="265"/>
      <c r="F632" s="266"/>
      <c r="H632" s="8"/>
      <c r="I632" s="205"/>
      <c r="J632" s="201"/>
    </row>
    <row r="633" spans="1:10" x14ac:dyDescent="0.3">
      <c r="A633" s="8"/>
      <c r="B633" s="267"/>
      <c r="C633" s="267"/>
      <c r="D633" s="267"/>
      <c r="E633" s="265"/>
      <c r="F633" s="266"/>
      <c r="H633" s="8"/>
      <c r="I633" s="205"/>
      <c r="J633" s="201"/>
    </row>
    <row r="634" spans="1:10" x14ac:dyDescent="0.3">
      <c r="A634" s="8"/>
      <c r="B634" s="267"/>
      <c r="C634" s="267"/>
      <c r="D634" s="267"/>
      <c r="E634" s="265"/>
      <c r="F634" s="266"/>
      <c r="H634" s="8"/>
      <c r="I634" s="205"/>
      <c r="J634" s="201"/>
    </row>
    <row r="635" spans="1:10" x14ac:dyDescent="0.3">
      <c r="A635" s="8"/>
      <c r="B635" s="267"/>
      <c r="C635" s="267"/>
      <c r="D635" s="267"/>
      <c r="E635" s="265"/>
      <c r="F635" s="266"/>
      <c r="H635" s="8"/>
      <c r="I635" s="205"/>
      <c r="J635" s="201"/>
    </row>
    <row r="636" spans="1:10" x14ac:dyDescent="0.3">
      <c r="A636" s="8"/>
      <c r="B636" s="267"/>
      <c r="C636" s="267"/>
      <c r="D636" s="267"/>
      <c r="E636" s="265"/>
      <c r="F636" s="266"/>
      <c r="H636" s="8"/>
      <c r="I636" s="205"/>
      <c r="J636" s="201"/>
    </row>
    <row r="637" spans="1:10" x14ac:dyDescent="0.3">
      <c r="A637" s="8"/>
      <c r="B637" s="267"/>
      <c r="C637" s="267"/>
      <c r="D637" s="267"/>
      <c r="E637" s="265"/>
      <c r="F637" s="266"/>
      <c r="H637" s="8"/>
      <c r="I637" s="205"/>
      <c r="J637" s="201"/>
    </row>
    <row r="638" spans="1:10" x14ac:dyDescent="0.3">
      <c r="A638" s="8"/>
      <c r="B638" s="267"/>
      <c r="C638" s="267"/>
      <c r="D638" s="267"/>
      <c r="E638" s="265"/>
      <c r="F638" s="266"/>
      <c r="H638" s="8"/>
      <c r="I638" s="205"/>
      <c r="J638" s="201"/>
    </row>
    <row r="639" spans="1:10" x14ac:dyDescent="0.3">
      <c r="A639" s="8"/>
      <c r="B639" s="267"/>
      <c r="C639" s="267"/>
      <c r="D639" s="267"/>
      <c r="E639" s="265"/>
      <c r="F639" s="266"/>
      <c r="H639" s="8"/>
      <c r="I639" s="205"/>
      <c r="J639" s="201"/>
    </row>
    <row r="640" spans="1:10" x14ac:dyDescent="0.3">
      <c r="A640" s="8"/>
      <c r="B640" s="267"/>
      <c r="C640" s="267"/>
      <c r="D640" s="267"/>
      <c r="E640" s="265"/>
      <c r="F640" s="266"/>
      <c r="H640" s="8"/>
      <c r="I640" s="205"/>
      <c r="J640" s="201"/>
    </row>
    <row r="641" spans="1:10" x14ac:dyDescent="0.3">
      <c r="A641" s="8"/>
      <c r="B641" s="267"/>
      <c r="C641" s="267"/>
      <c r="D641" s="267"/>
      <c r="E641" s="265"/>
      <c r="F641" s="266"/>
      <c r="H641" s="8"/>
      <c r="I641" s="205"/>
      <c r="J641" s="201"/>
    </row>
    <row r="642" spans="1:10" x14ac:dyDescent="0.3">
      <c r="A642" s="8"/>
      <c r="B642" s="267"/>
      <c r="C642" s="267"/>
      <c r="D642" s="267"/>
      <c r="E642" s="265"/>
      <c r="F642" s="266"/>
      <c r="H642" s="8"/>
      <c r="I642" s="205"/>
      <c r="J642" s="201"/>
    </row>
    <row r="643" spans="1:10" x14ac:dyDescent="0.3">
      <c r="A643" s="8"/>
      <c r="B643" s="267"/>
      <c r="C643" s="267"/>
      <c r="D643" s="267"/>
      <c r="E643" s="265"/>
      <c r="F643" s="266"/>
      <c r="H643" s="8"/>
      <c r="I643" s="205"/>
      <c r="J643" s="201"/>
    </row>
    <row r="644" spans="1:10" x14ac:dyDescent="0.3">
      <c r="A644" s="8"/>
      <c r="B644" s="267"/>
      <c r="C644" s="267"/>
      <c r="D644" s="267"/>
      <c r="E644" s="265"/>
      <c r="F644" s="266"/>
      <c r="H644" s="8"/>
      <c r="I644" s="205"/>
      <c r="J644" s="201"/>
    </row>
    <row r="645" spans="1:10" x14ac:dyDescent="0.3">
      <c r="A645" s="8"/>
      <c r="B645" s="267"/>
      <c r="C645" s="267"/>
      <c r="D645" s="267"/>
      <c r="E645" s="265"/>
      <c r="F645" s="266"/>
      <c r="H645" s="8"/>
      <c r="I645" s="205"/>
      <c r="J645" s="201"/>
    </row>
    <row r="646" spans="1:10" x14ac:dyDescent="0.3">
      <c r="A646" s="8"/>
      <c r="B646" s="267"/>
      <c r="C646" s="267"/>
      <c r="D646" s="267"/>
      <c r="E646" s="265"/>
      <c r="F646" s="266"/>
      <c r="H646" s="8"/>
      <c r="I646" s="205"/>
      <c r="J646" s="201"/>
    </row>
    <row r="647" spans="1:10" x14ac:dyDescent="0.3">
      <c r="A647" s="8"/>
      <c r="B647" s="267"/>
      <c r="C647" s="267"/>
      <c r="D647" s="267"/>
      <c r="E647" s="265"/>
      <c r="F647" s="266"/>
      <c r="H647" s="8"/>
      <c r="I647" s="205"/>
      <c r="J647" s="201"/>
    </row>
    <row r="648" spans="1:10" x14ac:dyDescent="0.3">
      <c r="A648" s="8"/>
      <c r="B648" s="267"/>
      <c r="C648" s="267"/>
      <c r="D648" s="267"/>
      <c r="E648" s="265"/>
      <c r="F648" s="266"/>
      <c r="H648" s="8"/>
      <c r="I648" s="205"/>
      <c r="J648" s="201"/>
    </row>
    <row r="649" spans="1:10" x14ac:dyDescent="0.3">
      <c r="A649" s="8"/>
      <c r="B649" s="267"/>
      <c r="C649" s="267"/>
      <c r="D649" s="267"/>
      <c r="E649" s="265"/>
      <c r="F649" s="266"/>
      <c r="H649" s="8"/>
      <c r="I649" s="205"/>
      <c r="J649" s="201"/>
    </row>
    <row r="650" spans="1:10" x14ac:dyDescent="0.3">
      <c r="A650" s="8"/>
      <c r="B650" s="267"/>
      <c r="C650" s="267"/>
      <c r="D650" s="267"/>
      <c r="E650" s="265"/>
      <c r="F650" s="266"/>
      <c r="H650" s="8"/>
      <c r="I650" s="205"/>
      <c r="J650" s="201"/>
    </row>
    <row r="651" spans="1:10" x14ac:dyDescent="0.3">
      <c r="A651" s="8"/>
      <c r="B651" s="267"/>
      <c r="C651" s="267"/>
      <c r="D651" s="267"/>
      <c r="E651" s="265"/>
      <c r="F651" s="266"/>
      <c r="H651" s="8"/>
      <c r="I651" s="205"/>
      <c r="J651" s="201"/>
    </row>
    <row r="652" spans="1:10" x14ac:dyDescent="0.3">
      <c r="A652" s="8"/>
      <c r="B652" s="267"/>
      <c r="C652" s="267"/>
      <c r="D652" s="267"/>
      <c r="E652" s="265"/>
      <c r="F652" s="266"/>
      <c r="H652" s="8"/>
      <c r="I652" s="205"/>
      <c r="J652" s="201"/>
    </row>
    <row r="653" spans="1:10" x14ac:dyDescent="0.3">
      <c r="A653" s="8"/>
      <c r="B653" s="267"/>
      <c r="C653" s="267"/>
      <c r="D653" s="267"/>
      <c r="E653" s="265"/>
      <c r="F653" s="266"/>
      <c r="H653" s="8"/>
      <c r="I653" s="205"/>
      <c r="J653" s="201"/>
    </row>
    <row r="654" spans="1:10" x14ac:dyDescent="0.3">
      <c r="A654" s="8"/>
      <c r="B654" s="267"/>
      <c r="C654" s="267"/>
      <c r="D654" s="267"/>
      <c r="E654" s="265"/>
      <c r="F654" s="266"/>
      <c r="H654" s="8"/>
      <c r="I654" s="205"/>
      <c r="J654" s="201"/>
    </row>
    <row r="655" spans="1:10" x14ac:dyDescent="0.3">
      <c r="A655" s="8"/>
      <c r="B655" s="267"/>
      <c r="C655" s="267"/>
      <c r="D655" s="267"/>
      <c r="E655" s="265"/>
      <c r="F655" s="266"/>
      <c r="H655" s="8"/>
      <c r="I655" s="205"/>
      <c r="J655" s="201"/>
    </row>
    <row r="656" spans="1:10" x14ac:dyDescent="0.3">
      <c r="A656" s="8"/>
      <c r="B656" s="267"/>
      <c r="C656" s="267"/>
      <c r="D656" s="267"/>
      <c r="E656" s="265"/>
      <c r="F656" s="266"/>
      <c r="H656" s="8"/>
      <c r="I656" s="205"/>
      <c r="J656" s="201"/>
    </row>
    <row r="657" spans="1:10" x14ac:dyDescent="0.3">
      <c r="A657" s="8"/>
      <c r="B657" s="267"/>
      <c r="C657" s="267"/>
      <c r="D657" s="267"/>
      <c r="E657" s="265"/>
      <c r="F657" s="266"/>
      <c r="H657" s="8"/>
      <c r="I657" s="205"/>
      <c r="J657" s="201"/>
    </row>
    <row r="658" spans="1:10" x14ac:dyDescent="0.3">
      <c r="A658" s="8"/>
      <c r="B658" s="267"/>
      <c r="C658" s="267"/>
      <c r="D658" s="267"/>
      <c r="E658" s="265"/>
      <c r="F658" s="266"/>
      <c r="H658" s="8"/>
      <c r="I658" s="205"/>
      <c r="J658" s="201"/>
    </row>
    <row r="659" spans="1:10" x14ac:dyDescent="0.3">
      <c r="A659" s="8"/>
      <c r="B659" s="267"/>
      <c r="C659" s="267"/>
      <c r="D659" s="267"/>
      <c r="E659" s="265"/>
      <c r="F659" s="266"/>
      <c r="H659" s="8"/>
      <c r="I659" s="205"/>
      <c r="J659" s="201"/>
    </row>
    <row r="660" spans="1:10" x14ac:dyDescent="0.3">
      <c r="A660" s="8"/>
      <c r="B660" s="267"/>
      <c r="C660" s="267"/>
      <c r="D660" s="267"/>
      <c r="E660" s="265"/>
      <c r="F660" s="266"/>
      <c r="H660" s="8"/>
      <c r="I660" s="205"/>
      <c r="J660" s="201"/>
    </row>
    <row r="661" spans="1:10" x14ac:dyDescent="0.3">
      <c r="A661" s="8"/>
      <c r="B661" s="267"/>
      <c r="C661" s="267"/>
      <c r="D661" s="267"/>
      <c r="E661" s="265"/>
      <c r="F661" s="266"/>
      <c r="H661" s="8"/>
      <c r="I661" s="205"/>
      <c r="J661" s="201"/>
    </row>
    <row r="662" spans="1:10" x14ac:dyDescent="0.3">
      <c r="A662" s="8"/>
      <c r="B662" s="267"/>
      <c r="C662" s="267"/>
      <c r="D662" s="267"/>
      <c r="E662" s="265"/>
      <c r="F662" s="266"/>
      <c r="H662" s="8"/>
      <c r="I662" s="205"/>
      <c r="J662" s="201"/>
    </row>
    <row r="663" spans="1:10" x14ac:dyDescent="0.3">
      <c r="A663" s="8"/>
      <c r="B663" s="267"/>
      <c r="C663" s="267"/>
      <c r="D663" s="267"/>
      <c r="E663" s="265"/>
      <c r="F663" s="266"/>
      <c r="H663" s="8"/>
      <c r="I663" s="205"/>
      <c r="J663" s="201"/>
    </row>
    <row r="664" spans="1:10" x14ac:dyDescent="0.3">
      <c r="A664" s="8"/>
      <c r="B664" s="267"/>
      <c r="C664" s="267"/>
      <c r="D664" s="267"/>
      <c r="E664" s="265"/>
      <c r="F664" s="266"/>
      <c r="H664" s="8"/>
      <c r="I664" s="205"/>
      <c r="J664" s="201"/>
    </row>
    <row r="665" spans="1:10" x14ac:dyDescent="0.3">
      <c r="A665" s="8"/>
      <c r="B665" s="267"/>
      <c r="C665" s="267"/>
      <c r="D665" s="267"/>
      <c r="E665" s="265"/>
      <c r="F665" s="266"/>
      <c r="H665" s="8"/>
      <c r="I665" s="205"/>
      <c r="J665" s="201"/>
    </row>
    <row r="666" spans="1:10" x14ac:dyDescent="0.3">
      <c r="A666" s="8"/>
      <c r="B666" s="267"/>
      <c r="C666" s="267"/>
      <c r="D666" s="267"/>
      <c r="E666" s="265"/>
      <c r="F666" s="266"/>
      <c r="H666" s="8"/>
      <c r="I666" s="205"/>
      <c r="J666" s="201"/>
    </row>
    <row r="667" spans="1:10" x14ac:dyDescent="0.3">
      <c r="A667" s="8"/>
      <c r="B667" s="267"/>
      <c r="C667" s="267"/>
      <c r="D667" s="267"/>
      <c r="E667" s="265"/>
      <c r="F667" s="266"/>
      <c r="H667" s="8"/>
      <c r="I667" s="205"/>
      <c r="J667" s="201"/>
    </row>
    <row r="668" spans="1:10" x14ac:dyDescent="0.3">
      <c r="A668" s="8"/>
      <c r="B668" s="267"/>
      <c r="C668" s="267"/>
      <c r="D668" s="267"/>
      <c r="E668" s="265"/>
      <c r="F668" s="266"/>
      <c r="H668" s="8"/>
      <c r="I668" s="205"/>
      <c r="J668" s="201"/>
    </row>
    <row r="669" spans="1:10" x14ac:dyDescent="0.3">
      <c r="A669" s="8"/>
      <c r="B669" s="267"/>
      <c r="C669" s="267"/>
      <c r="D669" s="267"/>
      <c r="E669" s="265"/>
      <c r="F669" s="266"/>
      <c r="H669" s="8"/>
      <c r="I669" s="205"/>
      <c r="J669" s="201"/>
    </row>
    <row r="670" spans="1:10" x14ac:dyDescent="0.3">
      <c r="A670" s="8"/>
      <c r="B670" s="267"/>
      <c r="C670" s="267"/>
      <c r="D670" s="267"/>
      <c r="E670" s="265"/>
      <c r="F670" s="266"/>
      <c r="H670" s="8"/>
      <c r="I670" s="205"/>
      <c r="J670" s="201"/>
    </row>
    <row r="671" spans="1:10" x14ac:dyDescent="0.3">
      <c r="A671" s="8"/>
      <c r="B671" s="267"/>
      <c r="C671" s="267"/>
      <c r="D671" s="267"/>
      <c r="E671" s="265"/>
      <c r="F671" s="266"/>
      <c r="H671" s="8"/>
      <c r="I671" s="205"/>
      <c r="J671" s="201"/>
    </row>
    <row r="672" spans="1:10" x14ac:dyDescent="0.3">
      <c r="A672" s="8"/>
      <c r="B672" s="267"/>
      <c r="C672" s="267"/>
      <c r="D672" s="267"/>
      <c r="E672" s="265"/>
      <c r="F672" s="266"/>
      <c r="H672" s="8"/>
      <c r="I672" s="205"/>
      <c r="J672" s="201"/>
    </row>
    <row r="673" spans="1:10" x14ac:dyDescent="0.3">
      <c r="A673" s="8"/>
      <c r="B673" s="267"/>
      <c r="C673" s="267"/>
      <c r="D673" s="267"/>
      <c r="E673" s="265"/>
      <c r="F673" s="266"/>
      <c r="H673" s="8"/>
      <c r="I673" s="205"/>
      <c r="J673" s="201"/>
    </row>
    <row r="674" spans="1:10" x14ac:dyDescent="0.3">
      <c r="A674" s="8"/>
      <c r="B674" s="267"/>
      <c r="C674" s="267"/>
      <c r="D674" s="267"/>
      <c r="E674" s="265"/>
      <c r="F674" s="266"/>
      <c r="H674" s="8"/>
      <c r="I674" s="205"/>
      <c r="J674" s="201"/>
    </row>
    <row r="675" spans="1:10" x14ac:dyDescent="0.3">
      <c r="A675" s="8"/>
      <c r="B675" s="267"/>
      <c r="C675" s="267"/>
      <c r="D675" s="267"/>
      <c r="E675" s="265"/>
      <c r="F675" s="266"/>
      <c r="H675" s="8"/>
      <c r="I675" s="205"/>
      <c r="J675" s="201"/>
    </row>
    <row r="676" spans="1:10" x14ac:dyDescent="0.3">
      <c r="A676" s="8"/>
      <c r="B676" s="267"/>
      <c r="C676" s="267"/>
      <c r="D676" s="267"/>
      <c r="E676" s="265"/>
      <c r="F676" s="266"/>
      <c r="H676" s="8"/>
      <c r="I676" s="205"/>
      <c r="J676" s="201"/>
    </row>
    <row r="677" spans="1:10" x14ac:dyDescent="0.3">
      <c r="A677" s="8"/>
      <c r="B677" s="267"/>
      <c r="C677" s="267"/>
      <c r="D677" s="267"/>
      <c r="E677" s="265"/>
      <c r="F677" s="266"/>
      <c r="H677" s="8"/>
      <c r="I677" s="205"/>
      <c r="J677" s="201"/>
    </row>
    <row r="678" spans="1:10" x14ac:dyDescent="0.3">
      <c r="A678" s="8"/>
      <c r="B678" s="267"/>
      <c r="C678" s="267"/>
      <c r="D678" s="267"/>
      <c r="E678" s="265"/>
      <c r="F678" s="266"/>
      <c r="H678" s="8"/>
      <c r="I678" s="205"/>
      <c r="J678" s="201"/>
    </row>
    <row r="679" spans="1:10" x14ac:dyDescent="0.3">
      <c r="A679" s="8"/>
      <c r="B679" s="267"/>
      <c r="C679" s="267"/>
      <c r="D679" s="267"/>
      <c r="E679" s="265"/>
      <c r="F679" s="266"/>
      <c r="H679" s="8"/>
      <c r="I679" s="205"/>
      <c r="J679" s="201"/>
    </row>
    <row r="680" spans="1:10" x14ac:dyDescent="0.3">
      <c r="A680" s="8"/>
      <c r="B680" s="267"/>
      <c r="C680" s="267"/>
      <c r="D680" s="267"/>
      <c r="E680" s="265"/>
      <c r="F680" s="266"/>
      <c r="H680" s="8"/>
      <c r="I680" s="205"/>
      <c r="J680" s="201"/>
    </row>
    <row r="681" spans="1:10" x14ac:dyDescent="0.3">
      <c r="A681" s="8"/>
      <c r="B681" s="267"/>
      <c r="C681" s="267"/>
      <c r="D681" s="267"/>
      <c r="E681" s="265"/>
      <c r="F681" s="266"/>
      <c r="H681" s="8"/>
      <c r="I681" s="205"/>
      <c r="J681" s="201"/>
    </row>
    <row r="682" spans="1:10" x14ac:dyDescent="0.3">
      <c r="A682" s="8"/>
      <c r="B682" s="267"/>
      <c r="C682" s="267"/>
      <c r="D682" s="267"/>
      <c r="E682" s="265"/>
      <c r="F682" s="266"/>
      <c r="H682" s="8"/>
      <c r="I682" s="205"/>
      <c r="J682" s="201"/>
    </row>
    <row r="683" spans="1:10" x14ac:dyDescent="0.3">
      <c r="A683" s="8"/>
      <c r="B683" s="267"/>
      <c r="C683" s="267"/>
      <c r="D683" s="267"/>
      <c r="E683" s="265"/>
      <c r="F683" s="266"/>
      <c r="H683" s="8"/>
      <c r="I683" s="205"/>
      <c r="J683" s="201"/>
    </row>
    <row r="684" spans="1:10" x14ac:dyDescent="0.3">
      <c r="A684" s="8"/>
      <c r="B684" s="267"/>
      <c r="C684" s="267"/>
      <c r="D684" s="267"/>
      <c r="E684" s="265"/>
      <c r="F684" s="266"/>
      <c r="H684" s="8"/>
      <c r="I684" s="205"/>
      <c r="J684" s="201"/>
    </row>
    <row r="685" spans="1:10" x14ac:dyDescent="0.3">
      <c r="A685" s="8"/>
      <c r="B685" s="267"/>
      <c r="C685" s="267"/>
      <c r="D685" s="267"/>
      <c r="E685" s="265"/>
      <c r="F685" s="266"/>
      <c r="H685" s="8"/>
      <c r="I685" s="205"/>
      <c r="J685" s="201"/>
    </row>
    <row r="686" spans="1:10" x14ac:dyDescent="0.3">
      <c r="A686" s="8"/>
      <c r="B686" s="267"/>
      <c r="C686" s="267"/>
      <c r="D686" s="267"/>
      <c r="E686" s="265"/>
      <c r="F686" s="266"/>
      <c r="H686" s="8"/>
      <c r="I686" s="205"/>
      <c r="J686" s="201"/>
    </row>
    <row r="687" spans="1:10" x14ac:dyDescent="0.3">
      <c r="A687" s="8"/>
      <c r="B687" s="267"/>
      <c r="C687" s="267"/>
      <c r="D687" s="267"/>
      <c r="E687" s="265"/>
      <c r="F687" s="266"/>
      <c r="H687" s="8"/>
      <c r="I687" s="205"/>
      <c r="J687" s="201"/>
    </row>
    <row r="688" spans="1:10" x14ac:dyDescent="0.3">
      <c r="A688" s="8"/>
      <c r="B688" s="267"/>
      <c r="C688" s="267"/>
      <c r="D688" s="267"/>
      <c r="E688" s="265"/>
      <c r="F688" s="266"/>
      <c r="H688" s="8"/>
      <c r="I688" s="205"/>
      <c r="J688" s="201"/>
    </row>
    <row r="689" spans="1:10" x14ac:dyDescent="0.3">
      <c r="A689" s="8"/>
      <c r="B689" s="267"/>
      <c r="C689" s="267"/>
      <c r="D689" s="267"/>
      <c r="E689" s="265"/>
      <c r="F689" s="266"/>
      <c r="H689" s="8"/>
      <c r="I689" s="205"/>
      <c r="J689" s="201"/>
    </row>
    <row r="690" spans="1:10" x14ac:dyDescent="0.3">
      <c r="A690" s="8"/>
      <c r="B690" s="267"/>
      <c r="C690" s="267"/>
      <c r="D690" s="267"/>
      <c r="E690" s="265"/>
      <c r="F690" s="266"/>
      <c r="H690" s="8"/>
      <c r="I690" s="205"/>
      <c r="J690" s="201"/>
    </row>
    <row r="691" spans="1:10" x14ac:dyDescent="0.3">
      <c r="A691" s="8"/>
      <c r="B691" s="267"/>
      <c r="C691" s="267"/>
      <c r="D691" s="267"/>
      <c r="E691" s="265"/>
      <c r="F691" s="266"/>
      <c r="H691" s="8"/>
      <c r="I691" s="205"/>
      <c r="J691" s="201"/>
    </row>
    <row r="692" spans="1:10" x14ac:dyDescent="0.3">
      <c r="A692" s="8"/>
      <c r="B692" s="267"/>
      <c r="C692" s="267"/>
      <c r="D692" s="267"/>
      <c r="E692" s="265"/>
      <c r="F692" s="266"/>
      <c r="H692" s="8"/>
      <c r="I692" s="205"/>
      <c r="J692" s="201"/>
    </row>
    <row r="693" spans="1:10" x14ac:dyDescent="0.3">
      <c r="A693" s="8"/>
      <c r="B693" s="267"/>
      <c r="C693" s="267"/>
      <c r="D693" s="267"/>
      <c r="E693" s="265"/>
      <c r="F693" s="266"/>
      <c r="H693" s="8"/>
      <c r="I693" s="205"/>
      <c r="J693" s="201"/>
    </row>
    <row r="694" spans="1:10" x14ac:dyDescent="0.3">
      <c r="A694" s="8"/>
      <c r="B694" s="267"/>
      <c r="C694" s="267"/>
      <c r="D694" s="267"/>
      <c r="E694" s="265"/>
      <c r="F694" s="266"/>
      <c r="H694" s="8"/>
      <c r="I694" s="205"/>
      <c r="J694" s="201"/>
    </row>
    <row r="695" spans="1:10" x14ac:dyDescent="0.3">
      <c r="A695" s="8"/>
      <c r="B695" s="267"/>
      <c r="C695" s="267"/>
      <c r="D695" s="267"/>
      <c r="E695" s="265"/>
      <c r="F695" s="266"/>
      <c r="H695" s="8"/>
      <c r="I695" s="205"/>
      <c r="J695" s="201"/>
    </row>
    <row r="696" spans="1:10" x14ac:dyDescent="0.3">
      <c r="A696" s="8"/>
      <c r="B696" s="267"/>
      <c r="C696" s="267"/>
      <c r="D696" s="267"/>
      <c r="E696" s="265"/>
      <c r="F696" s="266"/>
      <c r="H696" s="8"/>
      <c r="I696" s="205"/>
      <c r="J696" s="201"/>
    </row>
    <row r="697" spans="1:10" x14ac:dyDescent="0.3">
      <c r="A697" s="8"/>
      <c r="B697" s="267"/>
      <c r="C697" s="267"/>
      <c r="D697" s="267"/>
      <c r="E697" s="265"/>
      <c r="F697" s="266"/>
      <c r="H697" s="8"/>
      <c r="I697" s="205"/>
      <c r="J697" s="201"/>
    </row>
    <row r="698" spans="1:10" x14ac:dyDescent="0.3">
      <c r="A698" s="8"/>
      <c r="B698" s="267"/>
      <c r="C698" s="267"/>
      <c r="D698" s="267"/>
      <c r="E698" s="265"/>
      <c r="F698" s="266"/>
      <c r="H698" s="8"/>
      <c r="I698" s="205"/>
      <c r="J698" s="201"/>
    </row>
    <row r="699" spans="1:10" x14ac:dyDescent="0.3">
      <c r="A699" s="8"/>
      <c r="B699" s="267"/>
      <c r="C699" s="267"/>
      <c r="D699" s="267"/>
      <c r="E699" s="265"/>
      <c r="F699" s="266"/>
      <c r="H699" s="8"/>
      <c r="I699" s="205"/>
      <c r="J699" s="201"/>
    </row>
    <row r="700" spans="1:10" x14ac:dyDescent="0.3">
      <c r="A700" s="8"/>
      <c r="B700" s="267"/>
      <c r="C700" s="267"/>
      <c r="D700" s="267"/>
      <c r="E700" s="265"/>
      <c r="F700" s="266"/>
      <c r="H700" s="8"/>
      <c r="I700" s="205"/>
      <c r="J700" s="201"/>
    </row>
    <row r="701" spans="1:10" x14ac:dyDescent="0.3">
      <c r="A701" s="8"/>
      <c r="B701" s="267"/>
      <c r="C701" s="267"/>
      <c r="D701" s="267"/>
      <c r="E701" s="265"/>
      <c r="F701" s="266"/>
      <c r="H701" s="8"/>
      <c r="I701" s="205"/>
      <c r="J701" s="201"/>
    </row>
    <row r="702" spans="1:10" x14ac:dyDescent="0.3">
      <c r="A702" s="8"/>
      <c r="B702" s="267"/>
      <c r="C702" s="267"/>
      <c r="D702" s="267"/>
      <c r="E702" s="265"/>
      <c r="F702" s="266"/>
      <c r="H702" s="8"/>
      <c r="I702" s="205"/>
      <c r="J702" s="201"/>
    </row>
    <row r="703" spans="1:10" x14ac:dyDescent="0.3">
      <c r="A703" s="8"/>
      <c r="B703" s="267"/>
      <c r="C703" s="267"/>
      <c r="D703" s="267"/>
      <c r="E703" s="265"/>
      <c r="F703" s="266"/>
      <c r="H703" s="8"/>
      <c r="I703" s="205"/>
      <c r="J703" s="201"/>
    </row>
    <row r="704" spans="1:10" x14ac:dyDescent="0.3">
      <c r="A704" s="8"/>
      <c r="B704" s="267"/>
      <c r="C704" s="267"/>
      <c r="D704" s="267"/>
      <c r="E704" s="265"/>
      <c r="F704" s="266"/>
      <c r="H704" s="8"/>
      <c r="I704" s="205"/>
      <c r="J704" s="201"/>
    </row>
    <row r="705" spans="1:10" x14ac:dyDescent="0.3">
      <c r="A705" s="8"/>
      <c r="B705" s="267"/>
      <c r="C705" s="267"/>
      <c r="D705" s="267"/>
      <c r="E705" s="265"/>
      <c r="F705" s="266"/>
      <c r="H705" s="8"/>
      <c r="I705" s="205"/>
      <c r="J705" s="201"/>
    </row>
    <row r="706" spans="1:10" x14ac:dyDescent="0.3">
      <c r="A706" s="8"/>
      <c r="B706" s="267"/>
      <c r="C706" s="267"/>
      <c r="D706" s="267"/>
      <c r="E706" s="265"/>
      <c r="F706" s="266"/>
      <c r="H706" s="8"/>
      <c r="I706" s="205"/>
      <c r="J706" s="201"/>
    </row>
    <row r="707" spans="1:10" x14ac:dyDescent="0.3">
      <c r="A707" s="8"/>
      <c r="B707" s="267"/>
      <c r="C707" s="267"/>
      <c r="D707" s="267"/>
      <c r="E707" s="265"/>
      <c r="F707" s="266"/>
      <c r="H707" s="8"/>
      <c r="I707" s="205"/>
      <c r="J707" s="201"/>
    </row>
    <row r="708" spans="1:10" x14ac:dyDescent="0.3">
      <c r="A708" s="8"/>
      <c r="B708" s="267"/>
      <c r="C708" s="267"/>
      <c r="D708" s="267"/>
      <c r="E708" s="265"/>
      <c r="F708" s="266"/>
      <c r="H708" s="8"/>
      <c r="I708" s="205"/>
      <c r="J708" s="201"/>
    </row>
    <row r="709" spans="1:10" x14ac:dyDescent="0.3">
      <c r="A709" s="8"/>
      <c r="B709" s="267"/>
      <c r="C709" s="267"/>
      <c r="D709" s="267"/>
      <c r="E709" s="265"/>
      <c r="F709" s="266"/>
      <c r="H709" s="8"/>
      <c r="I709" s="205"/>
      <c r="J709" s="201"/>
    </row>
    <row r="710" spans="1:10" x14ac:dyDescent="0.3">
      <c r="A710" s="8"/>
      <c r="B710" s="267"/>
      <c r="C710" s="267"/>
      <c r="D710" s="267"/>
      <c r="E710" s="265"/>
      <c r="F710" s="266"/>
      <c r="H710" s="8"/>
      <c r="I710" s="205"/>
      <c r="J710" s="201"/>
    </row>
    <row r="711" spans="1:10" x14ac:dyDescent="0.3">
      <c r="A711" s="8"/>
      <c r="B711" s="267"/>
      <c r="C711" s="267"/>
      <c r="D711" s="267"/>
      <c r="E711" s="265"/>
      <c r="F711" s="266"/>
      <c r="H711" s="8"/>
      <c r="I711" s="205"/>
      <c r="J711" s="201"/>
    </row>
    <row r="712" spans="1:10" x14ac:dyDescent="0.3">
      <c r="A712" s="8"/>
      <c r="B712" s="267"/>
      <c r="C712" s="267"/>
      <c r="D712" s="267"/>
      <c r="E712" s="265"/>
      <c r="F712" s="266"/>
      <c r="H712" s="8"/>
      <c r="I712" s="205"/>
      <c r="J712" s="201"/>
    </row>
    <row r="713" spans="1:10" x14ac:dyDescent="0.3">
      <c r="A713" s="8"/>
      <c r="B713" s="267"/>
      <c r="C713" s="267"/>
      <c r="D713" s="267"/>
      <c r="E713" s="265"/>
      <c r="F713" s="266"/>
      <c r="H713" s="8"/>
      <c r="I713" s="205"/>
      <c r="J713" s="201"/>
    </row>
    <row r="714" spans="1:10" x14ac:dyDescent="0.3">
      <c r="A714" s="8"/>
      <c r="B714" s="267"/>
      <c r="C714" s="267"/>
      <c r="D714" s="267"/>
      <c r="E714" s="265"/>
      <c r="F714" s="266"/>
      <c r="H714" s="8"/>
      <c r="I714" s="205"/>
      <c r="J714" s="201"/>
    </row>
    <row r="715" spans="1:10" x14ac:dyDescent="0.3">
      <c r="A715" s="8"/>
      <c r="B715" s="267"/>
      <c r="C715" s="267"/>
      <c r="D715" s="267"/>
      <c r="E715" s="265"/>
      <c r="F715" s="266"/>
      <c r="H715" s="8"/>
      <c r="I715" s="205"/>
      <c r="J715" s="201"/>
    </row>
    <row r="716" spans="1:10" x14ac:dyDescent="0.3">
      <c r="A716" s="8"/>
      <c r="B716" s="267"/>
      <c r="C716" s="267"/>
      <c r="D716" s="267"/>
      <c r="E716" s="265"/>
      <c r="F716" s="266"/>
      <c r="H716" s="8"/>
      <c r="I716" s="205"/>
      <c r="J716" s="201"/>
    </row>
    <row r="717" spans="1:10" x14ac:dyDescent="0.3">
      <c r="A717" s="8"/>
      <c r="B717" s="267"/>
      <c r="C717" s="267"/>
      <c r="D717" s="267"/>
      <c r="E717" s="265"/>
      <c r="F717" s="266"/>
      <c r="H717" s="8"/>
      <c r="I717" s="205"/>
      <c r="J717" s="201"/>
    </row>
    <row r="718" spans="1:10" x14ac:dyDescent="0.3">
      <c r="A718" s="8"/>
      <c r="B718" s="267"/>
      <c r="C718" s="267"/>
      <c r="D718" s="267"/>
      <c r="E718" s="265"/>
      <c r="F718" s="266"/>
      <c r="H718" s="8"/>
      <c r="I718" s="205"/>
      <c r="J718" s="201"/>
    </row>
    <row r="719" spans="1:10" x14ac:dyDescent="0.3">
      <c r="A719" s="8"/>
      <c r="B719" s="267"/>
      <c r="C719" s="267"/>
      <c r="D719" s="267"/>
      <c r="E719" s="265"/>
      <c r="F719" s="266"/>
      <c r="H719" s="8"/>
      <c r="I719" s="205"/>
      <c r="J719" s="201"/>
    </row>
    <row r="720" spans="1:10" x14ac:dyDescent="0.3">
      <c r="A720" s="8"/>
      <c r="B720" s="267"/>
      <c r="C720" s="267"/>
      <c r="D720" s="267"/>
      <c r="E720" s="265"/>
      <c r="F720" s="266"/>
      <c r="H720" s="8"/>
      <c r="I720" s="205"/>
      <c r="J720" s="201"/>
    </row>
    <row r="721" spans="1:10" x14ac:dyDescent="0.3">
      <c r="A721" s="8"/>
      <c r="B721" s="267"/>
      <c r="C721" s="267"/>
      <c r="D721" s="267"/>
      <c r="E721" s="265"/>
      <c r="F721" s="266"/>
      <c r="H721" s="8"/>
      <c r="I721" s="205"/>
      <c r="J721" s="201"/>
    </row>
    <row r="722" spans="1:10" x14ac:dyDescent="0.3">
      <c r="A722" s="8"/>
      <c r="B722" s="267"/>
      <c r="C722" s="267"/>
      <c r="D722" s="267"/>
      <c r="E722" s="265"/>
      <c r="F722" s="266"/>
      <c r="H722" s="8"/>
      <c r="I722" s="205"/>
      <c r="J722" s="201"/>
    </row>
    <row r="723" spans="1:10" x14ac:dyDescent="0.3">
      <c r="A723" s="8"/>
      <c r="B723" s="267"/>
      <c r="C723" s="267"/>
      <c r="D723" s="267"/>
      <c r="E723" s="265"/>
      <c r="F723" s="266"/>
      <c r="H723" s="8"/>
      <c r="I723" s="205"/>
      <c r="J723" s="201"/>
    </row>
    <row r="724" spans="1:10" x14ac:dyDescent="0.3">
      <c r="A724" s="8"/>
      <c r="B724" s="267"/>
      <c r="C724" s="267"/>
      <c r="D724" s="267"/>
      <c r="E724" s="265"/>
      <c r="F724" s="266"/>
      <c r="H724" s="8"/>
      <c r="I724" s="205"/>
      <c r="J724" s="201"/>
    </row>
    <row r="725" spans="1:10" x14ac:dyDescent="0.3">
      <c r="A725" s="8"/>
      <c r="B725" s="267"/>
      <c r="C725" s="267"/>
      <c r="D725" s="267"/>
      <c r="E725" s="265"/>
      <c r="F725" s="266"/>
      <c r="H725" s="8"/>
      <c r="I725" s="205"/>
      <c r="J725" s="201"/>
    </row>
    <row r="726" spans="1:10" x14ac:dyDescent="0.3">
      <c r="A726" s="8"/>
      <c r="B726" s="267"/>
      <c r="C726" s="267"/>
      <c r="D726" s="267"/>
      <c r="E726" s="265"/>
      <c r="F726" s="266"/>
      <c r="H726" s="8"/>
      <c r="I726" s="205"/>
      <c r="J726" s="201"/>
    </row>
    <row r="727" spans="1:10" x14ac:dyDescent="0.3">
      <c r="A727" s="8"/>
      <c r="B727" s="267"/>
      <c r="C727" s="267"/>
      <c r="D727" s="267"/>
      <c r="E727" s="265"/>
      <c r="F727" s="266"/>
      <c r="H727" s="8"/>
      <c r="I727" s="205"/>
      <c r="J727" s="201"/>
    </row>
    <row r="728" spans="1:10" x14ac:dyDescent="0.3">
      <c r="A728" s="8"/>
      <c r="B728" s="267"/>
      <c r="C728" s="267"/>
      <c r="D728" s="267"/>
      <c r="E728" s="265"/>
      <c r="F728" s="266"/>
      <c r="H728" s="8"/>
      <c r="I728" s="205"/>
      <c r="J728" s="201"/>
    </row>
    <row r="729" spans="1:10" x14ac:dyDescent="0.3">
      <c r="A729" s="8"/>
      <c r="B729" s="267"/>
      <c r="C729" s="267"/>
      <c r="D729" s="267"/>
      <c r="E729" s="265"/>
      <c r="F729" s="266"/>
      <c r="H729" s="8"/>
      <c r="I729" s="205"/>
      <c r="J729" s="201"/>
    </row>
    <row r="730" spans="1:10" x14ac:dyDescent="0.3">
      <c r="A730" s="8"/>
      <c r="B730" s="267"/>
      <c r="C730" s="267"/>
      <c r="D730" s="267"/>
      <c r="E730" s="265"/>
      <c r="F730" s="266"/>
      <c r="H730" s="8"/>
      <c r="I730" s="205"/>
      <c r="J730" s="201"/>
    </row>
    <row r="731" spans="1:10" x14ac:dyDescent="0.3">
      <c r="A731" s="8"/>
      <c r="B731" s="267"/>
      <c r="C731" s="267"/>
      <c r="D731" s="267"/>
      <c r="E731" s="265"/>
      <c r="F731" s="266"/>
      <c r="H731" s="8"/>
      <c r="I731" s="205"/>
      <c r="J731" s="201"/>
    </row>
    <row r="732" spans="1:10" x14ac:dyDescent="0.3">
      <c r="A732" s="8"/>
      <c r="B732" s="267"/>
      <c r="C732" s="267"/>
      <c r="D732" s="267"/>
      <c r="E732" s="265"/>
      <c r="F732" s="266"/>
      <c r="H732" s="8"/>
      <c r="I732" s="205"/>
      <c r="J732" s="201"/>
    </row>
    <row r="733" spans="1:10" x14ac:dyDescent="0.3">
      <c r="A733" s="8"/>
      <c r="B733" s="267"/>
      <c r="C733" s="267"/>
      <c r="D733" s="267"/>
      <c r="E733" s="265"/>
      <c r="F733" s="266"/>
      <c r="H733" s="8"/>
      <c r="I733" s="205"/>
      <c r="J733" s="201"/>
    </row>
    <row r="734" spans="1:10" x14ac:dyDescent="0.3">
      <c r="A734" s="8"/>
      <c r="B734" s="267"/>
      <c r="C734" s="267"/>
      <c r="D734" s="267"/>
      <c r="E734" s="265"/>
      <c r="F734" s="266"/>
      <c r="H734" s="8"/>
      <c r="I734" s="205"/>
      <c r="J734" s="201"/>
    </row>
    <row r="735" spans="1:10" x14ac:dyDescent="0.3">
      <c r="A735" s="8"/>
      <c r="B735" s="267"/>
      <c r="C735" s="267"/>
      <c r="D735" s="267"/>
      <c r="E735" s="265"/>
      <c r="F735" s="266"/>
      <c r="H735" s="8"/>
      <c r="I735" s="205"/>
      <c r="J735" s="201"/>
    </row>
    <row r="736" spans="1:10" x14ac:dyDescent="0.3">
      <c r="A736" s="8"/>
      <c r="B736" s="267"/>
      <c r="C736" s="267"/>
      <c r="D736" s="267"/>
      <c r="E736" s="265"/>
      <c r="F736" s="266"/>
      <c r="H736" s="8"/>
      <c r="I736" s="205"/>
      <c r="J736" s="201"/>
    </row>
    <row r="737" spans="1:10" x14ac:dyDescent="0.3">
      <c r="A737" s="8"/>
      <c r="B737" s="267"/>
      <c r="C737" s="267"/>
      <c r="D737" s="267"/>
      <c r="E737" s="265"/>
      <c r="F737" s="266"/>
      <c r="H737" s="8"/>
      <c r="I737" s="205"/>
      <c r="J737" s="201"/>
    </row>
    <row r="738" spans="1:10" x14ac:dyDescent="0.3">
      <c r="A738" s="8"/>
      <c r="B738" s="267"/>
      <c r="C738" s="267"/>
      <c r="D738" s="267"/>
      <c r="E738" s="265"/>
      <c r="F738" s="266"/>
      <c r="H738" s="8"/>
      <c r="I738" s="205"/>
      <c r="J738" s="201"/>
    </row>
    <row r="739" spans="1:10" x14ac:dyDescent="0.3">
      <c r="A739" s="8"/>
      <c r="B739" s="267"/>
      <c r="C739" s="267"/>
      <c r="D739" s="267"/>
      <c r="E739" s="265"/>
      <c r="F739" s="266"/>
      <c r="H739" s="8"/>
      <c r="I739" s="205"/>
      <c r="J739" s="201"/>
    </row>
    <row r="740" spans="1:10" x14ac:dyDescent="0.3">
      <c r="A740" s="8"/>
      <c r="B740" s="267"/>
      <c r="C740" s="267"/>
      <c r="D740" s="267"/>
      <c r="E740" s="265"/>
      <c r="F740" s="266"/>
      <c r="H740" s="8"/>
      <c r="I740" s="205"/>
      <c r="J740" s="201"/>
    </row>
    <row r="741" spans="1:10" x14ac:dyDescent="0.3">
      <c r="A741" s="8"/>
      <c r="B741" s="267"/>
      <c r="C741" s="267"/>
      <c r="D741" s="267"/>
      <c r="E741" s="265"/>
      <c r="F741" s="266"/>
      <c r="H741" s="8"/>
      <c r="I741" s="205"/>
      <c r="J741" s="201"/>
    </row>
    <row r="742" spans="1:10" x14ac:dyDescent="0.3">
      <c r="A742" s="8"/>
      <c r="B742" s="267"/>
      <c r="C742" s="267"/>
      <c r="D742" s="267"/>
      <c r="E742" s="265"/>
      <c r="F742" s="266"/>
      <c r="H742" s="8"/>
      <c r="I742" s="205"/>
      <c r="J742" s="201"/>
    </row>
    <row r="743" spans="1:10" x14ac:dyDescent="0.3">
      <c r="A743" s="8"/>
      <c r="B743" s="267"/>
      <c r="C743" s="267"/>
      <c r="D743" s="267"/>
      <c r="E743" s="265"/>
      <c r="F743" s="266"/>
      <c r="H743" s="8"/>
      <c r="I743" s="205"/>
      <c r="J743" s="201"/>
    </row>
    <row r="744" spans="1:10" x14ac:dyDescent="0.3">
      <c r="A744" s="8"/>
      <c r="B744" s="267"/>
      <c r="C744" s="267"/>
      <c r="D744" s="267"/>
      <c r="E744" s="265"/>
      <c r="F744" s="266"/>
      <c r="H744" s="8"/>
      <c r="I744" s="205"/>
      <c r="J744" s="201"/>
    </row>
    <row r="745" spans="1:10" x14ac:dyDescent="0.3">
      <c r="A745" s="8"/>
      <c r="B745" s="267"/>
      <c r="C745" s="267"/>
      <c r="D745" s="267"/>
      <c r="E745" s="265"/>
      <c r="F745" s="266"/>
      <c r="H745" s="8"/>
      <c r="I745" s="205"/>
      <c r="J745" s="201"/>
    </row>
    <row r="746" spans="1:10" x14ac:dyDescent="0.3">
      <c r="A746" s="8"/>
      <c r="B746" s="267"/>
      <c r="C746" s="267"/>
      <c r="D746" s="267"/>
      <c r="E746" s="265"/>
      <c r="F746" s="266"/>
      <c r="H746" s="8"/>
      <c r="I746" s="205"/>
      <c r="J746" s="201"/>
    </row>
    <row r="747" spans="1:10" x14ac:dyDescent="0.3">
      <c r="A747" s="8"/>
      <c r="B747" s="267"/>
      <c r="C747" s="267"/>
      <c r="D747" s="267"/>
      <c r="E747" s="265"/>
      <c r="F747" s="266"/>
      <c r="H747" s="8"/>
      <c r="I747" s="205"/>
      <c r="J747" s="201"/>
    </row>
    <row r="748" spans="1:10" x14ac:dyDescent="0.3">
      <c r="A748" s="8"/>
      <c r="B748" s="267"/>
      <c r="C748" s="267"/>
      <c r="D748" s="267"/>
      <c r="E748" s="265"/>
      <c r="F748" s="266"/>
      <c r="H748" s="8"/>
      <c r="I748" s="205"/>
      <c r="J748" s="201"/>
    </row>
    <row r="749" spans="1:10" x14ac:dyDescent="0.3">
      <c r="A749" s="8"/>
      <c r="B749" s="267"/>
      <c r="C749" s="267"/>
      <c r="D749" s="267"/>
      <c r="E749" s="265"/>
      <c r="F749" s="266"/>
      <c r="H749" s="8"/>
      <c r="I749" s="205"/>
      <c r="J749" s="201"/>
    </row>
    <row r="750" spans="1:10" x14ac:dyDescent="0.3">
      <c r="A750" s="8"/>
      <c r="B750" s="267"/>
      <c r="C750" s="267"/>
      <c r="D750" s="267"/>
      <c r="E750" s="265"/>
      <c r="F750" s="266"/>
      <c r="H750" s="8"/>
      <c r="I750" s="205"/>
      <c r="J750" s="201"/>
    </row>
    <row r="751" spans="1:10" x14ac:dyDescent="0.3">
      <c r="A751" s="8"/>
      <c r="B751" s="267"/>
      <c r="C751" s="267"/>
      <c r="D751" s="267"/>
      <c r="E751" s="265"/>
      <c r="F751" s="266"/>
      <c r="H751" s="8"/>
      <c r="I751" s="205"/>
      <c r="J751" s="201"/>
    </row>
    <row r="752" spans="1:10" x14ac:dyDescent="0.3">
      <c r="A752" s="8"/>
      <c r="B752" s="267"/>
      <c r="C752" s="267"/>
      <c r="D752" s="267"/>
      <c r="E752" s="265"/>
      <c r="F752" s="266"/>
      <c r="H752" s="8"/>
      <c r="I752" s="205"/>
      <c r="J752" s="201"/>
    </row>
    <row r="753" spans="1:10" x14ac:dyDescent="0.3">
      <c r="A753" s="8"/>
      <c r="B753" s="267"/>
      <c r="C753" s="267"/>
      <c r="D753" s="267"/>
      <c r="E753" s="265"/>
      <c r="F753" s="266"/>
      <c r="H753" s="8"/>
      <c r="I753" s="205"/>
      <c r="J753" s="201"/>
    </row>
    <row r="754" spans="1:10" x14ac:dyDescent="0.3">
      <c r="A754" s="8"/>
      <c r="B754" s="267"/>
      <c r="C754" s="267"/>
      <c r="D754" s="267"/>
      <c r="E754" s="265"/>
      <c r="F754" s="266"/>
      <c r="H754" s="8"/>
      <c r="I754" s="205"/>
      <c r="J754" s="201"/>
    </row>
    <row r="755" spans="1:10" x14ac:dyDescent="0.3">
      <c r="A755" s="8"/>
      <c r="B755" s="267"/>
      <c r="C755" s="267"/>
      <c r="D755" s="267"/>
      <c r="E755" s="265"/>
      <c r="F755" s="266"/>
      <c r="H755" s="8"/>
      <c r="I755" s="205"/>
      <c r="J755" s="201"/>
    </row>
    <row r="756" spans="1:10" x14ac:dyDescent="0.3">
      <c r="A756" s="8"/>
      <c r="B756" s="267"/>
      <c r="C756" s="267"/>
      <c r="D756" s="267"/>
      <c r="E756" s="265"/>
      <c r="F756" s="266"/>
      <c r="H756" s="8"/>
      <c r="I756" s="205"/>
      <c r="J756" s="201"/>
    </row>
    <row r="757" spans="1:10" x14ac:dyDescent="0.3">
      <c r="A757" s="8"/>
      <c r="B757" s="267"/>
      <c r="C757" s="267"/>
      <c r="D757" s="267"/>
      <c r="E757" s="265"/>
      <c r="F757" s="266"/>
      <c r="H757" s="8"/>
      <c r="I757" s="205"/>
      <c r="J757" s="201"/>
    </row>
    <row r="758" spans="1:10" x14ac:dyDescent="0.3">
      <c r="A758" s="8"/>
      <c r="B758" s="267"/>
      <c r="C758" s="267"/>
      <c r="D758" s="267"/>
      <c r="E758" s="265"/>
      <c r="F758" s="266"/>
      <c r="H758" s="8"/>
      <c r="I758" s="205"/>
      <c r="J758" s="201"/>
    </row>
    <row r="759" spans="1:10" x14ac:dyDescent="0.3">
      <c r="A759" s="8"/>
      <c r="B759" s="267"/>
      <c r="C759" s="267"/>
      <c r="D759" s="267"/>
      <c r="E759" s="265"/>
      <c r="F759" s="266"/>
      <c r="H759" s="8"/>
      <c r="I759" s="205"/>
      <c r="J759" s="201"/>
    </row>
    <row r="760" spans="1:10" x14ac:dyDescent="0.3">
      <c r="A760" s="8"/>
      <c r="B760" s="267"/>
      <c r="C760" s="267"/>
      <c r="D760" s="267"/>
      <c r="E760" s="265"/>
      <c r="F760" s="266"/>
      <c r="H760" s="8"/>
      <c r="I760" s="205"/>
      <c r="J760" s="201"/>
    </row>
    <row r="761" spans="1:10" x14ac:dyDescent="0.3">
      <c r="A761" s="8"/>
      <c r="B761" s="267"/>
      <c r="C761" s="267"/>
      <c r="D761" s="267"/>
      <c r="E761" s="265"/>
      <c r="F761" s="266"/>
      <c r="H761" s="8"/>
      <c r="I761" s="205"/>
      <c r="J761" s="201"/>
    </row>
    <row r="762" spans="1:10" x14ac:dyDescent="0.3">
      <c r="A762" s="8"/>
      <c r="B762" s="267"/>
      <c r="C762" s="267"/>
      <c r="D762" s="267"/>
      <c r="E762" s="265"/>
      <c r="F762" s="266"/>
      <c r="H762" s="8"/>
      <c r="I762" s="205"/>
      <c r="J762" s="201"/>
    </row>
    <row r="763" spans="1:10" x14ac:dyDescent="0.3">
      <c r="A763" s="8"/>
      <c r="B763" s="267"/>
      <c r="C763" s="267"/>
      <c r="D763" s="267"/>
      <c r="E763" s="265"/>
      <c r="F763" s="266"/>
      <c r="H763" s="8"/>
      <c r="I763" s="205"/>
      <c r="J763" s="201"/>
    </row>
    <row r="764" spans="1:10" x14ac:dyDescent="0.3">
      <c r="A764" s="8"/>
      <c r="B764" s="267"/>
      <c r="C764" s="267"/>
      <c r="D764" s="267"/>
      <c r="E764" s="265"/>
      <c r="F764" s="266"/>
      <c r="H764" s="8"/>
      <c r="I764" s="205"/>
      <c r="J764" s="201"/>
    </row>
    <row r="765" spans="1:10" x14ac:dyDescent="0.3">
      <c r="A765" s="8"/>
      <c r="B765" s="267"/>
      <c r="C765" s="267"/>
      <c r="D765" s="267"/>
      <c r="E765" s="265"/>
      <c r="F765" s="266"/>
      <c r="H765" s="8"/>
      <c r="I765" s="205"/>
      <c r="J765" s="201"/>
    </row>
    <row r="766" spans="1:10" x14ac:dyDescent="0.3">
      <c r="A766" s="8"/>
      <c r="B766" s="267"/>
      <c r="C766" s="267"/>
      <c r="D766" s="267"/>
      <c r="E766" s="265"/>
      <c r="F766" s="266"/>
      <c r="H766" s="8"/>
      <c r="I766" s="205"/>
      <c r="J766" s="201"/>
    </row>
    <row r="767" spans="1:10" x14ac:dyDescent="0.3">
      <c r="A767" s="8"/>
      <c r="B767" s="267"/>
      <c r="C767" s="267"/>
      <c r="D767" s="267"/>
      <c r="E767" s="265"/>
      <c r="F767" s="266"/>
      <c r="H767" s="8"/>
      <c r="I767" s="205"/>
      <c r="J767" s="201"/>
    </row>
    <row r="768" spans="1:10" x14ac:dyDescent="0.3">
      <c r="A768" s="8"/>
      <c r="B768" s="267"/>
      <c r="C768" s="267"/>
      <c r="D768" s="267"/>
      <c r="E768" s="265"/>
      <c r="F768" s="266"/>
      <c r="H768" s="8"/>
      <c r="I768" s="205"/>
      <c r="J768" s="201"/>
    </row>
    <row r="769" spans="1:10" x14ac:dyDescent="0.3">
      <c r="A769" s="8"/>
      <c r="B769" s="267"/>
      <c r="C769" s="267"/>
      <c r="D769" s="267"/>
      <c r="E769" s="265"/>
      <c r="F769" s="266"/>
      <c r="H769" s="8"/>
      <c r="I769" s="205"/>
      <c r="J769" s="201"/>
    </row>
    <row r="770" spans="1:10" x14ac:dyDescent="0.3">
      <c r="A770" s="8"/>
      <c r="B770" s="267"/>
      <c r="C770" s="267"/>
      <c r="D770" s="267"/>
      <c r="E770" s="265"/>
      <c r="F770" s="266"/>
      <c r="H770" s="8"/>
      <c r="I770" s="205"/>
      <c r="J770" s="201"/>
    </row>
    <row r="771" spans="1:10" x14ac:dyDescent="0.3">
      <c r="A771" s="8"/>
      <c r="B771" s="267"/>
      <c r="C771" s="267"/>
      <c r="D771" s="267"/>
      <c r="E771" s="265"/>
      <c r="F771" s="266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60"/>
      <c r="F772" s="251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60"/>
      <c r="F773" s="251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60"/>
      <c r="F774" s="251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60"/>
      <c r="F775" s="251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60"/>
      <c r="F776" s="251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60"/>
      <c r="F777" s="251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60"/>
      <c r="F778" s="251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60"/>
      <c r="F779" s="251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60"/>
      <c r="F780" s="251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60"/>
      <c r="F781" s="251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60"/>
      <c r="F782" s="251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60"/>
      <c r="F783" s="251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60"/>
      <c r="F784" s="251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60"/>
      <c r="F785" s="251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60"/>
      <c r="F786" s="251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60"/>
      <c r="F787" s="251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60"/>
      <c r="F788" s="251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60"/>
      <c r="F789" s="251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60"/>
      <c r="F790" s="251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60"/>
      <c r="F791" s="251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60"/>
      <c r="F792" s="251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60"/>
      <c r="F793" s="251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60"/>
      <c r="F794" s="251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60"/>
      <c r="F795" s="251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60"/>
      <c r="F796" s="251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60"/>
      <c r="F797" s="251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60"/>
      <c r="F798" s="251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60"/>
      <c r="F799" s="251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60"/>
      <c r="F800" s="251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60"/>
      <c r="F801" s="251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60"/>
      <c r="F802" s="251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60"/>
      <c r="F803" s="251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60"/>
      <c r="F804" s="251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60"/>
      <c r="F805" s="251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60"/>
      <c r="F806" s="251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60"/>
      <c r="F807" s="251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60"/>
      <c r="F808" s="251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60"/>
      <c r="F809" s="251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60"/>
      <c r="F810" s="251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60"/>
      <c r="F811" s="251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60"/>
      <c r="F812" s="251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60"/>
      <c r="F813" s="251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60"/>
      <c r="F814" s="251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60"/>
      <c r="F815" s="251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60"/>
      <c r="F816" s="251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60"/>
      <c r="F817" s="251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60"/>
      <c r="F818" s="251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60"/>
      <c r="F819" s="251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60"/>
      <c r="F820" s="251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60"/>
      <c r="F821" s="251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60"/>
      <c r="F822" s="251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60"/>
      <c r="F823" s="251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60"/>
      <c r="F824" s="251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60"/>
      <c r="F825" s="251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60"/>
      <c r="F826" s="251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60"/>
      <c r="F827" s="251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60"/>
      <c r="F828" s="251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60"/>
      <c r="F829" s="251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60"/>
      <c r="F830" s="251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60"/>
      <c r="F831" s="251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60"/>
      <c r="F832" s="251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60"/>
      <c r="F833" s="251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60"/>
      <c r="F834" s="251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60"/>
      <c r="F835" s="251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60"/>
      <c r="F836" s="251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60"/>
      <c r="F837" s="251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60"/>
      <c r="F838" s="251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60"/>
      <c r="F839" s="251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60"/>
      <c r="F840" s="251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60"/>
      <c r="F841" s="251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60"/>
      <c r="F842" s="251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60"/>
      <c r="F843" s="251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60"/>
      <c r="F844" s="251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60"/>
      <c r="F845" s="251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60"/>
      <c r="F846" s="251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60"/>
      <c r="F847" s="251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60"/>
      <c r="F848" s="251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60"/>
      <c r="F849" s="251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60"/>
      <c r="F850" s="251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60"/>
      <c r="F851" s="251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60"/>
      <c r="F852" s="251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60"/>
      <c r="F853" s="251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60"/>
      <c r="F854" s="251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60"/>
      <c r="F855" s="251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60"/>
      <c r="F856" s="251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60"/>
      <c r="F857" s="251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60"/>
      <c r="F858" s="251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60"/>
      <c r="F859" s="251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60"/>
      <c r="F860" s="251"/>
      <c r="H860" s="8"/>
      <c r="I860" s="205"/>
      <c r="J860" s="201"/>
    </row>
    <row r="861" spans="1:10" x14ac:dyDescent="0.3">
      <c r="A861" s="50"/>
      <c r="B861" s="252"/>
      <c r="C861" s="252"/>
      <c r="D861" s="252"/>
      <c r="E861" s="276"/>
      <c r="F861" s="253"/>
      <c r="H861" s="11"/>
      <c r="I861" s="210"/>
      <c r="J861" s="211"/>
    </row>
    <row r="862" spans="1:10" x14ac:dyDescent="0.3">
      <c r="A862" s="55"/>
      <c r="E862" s="236"/>
      <c r="H862" s="247"/>
      <c r="I862" s="272"/>
      <c r="J862" s="272"/>
    </row>
    <row r="863" spans="1:10" x14ac:dyDescent="0.3">
      <c r="A863" s="55"/>
      <c r="E863" s="236"/>
      <c r="H863" s="247"/>
      <c r="I863" s="272"/>
      <c r="J863" s="272"/>
    </row>
    <row r="864" spans="1:10" x14ac:dyDescent="0.3">
      <c r="A864" s="55"/>
      <c r="E864" s="236"/>
      <c r="H864" s="247"/>
      <c r="I864" s="272"/>
      <c r="J864" s="272"/>
    </row>
    <row r="865" spans="1:10" x14ac:dyDescent="0.3">
      <c r="A865" s="55"/>
      <c r="E865" s="236"/>
      <c r="H865" s="247"/>
      <c r="I865" s="272"/>
      <c r="J865" s="272"/>
    </row>
    <row r="866" spans="1:10" x14ac:dyDescent="0.3">
      <c r="A866" s="55"/>
      <c r="E866" s="236"/>
      <c r="H866" s="247"/>
      <c r="I866" s="272"/>
      <c r="J866" s="272"/>
    </row>
    <row r="867" spans="1:10" x14ac:dyDescent="0.3">
      <c r="A867" s="55"/>
      <c r="E867" s="236"/>
      <c r="H867" s="247"/>
      <c r="I867" s="272"/>
      <c r="J867" s="272"/>
    </row>
    <row r="868" spans="1:10" x14ac:dyDescent="0.3">
      <c r="A868" s="55"/>
      <c r="E868" s="236"/>
      <c r="H868" s="247"/>
      <c r="I868" s="272"/>
      <c r="J868" s="272"/>
    </row>
    <row r="869" spans="1:10" x14ac:dyDescent="0.3">
      <c r="A869" s="55"/>
      <c r="E869" s="236"/>
      <c r="H869" s="247"/>
      <c r="I869" s="272"/>
      <c r="J869" s="272"/>
    </row>
    <row r="870" spans="1:10" x14ac:dyDescent="0.3">
      <c r="A870" s="55"/>
      <c r="E870" s="236"/>
      <c r="H870" s="247"/>
      <c r="I870" s="272"/>
      <c r="J870" s="272"/>
    </row>
    <row r="871" spans="1:10" x14ac:dyDescent="0.3">
      <c r="A871" s="55"/>
      <c r="E871" s="236"/>
      <c r="H871" s="247"/>
      <c r="I871" s="272"/>
      <c r="J871" s="272"/>
    </row>
    <row r="872" spans="1:10" x14ac:dyDescent="0.3">
      <c r="A872" s="55"/>
      <c r="E872" s="236"/>
      <c r="H872" s="247"/>
      <c r="I872" s="272"/>
      <c r="J872" s="272"/>
    </row>
    <row r="873" spans="1:10" x14ac:dyDescent="0.3">
      <c r="A873" s="55"/>
      <c r="E873" s="236"/>
      <c r="H873" s="247"/>
      <c r="I873" s="272"/>
      <c r="J873" s="272"/>
    </row>
    <row r="874" spans="1:10" x14ac:dyDescent="0.3">
      <c r="A874" s="55"/>
      <c r="E874" s="236"/>
      <c r="H874" s="247"/>
      <c r="I874" s="272"/>
      <c r="J874" s="272"/>
    </row>
    <row r="875" spans="1:10" x14ac:dyDescent="0.3">
      <c r="A875" s="55"/>
      <c r="E875" s="236"/>
      <c r="H875" s="247"/>
      <c r="I875" s="272"/>
      <c r="J875" s="272"/>
    </row>
    <row r="876" spans="1:10" x14ac:dyDescent="0.3">
      <c r="A876" s="55"/>
      <c r="E876" s="236"/>
      <c r="H876" s="247"/>
      <c r="I876" s="272"/>
      <c r="J876" s="272"/>
    </row>
    <row r="877" spans="1:10" x14ac:dyDescent="0.3">
      <c r="A877" s="55"/>
      <c r="E877" s="236"/>
      <c r="H877" s="247"/>
      <c r="I877" s="272"/>
      <c r="J877" s="272"/>
    </row>
    <row r="878" spans="1:10" x14ac:dyDescent="0.3">
      <c r="A878" s="55"/>
      <c r="E878" s="236"/>
      <c r="H878" s="247"/>
      <c r="I878" s="272"/>
      <c r="J878" s="272"/>
    </row>
    <row r="879" spans="1:10" x14ac:dyDescent="0.3">
      <c r="A879" s="55"/>
      <c r="E879" s="236"/>
      <c r="H879" s="247"/>
      <c r="I879" s="272"/>
      <c r="J879" s="272"/>
    </row>
    <row r="880" spans="1:10" x14ac:dyDescent="0.3">
      <c r="A880" s="55"/>
      <c r="E880" s="236"/>
      <c r="H880" s="247"/>
      <c r="I880" s="272"/>
      <c r="J880" s="272"/>
    </row>
    <row r="881" spans="1:10" x14ac:dyDescent="0.3">
      <c r="A881" s="55"/>
      <c r="E881" s="236"/>
      <c r="H881" s="247"/>
      <c r="I881" s="272"/>
      <c r="J881" s="272"/>
    </row>
    <row r="882" spans="1:10" x14ac:dyDescent="0.3">
      <c r="A882" s="55"/>
      <c r="E882" s="236"/>
      <c r="H882" s="247"/>
      <c r="I882" s="272"/>
      <c r="J882" s="272"/>
    </row>
    <row r="883" spans="1:10" x14ac:dyDescent="0.3">
      <c r="A883" s="55"/>
      <c r="E883" s="236"/>
      <c r="H883" s="247"/>
      <c r="I883" s="272"/>
      <c r="J883" s="272"/>
    </row>
    <row r="884" spans="1:10" x14ac:dyDescent="0.3">
      <c r="A884" s="55"/>
      <c r="E884" s="236"/>
      <c r="H884" s="247"/>
      <c r="I884" s="272"/>
      <c r="J884" s="272"/>
    </row>
    <row r="885" spans="1:10" x14ac:dyDescent="0.3">
      <c r="A885" s="55"/>
      <c r="E885" s="236"/>
      <c r="H885" s="247"/>
      <c r="I885" s="272"/>
      <c r="J885" s="272"/>
    </row>
    <row r="886" spans="1:10" x14ac:dyDescent="0.3">
      <c r="A886" s="55"/>
      <c r="E886" s="236"/>
      <c r="H886" s="247"/>
      <c r="I886" s="272"/>
      <c r="J886" s="272"/>
    </row>
    <row r="887" spans="1:10" x14ac:dyDescent="0.3">
      <c r="A887" s="55"/>
      <c r="E887" s="236"/>
      <c r="H887" s="247"/>
      <c r="I887" s="272"/>
      <c r="J887" s="272"/>
    </row>
    <row r="888" spans="1:10" x14ac:dyDescent="0.3">
      <c r="A888" s="55"/>
      <c r="E888" s="236"/>
      <c r="H888" s="247"/>
      <c r="I888" s="272"/>
      <c r="J888" s="272"/>
    </row>
    <row r="889" spans="1:10" x14ac:dyDescent="0.3">
      <c r="A889" s="55"/>
      <c r="E889" s="236"/>
      <c r="H889" s="247"/>
      <c r="I889" s="272"/>
      <c r="J889" s="272"/>
    </row>
    <row r="890" spans="1:10" x14ac:dyDescent="0.3">
      <c r="A890" s="55"/>
      <c r="E890" s="236"/>
      <c r="H890" s="247"/>
      <c r="I890" s="272"/>
      <c r="J890" s="272"/>
    </row>
    <row r="891" spans="1:10" x14ac:dyDescent="0.3">
      <c r="A891" s="55"/>
      <c r="E891" s="236"/>
      <c r="H891" s="247"/>
      <c r="I891" s="272"/>
      <c r="J891" s="272"/>
    </row>
    <row r="892" spans="1:10" x14ac:dyDescent="0.3">
      <c r="A892" s="55"/>
      <c r="E892" s="236"/>
      <c r="H892" s="247"/>
      <c r="I892" s="272"/>
      <c r="J892" s="272"/>
    </row>
    <row r="893" spans="1:10" x14ac:dyDescent="0.3">
      <c r="A893" s="55"/>
      <c r="E893" s="236"/>
      <c r="H893" s="247"/>
      <c r="I893" s="272"/>
      <c r="J893" s="272"/>
    </row>
    <row r="894" spans="1:10" x14ac:dyDescent="0.3">
      <c r="A894" s="55"/>
      <c r="E894" s="236"/>
      <c r="H894" s="247"/>
      <c r="I894" s="272"/>
      <c r="J894" s="272"/>
    </row>
    <row r="895" spans="1:10" x14ac:dyDescent="0.3">
      <c r="A895" s="55"/>
      <c r="E895" s="236"/>
      <c r="H895" s="247"/>
      <c r="I895" s="272"/>
      <c r="J895" s="272"/>
    </row>
    <row r="896" spans="1:10" x14ac:dyDescent="0.3">
      <c r="A896" s="55"/>
      <c r="E896" s="236"/>
      <c r="H896" s="247"/>
      <c r="I896" s="272"/>
      <c r="J896" s="272"/>
    </row>
    <row r="897" spans="1:10" x14ac:dyDescent="0.3">
      <c r="A897" s="55"/>
      <c r="E897" s="236"/>
      <c r="H897" s="247"/>
      <c r="I897" s="272"/>
      <c r="J897" s="272"/>
    </row>
    <row r="898" spans="1:10" x14ac:dyDescent="0.3">
      <c r="A898" s="55"/>
      <c r="E898" s="236"/>
      <c r="H898" s="247"/>
      <c r="I898" s="272"/>
      <c r="J898" s="272"/>
    </row>
    <row r="899" spans="1:10" x14ac:dyDescent="0.3">
      <c r="A899" s="55"/>
      <c r="E899" s="236"/>
      <c r="H899" s="247"/>
      <c r="I899" s="272"/>
      <c r="J899" s="272"/>
    </row>
    <row r="900" spans="1:10" x14ac:dyDescent="0.3">
      <c r="A900" s="55"/>
      <c r="E900" s="236"/>
      <c r="H900" s="247"/>
      <c r="I900" s="272"/>
      <c r="J900" s="272"/>
    </row>
    <row r="901" spans="1:10" x14ac:dyDescent="0.3">
      <c r="A901" s="55"/>
      <c r="E901" s="236"/>
      <c r="H901" s="247"/>
      <c r="I901" s="272"/>
      <c r="J901" s="272"/>
    </row>
    <row r="902" spans="1:10" x14ac:dyDescent="0.3">
      <c r="A902" s="55"/>
      <c r="E902" s="236"/>
      <c r="H902" s="247"/>
      <c r="I902" s="272"/>
      <c r="J902" s="272"/>
    </row>
    <row r="903" spans="1:10" x14ac:dyDescent="0.3">
      <c r="A903" s="55"/>
      <c r="E903" s="236"/>
      <c r="H903" s="247"/>
      <c r="I903" s="272"/>
      <c r="J903" s="272"/>
    </row>
    <row r="904" spans="1:10" x14ac:dyDescent="0.3">
      <c r="A904" s="55"/>
      <c r="E904" s="236"/>
      <c r="H904" s="247"/>
      <c r="I904" s="272"/>
      <c r="J904" s="272"/>
    </row>
    <row r="905" spans="1:10" x14ac:dyDescent="0.3">
      <c r="A905" s="55"/>
      <c r="E905" s="236"/>
      <c r="H905" s="247"/>
      <c r="I905" s="272"/>
      <c r="J905" s="272"/>
    </row>
    <row r="906" spans="1:10" x14ac:dyDescent="0.3">
      <c r="A906" s="55"/>
      <c r="E906" s="236"/>
      <c r="H906" s="247"/>
      <c r="I906" s="272"/>
      <c r="J906" s="272"/>
    </row>
    <row r="907" spans="1:10" x14ac:dyDescent="0.3">
      <c r="A907" s="55"/>
      <c r="E907" s="236"/>
      <c r="H907" s="247"/>
      <c r="I907" s="272"/>
      <c r="J907" s="272"/>
    </row>
    <row r="908" spans="1:10" x14ac:dyDescent="0.3">
      <c r="A908" s="55"/>
      <c r="E908" s="236"/>
      <c r="H908" s="247"/>
      <c r="I908" s="272"/>
      <c r="J908" s="272"/>
    </row>
    <row r="909" spans="1:10" x14ac:dyDescent="0.3">
      <c r="A909" s="55"/>
      <c r="E909" s="236"/>
      <c r="H909" s="247"/>
      <c r="I909" s="272"/>
      <c r="J909" s="272"/>
    </row>
    <row r="910" spans="1:10" x14ac:dyDescent="0.3">
      <c r="A910" s="55"/>
      <c r="E910" s="236"/>
      <c r="H910" s="247"/>
      <c r="I910" s="272"/>
      <c r="J910" s="272"/>
    </row>
    <row r="911" spans="1:10" x14ac:dyDescent="0.3">
      <c r="A911" s="55"/>
      <c r="E911" s="236"/>
      <c r="H911" s="247"/>
      <c r="I911" s="272"/>
      <c r="J911" s="272"/>
    </row>
    <row r="912" spans="1:10" x14ac:dyDescent="0.3">
      <c r="A912" s="55"/>
      <c r="E912" s="236"/>
      <c r="H912" s="247"/>
      <c r="I912" s="272"/>
      <c r="J912" s="272"/>
    </row>
    <row r="913" spans="1:10" x14ac:dyDescent="0.3">
      <c r="A913" s="55"/>
      <c r="E913" s="236"/>
      <c r="H913" s="247"/>
      <c r="I913" s="272"/>
      <c r="J913" s="272"/>
    </row>
    <row r="914" spans="1:10" x14ac:dyDescent="0.3">
      <c r="A914" s="55"/>
      <c r="E914" s="236"/>
      <c r="H914" s="247"/>
      <c r="I914" s="272"/>
      <c r="J914" s="272"/>
    </row>
    <row r="915" spans="1:10" x14ac:dyDescent="0.3">
      <c r="A915" s="55"/>
      <c r="E915" s="236"/>
      <c r="H915" s="247"/>
      <c r="I915" s="272"/>
      <c r="J915" s="272"/>
    </row>
    <row r="916" spans="1:10" x14ac:dyDescent="0.3">
      <c r="A916" s="55"/>
      <c r="E916" s="236"/>
      <c r="H916" s="247"/>
      <c r="I916" s="272"/>
      <c r="J916" s="272"/>
    </row>
    <row r="917" spans="1:10" x14ac:dyDescent="0.3">
      <c r="A917" s="55"/>
      <c r="E917" s="236"/>
      <c r="H917" s="247"/>
      <c r="I917" s="272"/>
      <c r="J917" s="272"/>
    </row>
    <row r="918" spans="1:10" x14ac:dyDescent="0.3">
      <c r="A918" s="55"/>
      <c r="E918" s="236"/>
      <c r="H918" s="247"/>
      <c r="I918" s="272"/>
      <c r="J918" s="272"/>
    </row>
    <row r="919" spans="1:10" x14ac:dyDescent="0.3">
      <c r="A919" s="55"/>
      <c r="E919" s="236"/>
      <c r="H919" s="247"/>
      <c r="I919" s="272"/>
      <c r="J919" s="272"/>
    </row>
    <row r="920" spans="1:10" x14ac:dyDescent="0.3">
      <c r="A920" s="55"/>
      <c r="E920" s="236"/>
      <c r="H920" s="247"/>
      <c r="I920" s="272"/>
      <c r="J920" s="272"/>
    </row>
    <row r="921" spans="1:10" x14ac:dyDescent="0.3">
      <c r="A921" s="55"/>
      <c r="E921" s="236"/>
      <c r="H921" s="247"/>
      <c r="I921" s="272"/>
      <c r="J921" s="272"/>
    </row>
    <row r="922" spans="1:10" x14ac:dyDescent="0.3">
      <c r="A922" s="55"/>
      <c r="E922" s="236"/>
      <c r="H922" s="247"/>
      <c r="I922" s="272"/>
      <c r="J922" s="272"/>
    </row>
    <row r="923" spans="1:10" x14ac:dyDescent="0.3">
      <c r="A923" s="55"/>
      <c r="E923" s="236"/>
      <c r="H923" s="247"/>
      <c r="I923" s="272"/>
      <c r="J923" s="272"/>
    </row>
    <row r="924" spans="1:10" x14ac:dyDescent="0.3">
      <c r="A924" s="55"/>
      <c r="E924" s="236"/>
      <c r="H924" s="247"/>
      <c r="I924" s="272"/>
      <c r="J924" s="272"/>
    </row>
    <row r="925" spans="1:10" x14ac:dyDescent="0.3">
      <c r="A925" s="55"/>
      <c r="E925" s="236"/>
      <c r="H925" s="247"/>
      <c r="I925" s="272"/>
      <c r="J925" s="272"/>
    </row>
    <row r="926" spans="1:10" x14ac:dyDescent="0.3">
      <c r="A926" s="55"/>
      <c r="E926" s="236"/>
      <c r="H926" s="247"/>
      <c r="I926" s="272"/>
      <c r="J926" s="272"/>
    </row>
    <row r="927" spans="1:10" x14ac:dyDescent="0.3">
      <c r="A927" s="55"/>
      <c r="E927" s="236"/>
      <c r="H927" s="247"/>
      <c r="I927" s="272"/>
      <c r="J927" s="272"/>
    </row>
    <row r="928" spans="1:10" x14ac:dyDescent="0.3">
      <c r="A928" s="55"/>
      <c r="E928" s="236"/>
      <c r="H928" s="247"/>
      <c r="I928" s="272"/>
      <c r="J928" s="272"/>
    </row>
    <row r="929" spans="1:10" x14ac:dyDescent="0.3">
      <c r="A929" s="55"/>
      <c r="E929" s="236"/>
      <c r="H929" s="247"/>
      <c r="I929" s="272"/>
      <c r="J929" s="272"/>
    </row>
    <row r="930" spans="1:10" x14ac:dyDescent="0.3">
      <c r="A930" s="55"/>
      <c r="E930" s="236"/>
      <c r="H930" s="247"/>
      <c r="I930" s="272"/>
      <c r="J930" s="272"/>
    </row>
    <row r="931" spans="1:10" x14ac:dyDescent="0.3">
      <c r="A931" s="55"/>
      <c r="E931" s="236"/>
      <c r="H931" s="247"/>
      <c r="I931" s="272"/>
      <c r="J931" s="272"/>
    </row>
    <row r="932" spans="1:10" x14ac:dyDescent="0.3">
      <c r="A932" s="55"/>
      <c r="E932" s="236"/>
      <c r="H932" s="247"/>
      <c r="I932" s="272"/>
      <c r="J932" s="272"/>
    </row>
    <row r="933" spans="1:10" x14ac:dyDescent="0.3">
      <c r="A933" s="55"/>
      <c r="E933" s="236"/>
      <c r="H933" s="247"/>
      <c r="I933" s="272"/>
      <c r="J933" s="272"/>
    </row>
    <row r="934" spans="1:10" x14ac:dyDescent="0.3">
      <c r="A934" s="55"/>
      <c r="E934" s="236"/>
      <c r="H934" s="247"/>
      <c r="I934" s="272"/>
      <c r="J934" s="272"/>
    </row>
    <row r="935" spans="1:10" x14ac:dyDescent="0.3">
      <c r="A935" s="55"/>
      <c r="E935" s="236"/>
      <c r="H935" s="247"/>
      <c r="I935" s="272"/>
      <c r="J935" s="272"/>
    </row>
    <row r="936" spans="1:10" x14ac:dyDescent="0.3">
      <c r="A936" s="55"/>
      <c r="E936" s="236"/>
      <c r="H936" s="247"/>
      <c r="I936" s="272"/>
      <c r="J936" s="272"/>
    </row>
    <row r="937" spans="1:10" x14ac:dyDescent="0.3">
      <c r="A937" s="55"/>
      <c r="E937" s="236"/>
      <c r="H937" s="247"/>
      <c r="I937" s="272"/>
      <c r="J937" s="272"/>
    </row>
    <row r="938" spans="1:10" x14ac:dyDescent="0.3">
      <c r="A938" s="55"/>
      <c r="E938" s="236"/>
      <c r="H938" s="247"/>
      <c r="I938" s="272"/>
      <c r="J938" s="272"/>
    </row>
    <row r="939" spans="1:10" x14ac:dyDescent="0.3">
      <c r="A939" s="55"/>
      <c r="E939" s="236"/>
      <c r="H939" s="247"/>
      <c r="I939" s="272"/>
      <c r="J939" s="272"/>
    </row>
    <row r="940" spans="1:10" x14ac:dyDescent="0.3">
      <c r="A940" s="55"/>
      <c r="E940" s="236"/>
      <c r="H940" s="247"/>
      <c r="I940" s="272"/>
      <c r="J940" s="272"/>
    </row>
    <row r="941" spans="1:10" x14ac:dyDescent="0.3">
      <c r="A941" s="55"/>
      <c r="E941" s="236"/>
      <c r="H941" s="247"/>
      <c r="I941" s="272"/>
      <c r="J941" s="272"/>
    </row>
    <row r="942" spans="1:10" x14ac:dyDescent="0.3">
      <c r="A942" s="55"/>
      <c r="E942" s="236"/>
      <c r="H942" s="247"/>
      <c r="I942" s="272"/>
      <c r="J942" s="272"/>
    </row>
    <row r="943" spans="1:10" x14ac:dyDescent="0.3">
      <c r="A943" s="55"/>
      <c r="E943" s="236"/>
      <c r="H943" s="247"/>
      <c r="I943" s="272"/>
      <c r="J943" s="272"/>
    </row>
    <row r="944" spans="1:10" x14ac:dyDescent="0.3">
      <c r="A944" s="55"/>
      <c r="E944" s="236"/>
      <c r="H944" s="247"/>
      <c r="I944" s="272"/>
      <c r="J944" s="272"/>
    </row>
    <row r="945" spans="1:10" x14ac:dyDescent="0.3">
      <c r="A945" s="55"/>
      <c r="E945" s="236"/>
      <c r="H945" s="247"/>
      <c r="I945" s="272"/>
      <c r="J945" s="272"/>
    </row>
    <row r="946" spans="1:10" x14ac:dyDescent="0.3">
      <c r="A946" s="55"/>
      <c r="E946" s="236"/>
      <c r="H946" s="247"/>
      <c r="I946" s="272"/>
      <c r="J946" s="272"/>
    </row>
    <row r="947" spans="1:10" x14ac:dyDescent="0.3">
      <c r="A947" s="55"/>
      <c r="E947" s="236"/>
      <c r="H947" s="247"/>
      <c r="I947" s="272"/>
      <c r="J947" s="272"/>
    </row>
    <row r="948" spans="1:10" x14ac:dyDescent="0.3">
      <c r="A948" s="55"/>
      <c r="E948" s="236"/>
      <c r="H948" s="247"/>
      <c r="I948" s="272"/>
      <c r="J948" s="272"/>
    </row>
    <row r="949" spans="1:10" x14ac:dyDescent="0.3">
      <c r="A949" s="55"/>
      <c r="E949" s="236"/>
      <c r="H949" s="247"/>
      <c r="I949" s="272"/>
      <c r="J949" s="272"/>
    </row>
    <row r="950" spans="1:10" x14ac:dyDescent="0.3">
      <c r="A950" s="55"/>
      <c r="E950" s="236"/>
      <c r="H950" s="247"/>
      <c r="I950" s="272"/>
      <c r="J950" s="272"/>
    </row>
    <row r="951" spans="1:10" x14ac:dyDescent="0.3">
      <c r="A951" s="55"/>
      <c r="E951" s="236"/>
      <c r="H951" s="247"/>
      <c r="I951" s="272"/>
      <c r="J951" s="272"/>
    </row>
    <row r="952" spans="1:10" x14ac:dyDescent="0.3">
      <c r="A952" s="55"/>
      <c r="E952" s="236"/>
      <c r="H952" s="247"/>
      <c r="I952" s="272"/>
      <c r="J952" s="272"/>
    </row>
    <row r="953" spans="1:10" x14ac:dyDescent="0.3">
      <c r="A953" s="55"/>
      <c r="E953" s="236"/>
      <c r="H953" s="247"/>
      <c r="I953" s="272"/>
      <c r="J953" s="272"/>
    </row>
    <row r="954" spans="1:10" x14ac:dyDescent="0.3">
      <c r="A954" s="55"/>
      <c r="E954" s="236"/>
      <c r="H954" s="247"/>
      <c r="I954" s="272"/>
      <c r="J954" s="272"/>
    </row>
    <row r="955" spans="1:10" x14ac:dyDescent="0.3">
      <c r="A955" s="55"/>
      <c r="E955" s="236"/>
      <c r="H955" s="247"/>
      <c r="I955" s="272"/>
      <c r="J955" s="272"/>
    </row>
    <row r="956" spans="1:10" x14ac:dyDescent="0.3">
      <c r="A956" s="55"/>
      <c r="E956" s="236"/>
      <c r="H956" s="247"/>
      <c r="I956" s="272"/>
      <c r="J956" s="272"/>
    </row>
    <row r="957" spans="1:10" x14ac:dyDescent="0.3">
      <c r="A957" s="55"/>
      <c r="E957" s="236"/>
      <c r="H957" s="247"/>
      <c r="I957" s="272"/>
      <c r="J957" s="272"/>
    </row>
    <row r="958" spans="1:10" x14ac:dyDescent="0.3">
      <c r="A958" s="55"/>
      <c r="E958" s="236"/>
      <c r="H958" s="247"/>
      <c r="I958" s="272"/>
      <c r="J958" s="272"/>
    </row>
    <row r="959" spans="1:10" x14ac:dyDescent="0.3">
      <c r="A959" s="55"/>
      <c r="E959" s="236"/>
      <c r="H959" s="247"/>
      <c r="I959" s="272"/>
      <c r="J959" s="272"/>
    </row>
    <row r="960" spans="1:10" x14ac:dyDescent="0.3">
      <c r="A960" s="55"/>
      <c r="E960" s="236"/>
      <c r="H960" s="247"/>
      <c r="I960" s="272"/>
      <c r="J960" s="272"/>
    </row>
    <row r="961" spans="1:10" x14ac:dyDescent="0.3">
      <c r="A961" s="55"/>
      <c r="E961" s="236"/>
      <c r="H961" s="247"/>
      <c r="I961" s="272"/>
      <c r="J961" s="272"/>
    </row>
    <row r="962" spans="1:10" x14ac:dyDescent="0.3">
      <c r="A962" s="55"/>
      <c r="E962" s="236"/>
      <c r="H962" s="247"/>
      <c r="I962" s="272"/>
      <c r="J962" s="272"/>
    </row>
    <row r="963" spans="1:10" x14ac:dyDescent="0.3">
      <c r="A963" s="55"/>
      <c r="E963" s="236"/>
      <c r="H963" s="247"/>
      <c r="I963" s="272"/>
      <c r="J963" s="272"/>
    </row>
    <row r="964" spans="1:10" x14ac:dyDescent="0.3">
      <c r="A964" s="55"/>
      <c r="E964" s="236"/>
      <c r="H964" s="247"/>
      <c r="I964" s="272"/>
      <c r="J964" s="272"/>
    </row>
    <row r="965" spans="1:10" x14ac:dyDescent="0.3">
      <c r="A965" s="55"/>
      <c r="E965" s="236"/>
      <c r="H965" s="247"/>
      <c r="I965" s="272"/>
      <c r="J965" s="272"/>
    </row>
    <row r="966" spans="1:10" x14ac:dyDescent="0.3">
      <c r="A966" s="55"/>
      <c r="E966" s="236"/>
      <c r="H966" s="247"/>
      <c r="I966" s="272"/>
      <c r="J966" s="272"/>
    </row>
    <row r="967" spans="1:10" x14ac:dyDescent="0.3">
      <c r="A967" s="55"/>
      <c r="E967" s="236"/>
      <c r="H967" s="247"/>
      <c r="I967" s="272"/>
      <c r="J967" s="272"/>
    </row>
    <row r="968" spans="1:10" x14ac:dyDescent="0.3">
      <c r="A968" s="55"/>
      <c r="E968" s="236"/>
      <c r="H968" s="247"/>
      <c r="I968" s="272"/>
      <c r="J968" s="272"/>
    </row>
    <row r="969" spans="1:10" x14ac:dyDescent="0.3">
      <c r="A969" s="55"/>
      <c r="E969" s="236"/>
      <c r="H969" s="247"/>
      <c r="I969" s="272"/>
      <c r="J969" s="272"/>
    </row>
    <row r="970" spans="1:10" x14ac:dyDescent="0.3">
      <c r="A970" s="55"/>
      <c r="E970" s="236"/>
      <c r="I970" s="236"/>
      <c r="J970" s="236"/>
    </row>
    <row r="971" spans="1:10" x14ac:dyDescent="0.3">
      <c r="A971" s="55"/>
      <c r="E971" s="236"/>
      <c r="I971" s="236"/>
      <c r="J971" s="236"/>
    </row>
    <row r="972" spans="1:10" x14ac:dyDescent="0.3">
      <c r="A972" s="55"/>
      <c r="E972" s="236"/>
      <c r="I972" s="236"/>
      <c r="J972" s="236"/>
    </row>
    <row r="973" spans="1:10" x14ac:dyDescent="0.3">
      <c r="A973" s="55"/>
      <c r="E973" s="236"/>
      <c r="I973" s="236"/>
      <c r="J973" s="236"/>
    </row>
    <row r="974" spans="1:10" x14ac:dyDescent="0.3">
      <c r="A974" s="55"/>
      <c r="E974" s="236"/>
      <c r="I974" s="236"/>
      <c r="J974" s="236"/>
    </row>
    <row r="975" spans="1:10" x14ac:dyDescent="0.3">
      <c r="A975" s="55"/>
      <c r="E975" s="236"/>
      <c r="I975" s="236"/>
      <c r="J975" s="236"/>
    </row>
    <row r="976" spans="1:10" x14ac:dyDescent="0.3">
      <c r="A976" s="55"/>
      <c r="E976" s="236"/>
      <c r="I976" s="236"/>
      <c r="J976" s="236"/>
    </row>
    <row r="977" spans="1:10" x14ac:dyDescent="0.3">
      <c r="A977" s="55"/>
      <c r="E977" s="236"/>
      <c r="I977" s="236"/>
      <c r="J977" s="236"/>
    </row>
    <row r="978" spans="1:10" x14ac:dyDescent="0.3">
      <c r="A978" s="55"/>
      <c r="E978" s="236"/>
      <c r="I978" s="236"/>
      <c r="J978" s="236"/>
    </row>
    <row r="979" spans="1:10" x14ac:dyDescent="0.3">
      <c r="A979" s="55"/>
      <c r="E979" s="236"/>
      <c r="I979" s="236"/>
      <c r="J979" s="236"/>
    </row>
    <row r="980" spans="1:10" x14ac:dyDescent="0.3">
      <c r="A980" s="55"/>
      <c r="E980" s="236"/>
      <c r="I980" s="236"/>
      <c r="J980" s="236"/>
    </row>
    <row r="981" spans="1:10" x14ac:dyDescent="0.3">
      <c r="A981" s="55"/>
      <c r="E981" s="236"/>
      <c r="I981" s="236"/>
      <c r="J981" s="236"/>
    </row>
    <row r="982" spans="1:10" x14ac:dyDescent="0.3">
      <c r="A982" s="55"/>
      <c r="E982" s="236"/>
      <c r="I982" s="236"/>
      <c r="J982" s="236"/>
    </row>
    <row r="983" spans="1:10" x14ac:dyDescent="0.3">
      <c r="A983" s="55"/>
      <c r="E983" s="236"/>
      <c r="I983" s="236"/>
      <c r="J983" s="236"/>
    </row>
    <row r="984" spans="1:10" x14ac:dyDescent="0.3">
      <c r="A984" s="55"/>
      <c r="E984" s="236"/>
      <c r="I984" s="236"/>
      <c r="J984" s="236"/>
    </row>
    <row r="985" spans="1:10" x14ac:dyDescent="0.3">
      <c r="A985" s="55"/>
      <c r="E985" s="236"/>
      <c r="I985" s="236"/>
      <c r="J985" s="236"/>
    </row>
    <row r="986" spans="1:10" x14ac:dyDescent="0.3">
      <c r="A986" s="55"/>
      <c r="E986" s="236"/>
      <c r="I986" s="236"/>
      <c r="J986" s="236"/>
    </row>
    <row r="987" spans="1:10" x14ac:dyDescent="0.3">
      <c r="A987" s="55"/>
      <c r="E987" s="236"/>
      <c r="I987" s="236"/>
      <c r="J987" s="236"/>
    </row>
    <row r="988" spans="1:10" x14ac:dyDescent="0.3">
      <c r="A988" s="55"/>
      <c r="E988" s="236"/>
      <c r="I988" s="236"/>
      <c r="J988" s="236"/>
    </row>
    <row r="989" spans="1:10" x14ac:dyDescent="0.3">
      <c r="A989" s="55"/>
      <c r="E989" s="236"/>
      <c r="I989" s="236"/>
      <c r="J989" s="236"/>
    </row>
    <row r="990" spans="1:10" x14ac:dyDescent="0.3">
      <c r="A990" s="55"/>
      <c r="E990" s="236"/>
      <c r="I990" s="236"/>
      <c r="J990" s="236"/>
    </row>
    <row r="991" spans="1:10" x14ac:dyDescent="0.3">
      <c r="A991" s="55"/>
      <c r="E991" s="236"/>
      <c r="I991" s="236"/>
      <c r="J991" s="236"/>
    </row>
    <row r="992" spans="1:10" x14ac:dyDescent="0.3">
      <c r="A992" s="55"/>
      <c r="E992" s="236"/>
      <c r="I992" s="236"/>
      <c r="J992" s="236"/>
    </row>
    <row r="993" spans="1:10" x14ac:dyDescent="0.3">
      <c r="A993" s="55"/>
      <c r="E993" s="236"/>
      <c r="I993" s="236"/>
      <c r="J993" s="236"/>
    </row>
    <row r="994" spans="1:10" x14ac:dyDescent="0.3">
      <c r="A994" s="55"/>
      <c r="E994" s="236"/>
      <c r="I994" s="236"/>
      <c r="J994" s="236"/>
    </row>
    <row r="995" spans="1:10" x14ac:dyDescent="0.3">
      <c r="A995" s="55"/>
      <c r="E995" s="236"/>
      <c r="I995" s="236"/>
      <c r="J995" s="236"/>
    </row>
    <row r="996" spans="1:10" x14ac:dyDescent="0.3">
      <c r="A996" s="55"/>
      <c r="E996" s="236"/>
      <c r="I996" s="236"/>
      <c r="J996" s="236"/>
    </row>
    <row r="997" spans="1:10" x14ac:dyDescent="0.3">
      <c r="A997" s="55"/>
      <c r="E997" s="236"/>
      <c r="I997" s="236"/>
      <c r="J997" s="236"/>
    </row>
    <row r="998" spans="1:10" x14ac:dyDescent="0.3">
      <c r="A998" s="55"/>
      <c r="E998" s="236"/>
      <c r="I998" s="236"/>
      <c r="J998" s="236"/>
    </row>
    <row r="999" spans="1:10" x14ac:dyDescent="0.3">
      <c r="A999" s="55"/>
      <c r="E999" s="236"/>
      <c r="I999" s="236"/>
      <c r="J999" s="236"/>
    </row>
    <row r="1000" spans="1:10" x14ac:dyDescent="0.3">
      <c r="A1000" s="55"/>
      <c r="E1000" s="236"/>
      <c r="I1000" s="236"/>
      <c r="J1000" s="236"/>
    </row>
    <row r="1001" spans="1:10" x14ac:dyDescent="0.3">
      <c r="A1001" s="55"/>
      <c r="E1001" s="236"/>
      <c r="I1001" s="236"/>
      <c r="J1001" s="236"/>
    </row>
    <row r="1002" spans="1:10" x14ac:dyDescent="0.3">
      <c r="A1002" s="55"/>
      <c r="E1002" s="236"/>
      <c r="I1002" s="236"/>
      <c r="J1002" s="236"/>
    </row>
    <row r="1003" spans="1:10" x14ac:dyDescent="0.3">
      <c r="A1003" s="55"/>
      <c r="E1003" s="236"/>
      <c r="I1003" s="236"/>
      <c r="J1003" s="236"/>
    </row>
    <row r="1004" spans="1:10" x14ac:dyDescent="0.3">
      <c r="A1004" s="55"/>
      <c r="E1004" s="236"/>
      <c r="I1004" s="236"/>
      <c r="J1004" s="236"/>
    </row>
    <row r="1005" spans="1:10" x14ac:dyDescent="0.3">
      <c r="A1005" s="55"/>
      <c r="E1005" s="236"/>
      <c r="I1005" s="236"/>
      <c r="J1005" s="236"/>
    </row>
    <row r="1006" spans="1:10" x14ac:dyDescent="0.3">
      <c r="A1006" s="55"/>
      <c r="E1006" s="236"/>
      <c r="I1006" s="236"/>
      <c r="J1006" s="236"/>
    </row>
    <row r="1007" spans="1:10" x14ac:dyDescent="0.3">
      <c r="A1007" s="55"/>
      <c r="E1007" s="236"/>
      <c r="I1007" s="236"/>
      <c r="J1007" s="236"/>
    </row>
    <row r="1008" spans="1:10" x14ac:dyDescent="0.3">
      <c r="A1008" s="55"/>
      <c r="E1008" s="236"/>
      <c r="I1008" s="236"/>
      <c r="J1008" s="236"/>
    </row>
    <row r="1009" spans="1:10" x14ac:dyDescent="0.3">
      <c r="A1009" s="55"/>
      <c r="E1009" s="236"/>
      <c r="I1009" s="236"/>
      <c r="J1009" s="236"/>
    </row>
    <row r="1010" spans="1:10" x14ac:dyDescent="0.3">
      <c r="A1010" s="55"/>
      <c r="E1010" s="236"/>
      <c r="I1010" s="236"/>
      <c r="J1010" s="236"/>
    </row>
    <row r="1011" spans="1:10" x14ac:dyDescent="0.3">
      <c r="A1011" s="55"/>
      <c r="E1011" s="236"/>
      <c r="I1011" s="236"/>
      <c r="J1011" s="236"/>
    </row>
    <row r="1012" spans="1:10" x14ac:dyDescent="0.3">
      <c r="A1012" s="55"/>
      <c r="E1012" s="236"/>
      <c r="I1012" s="236"/>
      <c r="J1012" s="236"/>
    </row>
    <row r="1013" spans="1:10" x14ac:dyDescent="0.3">
      <c r="A1013" s="55"/>
      <c r="E1013" s="236"/>
      <c r="I1013" s="236"/>
      <c r="J1013" s="236"/>
    </row>
    <row r="1014" spans="1:10" x14ac:dyDescent="0.3">
      <c r="A1014" s="55"/>
      <c r="E1014" s="236"/>
      <c r="I1014" s="236"/>
      <c r="J1014" s="236"/>
    </row>
    <row r="1015" spans="1:10" x14ac:dyDescent="0.3">
      <c r="A1015" s="55"/>
      <c r="E1015" s="236"/>
      <c r="I1015" s="236"/>
      <c r="J1015" s="236"/>
    </row>
    <row r="1016" spans="1:10" x14ac:dyDescent="0.3">
      <c r="A1016" s="55"/>
      <c r="E1016" s="236"/>
      <c r="I1016" s="236"/>
      <c r="J1016" s="236"/>
    </row>
    <row r="1017" spans="1:10" x14ac:dyDescent="0.3">
      <c r="A1017" s="55"/>
      <c r="E1017" s="236"/>
      <c r="I1017" s="236"/>
      <c r="J1017" s="236"/>
    </row>
    <row r="1018" spans="1:10" x14ac:dyDescent="0.3">
      <c r="A1018" s="55"/>
      <c r="E1018" s="236"/>
      <c r="I1018" s="236"/>
      <c r="J1018" s="236"/>
    </row>
    <row r="1019" spans="1:10" x14ac:dyDescent="0.3">
      <c r="A1019" s="55"/>
      <c r="E1019" s="236"/>
      <c r="I1019" s="236"/>
      <c r="J1019" s="236"/>
    </row>
    <row r="1020" spans="1:10" x14ac:dyDescent="0.3">
      <c r="A1020" s="55"/>
      <c r="E1020" s="236"/>
      <c r="I1020" s="236"/>
      <c r="J1020" s="236"/>
    </row>
    <row r="1021" spans="1:10" x14ac:dyDescent="0.3">
      <c r="A1021" s="55"/>
      <c r="E1021" s="236"/>
      <c r="I1021" s="236"/>
      <c r="J1021" s="236"/>
    </row>
    <row r="1022" spans="1:10" x14ac:dyDescent="0.3">
      <c r="A1022" s="55"/>
      <c r="E1022" s="236"/>
      <c r="I1022" s="236"/>
      <c r="J1022" s="236"/>
    </row>
    <row r="1023" spans="1:10" x14ac:dyDescent="0.3">
      <c r="A1023" s="55"/>
      <c r="E1023" s="236"/>
      <c r="I1023" s="236"/>
      <c r="J1023" s="236"/>
    </row>
    <row r="1024" spans="1:10" x14ac:dyDescent="0.3">
      <c r="A1024" s="55"/>
      <c r="E1024" s="236"/>
      <c r="I1024" s="236"/>
      <c r="J1024" s="236"/>
    </row>
    <row r="1025" spans="1:10" x14ac:dyDescent="0.3">
      <c r="A1025" s="55"/>
      <c r="E1025" s="236"/>
      <c r="I1025" s="236"/>
      <c r="J1025" s="236"/>
    </row>
    <row r="1026" spans="1:10" x14ac:dyDescent="0.3">
      <c r="A1026" s="55"/>
      <c r="E1026" s="236"/>
      <c r="I1026" s="236"/>
      <c r="J1026" s="236"/>
    </row>
    <row r="1027" spans="1:10" x14ac:dyDescent="0.3">
      <c r="A1027" s="55"/>
      <c r="E1027" s="236"/>
      <c r="I1027" s="236"/>
      <c r="J1027" s="236"/>
    </row>
    <row r="1028" spans="1:10" x14ac:dyDescent="0.3">
      <c r="A1028" s="55"/>
      <c r="E1028" s="236"/>
      <c r="I1028" s="236"/>
      <c r="J1028" s="236"/>
    </row>
    <row r="1029" spans="1:10" x14ac:dyDescent="0.3">
      <c r="A1029" s="55"/>
      <c r="E1029" s="236"/>
      <c r="I1029" s="236"/>
      <c r="J1029" s="236"/>
    </row>
    <row r="1030" spans="1:10" x14ac:dyDescent="0.3">
      <c r="A1030" s="55"/>
      <c r="E1030" s="236"/>
      <c r="I1030" s="236"/>
      <c r="J1030" s="236"/>
    </row>
    <row r="1031" spans="1:10" x14ac:dyDescent="0.3">
      <c r="A1031" s="55"/>
      <c r="E1031" s="236"/>
      <c r="I1031" s="236"/>
      <c r="J1031" s="236"/>
    </row>
    <row r="1032" spans="1:10" x14ac:dyDescent="0.3">
      <c r="A1032" s="55"/>
      <c r="E1032" s="236"/>
      <c r="I1032" s="236"/>
      <c r="J1032" s="236"/>
    </row>
    <row r="1033" spans="1:10" x14ac:dyDescent="0.3">
      <c r="A1033" s="55"/>
      <c r="E1033" s="236"/>
      <c r="I1033" s="236"/>
      <c r="J1033" s="236"/>
    </row>
    <row r="1034" spans="1:10" x14ac:dyDescent="0.3">
      <c r="A1034" s="55"/>
      <c r="E1034" s="236"/>
      <c r="I1034" s="236"/>
      <c r="J1034" s="236"/>
    </row>
    <row r="1035" spans="1:10" x14ac:dyDescent="0.3">
      <c r="A1035" s="55"/>
      <c r="E1035" s="236"/>
      <c r="I1035" s="236"/>
      <c r="J1035" s="236"/>
    </row>
    <row r="1036" spans="1:10" x14ac:dyDescent="0.3">
      <c r="A1036" s="55"/>
      <c r="E1036" s="236"/>
      <c r="I1036" s="236"/>
      <c r="J1036" s="236"/>
    </row>
    <row r="1037" spans="1:10" x14ac:dyDescent="0.3">
      <c r="A1037" s="55"/>
      <c r="E1037" s="236"/>
      <c r="I1037" s="236"/>
      <c r="J1037" s="236"/>
    </row>
    <row r="1038" spans="1:10" x14ac:dyDescent="0.3">
      <c r="A1038" s="55"/>
      <c r="E1038" s="236"/>
      <c r="I1038" s="236"/>
      <c r="J1038" s="236"/>
    </row>
    <row r="1039" spans="1:10" x14ac:dyDescent="0.3">
      <c r="A1039" s="55"/>
      <c r="E1039" s="236"/>
      <c r="I1039" s="236"/>
      <c r="J1039" s="236"/>
    </row>
    <row r="1040" spans="1:10" x14ac:dyDescent="0.3">
      <c r="A1040" s="55"/>
      <c r="E1040" s="236"/>
      <c r="I1040" s="236"/>
      <c r="J1040" s="236"/>
    </row>
    <row r="1041" spans="1:10" x14ac:dyDescent="0.3">
      <c r="A1041" s="55"/>
      <c r="E1041" s="236"/>
      <c r="I1041" s="236"/>
      <c r="J1041" s="236"/>
    </row>
    <row r="1042" spans="1:10" x14ac:dyDescent="0.3">
      <c r="A1042" s="55"/>
      <c r="E1042" s="236"/>
      <c r="I1042" s="236"/>
      <c r="J1042" s="236"/>
    </row>
    <row r="1043" spans="1:10" x14ac:dyDescent="0.3">
      <c r="A1043" s="55"/>
      <c r="E1043" s="236"/>
      <c r="I1043" s="236"/>
      <c r="J1043" s="236"/>
    </row>
    <row r="1044" spans="1:10" x14ac:dyDescent="0.3">
      <c r="A1044" s="55"/>
      <c r="E1044" s="236"/>
      <c r="I1044" s="236"/>
      <c r="J1044" s="236"/>
    </row>
    <row r="1045" spans="1:10" x14ac:dyDescent="0.3">
      <c r="A1045" s="55"/>
      <c r="E1045" s="236"/>
      <c r="I1045" s="236"/>
      <c r="J1045" s="236"/>
    </row>
    <row r="1046" spans="1:10" x14ac:dyDescent="0.3">
      <c r="A1046" s="55"/>
      <c r="E1046" s="236"/>
      <c r="I1046" s="236"/>
      <c r="J1046" s="236"/>
    </row>
    <row r="1047" spans="1:10" x14ac:dyDescent="0.3">
      <c r="A1047" s="55"/>
      <c r="E1047" s="236"/>
      <c r="I1047" s="236"/>
      <c r="J1047" s="236"/>
    </row>
    <row r="1048" spans="1:10" x14ac:dyDescent="0.3">
      <c r="A1048" s="55"/>
      <c r="E1048" s="236"/>
      <c r="I1048" s="236"/>
      <c r="J1048" s="236"/>
    </row>
    <row r="1049" spans="1:10" x14ac:dyDescent="0.3">
      <c r="A1049" s="55"/>
      <c r="E1049" s="236"/>
      <c r="I1049" s="236"/>
      <c r="J1049" s="236"/>
    </row>
    <row r="1050" spans="1:10" x14ac:dyDescent="0.3">
      <c r="A1050" s="55"/>
      <c r="E1050" s="236"/>
      <c r="I1050" s="236"/>
      <c r="J1050" s="236"/>
    </row>
    <row r="1051" spans="1:10" x14ac:dyDescent="0.3">
      <c r="A1051" s="55"/>
      <c r="I1051" s="236"/>
      <c r="J1051" s="236"/>
    </row>
    <row r="1052" spans="1:10" x14ac:dyDescent="0.3">
      <c r="A1052" s="55"/>
      <c r="I1052" s="236"/>
      <c r="J1052" s="236"/>
    </row>
    <row r="1053" spans="1:10" x14ac:dyDescent="0.3">
      <c r="A1053" s="55"/>
      <c r="I1053" s="236"/>
      <c r="J1053" s="236"/>
    </row>
    <row r="1054" spans="1:10" x14ac:dyDescent="0.3">
      <c r="A1054" s="55"/>
      <c r="I1054" s="236"/>
      <c r="J1054" s="236"/>
    </row>
    <row r="1055" spans="1:10" x14ac:dyDescent="0.3">
      <c r="A1055" s="55"/>
      <c r="I1055" s="236"/>
      <c r="J1055" s="236"/>
    </row>
    <row r="1056" spans="1:10" x14ac:dyDescent="0.3">
      <c r="A1056" s="55"/>
      <c r="I1056" s="236"/>
      <c r="J1056" s="236"/>
    </row>
    <row r="1057" spans="1:10" x14ac:dyDescent="0.3">
      <c r="A1057" s="55"/>
      <c r="I1057" s="236"/>
      <c r="J1057" s="236"/>
    </row>
    <row r="1058" spans="1:10" x14ac:dyDescent="0.3">
      <c r="A1058" s="55"/>
      <c r="I1058" s="236"/>
      <c r="J1058" s="236"/>
    </row>
    <row r="1059" spans="1:10" x14ac:dyDescent="0.3">
      <c r="A1059" s="55"/>
      <c r="I1059" s="236"/>
      <c r="J1059" s="236"/>
    </row>
    <row r="1060" spans="1:10" x14ac:dyDescent="0.3">
      <c r="A1060" s="55"/>
      <c r="I1060" s="236"/>
      <c r="J1060" s="236"/>
    </row>
    <row r="1061" spans="1:10" x14ac:dyDescent="0.3">
      <c r="A1061" s="55"/>
      <c r="I1061" s="236"/>
      <c r="J1061" s="236"/>
    </row>
    <row r="1062" spans="1:10" x14ac:dyDescent="0.3">
      <c r="A1062" s="55"/>
      <c r="I1062" s="236"/>
      <c r="J1062" s="236"/>
    </row>
    <row r="1063" spans="1:10" x14ac:dyDescent="0.3">
      <c r="A1063" s="55"/>
      <c r="I1063" s="236"/>
      <c r="J1063" s="236"/>
    </row>
    <row r="1064" spans="1:10" x14ac:dyDescent="0.3">
      <c r="A1064" s="55"/>
      <c r="I1064" s="236"/>
      <c r="J1064" s="236"/>
    </row>
    <row r="1065" spans="1:10" x14ac:dyDescent="0.3">
      <c r="A1065" s="55"/>
      <c r="I1065" s="236"/>
      <c r="J1065" s="236"/>
    </row>
    <row r="1066" spans="1:10" x14ac:dyDescent="0.3">
      <c r="A1066" s="55"/>
      <c r="I1066" s="236"/>
      <c r="J1066" s="236"/>
    </row>
    <row r="1067" spans="1:10" x14ac:dyDescent="0.3">
      <c r="A1067" s="55"/>
      <c r="I1067" s="236"/>
      <c r="J1067" s="236"/>
    </row>
    <row r="1068" spans="1:10" x14ac:dyDescent="0.3">
      <c r="A1068" s="55"/>
      <c r="I1068" s="236"/>
      <c r="J1068" s="236"/>
    </row>
    <row r="1069" spans="1:10" x14ac:dyDescent="0.3">
      <c r="A1069" s="55"/>
      <c r="I1069" s="236"/>
      <c r="J1069" s="236"/>
    </row>
    <row r="1070" spans="1:10" x14ac:dyDescent="0.3">
      <c r="A1070" s="55"/>
      <c r="I1070" s="236"/>
      <c r="J1070" s="236"/>
    </row>
    <row r="1071" spans="1:10" x14ac:dyDescent="0.3">
      <c r="A1071" s="55"/>
      <c r="I1071" s="236"/>
      <c r="J1071" s="236"/>
    </row>
    <row r="1072" spans="1:10" x14ac:dyDescent="0.3">
      <c r="A1072" s="55"/>
      <c r="I1072" s="236"/>
      <c r="J1072" s="236"/>
    </row>
    <row r="1073" spans="1:10" x14ac:dyDescent="0.3">
      <c r="A1073" s="55"/>
      <c r="I1073" s="236"/>
      <c r="J1073" s="236"/>
    </row>
    <row r="1074" spans="1:10" x14ac:dyDescent="0.3">
      <c r="A1074" s="55"/>
      <c r="I1074" s="236"/>
      <c r="J1074" s="236"/>
    </row>
    <row r="1075" spans="1:10" x14ac:dyDescent="0.3">
      <c r="A1075" s="55"/>
      <c r="I1075" s="236"/>
      <c r="J1075" s="236"/>
    </row>
    <row r="1076" spans="1:10" x14ac:dyDescent="0.3">
      <c r="A1076" s="55"/>
      <c r="I1076" s="236"/>
      <c r="J1076" s="236"/>
    </row>
    <row r="1077" spans="1:10" x14ac:dyDescent="0.3">
      <c r="A1077" s="55"/>
      <c r="I1077" s="236"/>
      <c r="J1077" s="236"/>
    </row>
    <row r="1078" spans="1:10" x14ac:dyDescent="0.3">
      <c r="A1078" s="55"/>
      <c r="I1078" s="236"/>
      <c r="J1078" s="236"/>
    </row>
    <row r="1079" spans="1:10" x14ac:dyDescent="0.3">
      <c r="A1079" s="55"/>
      <c r="I1079" s="236"/>
      <c r="J1079" s="236"/>
    </row>
    <row r="1080" spans="1:10" x14ac:dyDescent="0.3">
      <c r="A1080" s="55"/>
      <c r="I1080" s="236"/>
      <c r="J1080" s="236"/>
    </row>
    <row r="1081" spans="1:10" x14ac:dyDescent="0.3">
      <c r="A1081" s="55"/>
      <c r="I1081" s="236"/>
      <c r="J1081" s="236"/>
    </row>
    <row r="1082" spans="1:10" x14ac:dyDescent="0.3">
      <c r="A1082" s="55"/>
      <c r="I1082" s="236"/>
      <c r="J1082" s="236"/>
    </row>
    <row r="1083" spans="1:10" x14ac:dyDescent="0.3">
      <c r="A1083" s="55"/>
      <c r="I1083" s="236"/>
      <c r="J1083" s="236"/>
    </row>
    <row r="1084" spans="1:10" x14ac:dyDescent="0.3">
      <c r="A1084" s="55"/>
      <c r="I1084" s="236"/>
      <c r="J1084" s="236"/>
    </row>
    <row r="1085" spans="1:10" x14ac:dyDescent="0.3">
      <c r="A1085" s="55"/>
      <c r="I1085" s="236"/>
      <c r="J1085" s="236"/>
    </row>
    <row r="1086" spans="1:10" x14ac:dyDescent="0.3">
      <c r="A1086" s="55"/>
      <c r="I1086" s="236"/>
      <c r="J1086" s="236"/>
    </row>
    <row r="1087" spans="1:10" x14ac:dyDescent="0.3">
      <c r="A1087" s="55"/>
      <c r="I1087" s="236"/>
      <c r="J1087" s="236"/>
    </row>
    <row r="1088" spans="1:10" x14ac:dyDescent="0.3">
      <c r="A1088" s="55"/>
      <c r="I1088" s="236"/>
      <c r="J1088" s="236"/>
    </row>
    <row r="1089" spans="1:10" x14ac:dyDescent="0.3">
      <c r="A1089" s="55"/>
      <c r="I1089" s="236"/>
      <c r="J1089" s="236"/>
    </row>
    <row r="1090" spans="1:10" x14ac:dyDescent="0.3">
      <c r="A1090" s="55"/>
      <c r="I1090" s="236"/>
      <c r="J1090" s="236"/>
    </row>
    <row r="1091" spans="1:10" x14ac:dyDescent="0.3">
      <c r="A1091" s="55"/>
      <c r="I1091" s="236"/>
      <c r="J1091" s="236"/>
    </row>
    <row r="1092" spans="1:10" x14ac:dyDescent="0.3">
      <c r="A1092" s="55"/>
      <c r="I1092" s="236"/>
      <c r="J1092" s="236"/>
    </row>
    <row r="1093" spans="1:10" x14ac:dyDescent="0.3">
      <c r="A1093" s="55"/>
      <c r="I1093" s="236"/>
      <c r="J1093" s="236"/>
    </row>
    <row r="1094" spans="1:10" x14ac:dyDescent="0.3">
      <c r="A1094" s="55"/>
      <c r="I1094" s="236"/>
      <c r="J1094" s="236"/>
    </row>
    <row r="1095" spans="1:10" x14ac:dyDescent="0.3">
      <c r="A1095" s="55"/>
      <c r="I1095" s="236"/>
      <c r="J1095" s="236"/>
    </row>
    <row r="1096" spans="1:10" x14ac:dyDescent="0.3">
      <c r="A1096" s="55"/>
      <c r="I1096" s="236"/>
      <c r="J1096" s="236"/>
    </row>
    <row r="1097" spans="1:10" x14ac:dyDescent="0.3">
      <c r="A1097" s="55"/>
      <c r="I1097" s="236"/>
      <c r="J1097" s="236"/>
    </row>
    <row r="1098" spans="1:10" x14ac:dyDescent="0.3">
      <c r="A1098" s="55"/>
      <c r="I1098" s="236"/>
      <c r="J1098" s="236"/>
    </row>
    <row r="1099" spans="1:10" x14ac:dyDescent="0.3">
      <c r="A1099" s="55"/>
      <c r="I1099" s="236"/>
      <c r="J1099" s="236"/>
    </row>
    <row r="1100" spans="1:10" x14ac:dyDescent="0.3">
      <c r="A1100" s="55"/>
      <c r="I1100" s="236"/>
      <c r="J1100" s="236"/>
    </row>
    <row r="1101" spans="1:10" x14ac:dyDescent="0.3">
      <c r="A1101" s="55"/>
      <c r="I1101" s="236"/>
      <c r="J1101" s="236"/>
    </row>
    <row r="1102" spans="1:10" x14ac:dyDescent="0.3">
      <c r="A1102" s="55"/>
      <c r="I1102" s="236"/>
      <c r="J1102" s="236"/>
    </row>
    <row r="1103" spans="1:10" x14ac:dyDescent="0.3">
      <c r="A1103" s="55"/>
      <c r="I1103" s="236"/>
      <c r="J1103" s="236"/>
    </row>
    <row r="1104" spans="1:10" x14ac:dyDescent="0.3">
      <c r="A1104" s="55"/>
      <c r="I1104" s="236"/>
      <c r="J1104" s="236"/>
    </row>
    <row r="1105" spans="1:10" x14ac:dyDescent="0.3">
      <c r="A1105" s="55"/>
      <c r="I1105" s="236"/>
      <c r="J1105" s="236"/>
    </row>
    <row r="1106" spans="1:10" x14ac:dyDescent="0.3">
      <c r="A1106" s="55"/>
      <c r="I1106" s="236"/>
      <c r="J1106" s="236"/>
    </row>
    <row r="1107" spans="1:10" x14ac:dyDescent="0.3">
      <c r="A1107" s="55"/>
      <c r="I1107" s="236"/>
      <c r="J1107" s="236"/>
    </row>
    <row r="1108" spans="1:10" x14ac:dyDescent="0.3">
      <c r="A1108" s="55"/>
      <c r="I1108" s="236"/>
      <c r="J1108" s="236"/>
    </row>
    <row r="1109" spans="1:10" x14ac:dyDescent="0.3">
      <c r="A1109" s="55"/>
      <c r="I1109" s="236"/>
      <c r="J1109" s="236"/>
    </row>
    <row r="1110" spans="1:10" x14ac:dyDescent="0.3">
      <c r="A1110" s="55"/>
      <c r="I1110" s="236"/>
      <c r="J1110" s="236"/>
    </row>
    <row r="1111" spans="1:10" x14ac:dyDescent="0.3">
      <c r="A1111" s="55"/>
      <c r="I1111" s="236"/>
      <c r="J1111" s="236"/>
    </row>
    <row r="1112" spans="1:10" x14ac:dyDescent="0.3">
      <c r="A1112" s="55"/>
      <c r="I1112" s="236"/>
      <c r="J1112" s="236"/>
    </row>
    <row r="1113" spans="1:10" x14ac:dyDescent="0.3">
      <c r="A1113" s="55"/>
      <c r="I1113" s="236"/>
      <c r="J1113" s="236"/>
    </row>
    <row r="1114" spans="1:10" x14ac:dyDescent="0.3">
      <c r="A1114" s="55"/>
      <c r="I1114" s="236"/>
      <c r="J1114" s="236"/>
    </row>
    <row r="1115" spans="1:10" x14ac:dyDescent="0.3">
      <c r="A1115" s="55"/>
      <c r="I1115" s="236"/>
      <c r="J1115" s="236"/>
    </row>
    <row r="1116" spans="1:10" x14ac:dyDescent="0.3">
      <c r="A1116" s="55"/>
      <c r="I1116" s="236"/>
      <c r="J1116" s="236"/>
    </row>
    <row r="1117" spans="1:10" x14ac:dyDescent="0.3">
      <c r="A1117" s="55"/>
      <c r="I1117" s="236"/>
      <c r="J1117" s="236"/>
    </row>
    <row r="1118" spans="1:10" x14ac:dyDescent="0.3">
      <c r="A1118" s="55"/>
      <c r="I1118" s="236"/>
      <c r="J1118" s="236"/>
    </row>
    <row r="1119" spans="1:10" x14ac:dyDescent="0.3">
      <c r="A1119" s="55"/>
      <c r="I1119" s="236"/>
      <c r="J1119" s="236"/>
    </row>
    <row r="1120" spans="1:10" x14ac:dyDescent="0.3">
      <c r="A1120" s="55"/>
      <c r="I1120" s="236"/>
      <c r="J1120" s="236"/>
    </row>
    <row r="1121" spans="1:10" x14ac:dyDescent="0.3">
      <c r="A1121" s="55"/>
      <c r="I1121" s="236"/>
      <c r="J1121" s="236"/>
    </row>
    <row r="1122" spans="1:10" x14ac:dyDescent="0.3">
      <c r="A1122" s="55"/>
      <c r="I1122" s="236"/>
      <c r="J1122" s="236"/>
    </row>
    <row r="1123" spans="1:10" x14ac:dyDescent="0.3">
      <c r="A1123" s="55"/>
      <c r="I1123" s="236"/>
      <c r="J1123" s="236"/>
    </row>
    <row r="1124" spans="1:10" x14ac:dyDescent="0.3">
      <c r="A1124" s="55"/>
      <c r="I1124" s="236"/>
      <c r="J1124" s="236"/>
    </row>
    <row r="1125" spans="1:10" x14ac:dyDescent="0.3">
      <c r="A1125" s="55"/>
      <c r="I1125" s="236"/>
      <c r="J1125" s="236"/>
    </row>
    <row r="1126" spans="1:10" x14ac:dyDescent="0.3">
      <c r="A1126" s="55"/>
      <c r="I1126" s="236"/>
      <c r="J1126" s="236"/>
    </row>
    <row r="1127" spans="1:10" x14ac:dyDescent="0.3">
      <c r="A1127" s="55"/>
      <c r="I1127" s="236"/>
      <c r="J1127" s="236"/>
    </row>
    <row r="1128" spans="1:10" x14ac:dyDescent="0.3">
      <c r="A1128" s="55"/>
      <c r="I1128" s="236"/>
      <c r="J1128" s="236"/>
    </row>
    <row r="1129" spans="1:10" x14ac:dyDescent="0.3">
      <c r="A1129" s="55"/>
      <c r="I1129" s="236"/>
      <c r="J1129" s="236"/>
    </row>
    <row r="1130" spans="1:10" x14ac:dyDescent="0.3">
      <c r="A1130" s="55"/>
      <c r="I1130" s="236"/>
      <c r="J1130" s="236"/>
    </row>
    <row r="1131" spans="1:10" x14ac:dyDescent="0.3">
      <c r="A1131" s="55"/>
      <c r="I1131" s="236"/>
      <c r="J1131" s="236"/>
    </row>
    <row r="1132" spans="1:10" x14ac:dyDescent="0.3">
      <c r="A1132" s="55"/>
      <c r="I1132" s="236"/>
      <c r="J1132" s="236"/>
    </row>
    <row r="1133" spans="1:10" x14ac:dyDescent="0.3">
      <c r="A1133" s="55"/>
      <c r="I1133" s="236"/>
      <c r="J1133" s="236"/>
    </row>
    <row r="1134" spans="1:10" x14ac:dyDescent="0.3">
      <c r="A1134" s="55"/>
      <c r="I1134" s="236"/>
      <c r="J1134" s="236"/>
    </row>
    <row r="1135" spans="1:10" x14ac:dyDescent="0.3">
      <c r="A1135" s="55"/>
      <c r="I1135" s="236"/>
      <c r="J1135" s="236"/>
    </row>
    <row r="1136" spans="1:10" x14ac:dyDescent="0.3">
      <c r="A1136" s="55"/>
      <c r="I1136" s="236"/>
      <c r="J1136" s="236"/>
    </row>
    <row r="1137" spans="1:10" x14ac:dyDescent="0.3">
      <c r="A1137" s="55"/>
      <c r="I1137" s="236"/>
      <c r="J1137" s="236"/>
    </row>
    <row r="1138" spans="1:10" x14ac:dyDescent="0.3">
      <c r="A1138" s="55"/>
      <c r="I1138" s="236"/>
      <c r="J1138" s="236"/>
    </row>
    <row r="1139" spans="1:10" x14ac:dyDescent="0.3">
      <c r="A1139" s="55"/>
      <c r="I1139" s="236"/>
      <c r="J1139" s="236"/>
    </row>
    <row r="1140" spans="1:10" x14ac:dyDescent="0.3">
      <c r="A1140" s="55"/>
      <c r="I1140" s="236"/>
      <c r="J1140" s="236"/>
    </row>
    <row r="1141" spans="1:10" x14ac:dyDescent="0.3">
      <c r="A1141" s="55"/>
      <c r="I1141" s="236"/>
      <c r="J1141" s="236"/>
    </row>
    <row r="1142" spans="1:10" x14ac:dyDescent="0.3">
      <c r="A1142" s="55"/>
      <c r="I1142" s="236"/>
      <c r="J1142" s="236"/>
    </row>
    <row r="1143" spans="1:10" x14ac:dyDescent="0.3">
      <c r="A1143" s="55"/>
      <c r="I1143" s="236"/>
      <c r="J1143" s="236"/>
    </row>
    <row r="1144" spans="1:10" x14ac:dyDescent="0.3">
      <c r="A1144" s="55"/>
      <c r="I1144" s="236"/>
      <c r="J1144" s="236"/>
    </row>
    <row r="1145" spans="1:10" x14ac:dyDescent="0.3">
      <c r="A1145" s="55"/>
      <c r="I1145" s="236"/>
      <c r="J1145" s="236"/>
    </row>
    <row r="1146" spans="1:10" x14ac:dyDescent="0.3">
      <c r="A1146" s="55"/>
      <c r="I1146" s="236"/>
      <c r="J1146" s="236"/>
    </row>
    <row r="1147" spans="1:10" x14ac:dyDescent="0.3">
      <c r="A1147" s="55"/>
      <c r="I1147" s="236"/>
      <c r="J1147" s="236"/>
    </row>
    <row r="1148" spans="1:10" x14ac:dyDescent="0.3">
      <c r="A1148" s="55"/>
      <c r="I1148" s="236"/>
      <c r="J1148" s="236"/>
    </row>
    <row r="1149" spans="1:10" x14ac:dyDescent="0.3">
      <c r="A1149" s="55"/>
      <c r="I1149" s="236"/>
      <c r="J1149" s="236"/>
    </row>
    <row r="1150" spans="1:10" x14ac:dyDescent="0.3">
      <c r="A1150" s="55"/>
      <c r="I1150" s="236"/>
      <c r="J1150" s="236"/>
    </row>
    <row r="1151" spans="1:10" x14ac:dyDescent="0.3">
      <c r="A1151" s="55"/>
      <c r="I1151" s="236"/>
      <c r="J1151" s="236"/>
    </row>
    <row r="1152" spans="1:10" x14ac:dyDescent="0.3">
      <c r="A1152" s="55"/>
      <c r="I1152" s="236"/>
      <c r="J1152" s="236"/>
    </row>
    <row r="1153" spans="1:10" x14ac:dyDescent="0.3">
      <c r="A1153" s="55"/>
      <c r="I1153" s="236"/>
      <c r="J1153" s="236"/>
    </row>
    <row r="1154" spans="1:10" x14ac:dyDescent="0.3">
      <c r="A1154" s="55"/>
      <c r="I1154" s="236"/>
      <c r="J1154" s="236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2" priority="5">
      <formula>$F11&lt;0</formula>
    </cfRule>
    <cfRule type="expression" dxfId="11" priority="6">
      <formula>$F11=0</formula>
    </cfRule>
  </conditionalFormatting>
  <conditionalFormatting sqref="C12:C131">
    <cfRule type="expression" dxfId="10" priority="3">
      <formula>$C12&lt;0</formula>
    </cfRule>
    <cfRule type="expression" dxfId="9" priority="4">
      <formula>$C12=0</formula>
    </cfRule>
  </conditionalFormatting>
  <conditionalFormatting sqref="B12:B131">
    <cfRule type="expression" dxfId="8" priority="1">
      <formula>$B12&lt;0</formula>
    </cfRule>
    <cfRule type="expression" dxfId="7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J1218"/>
  <sheetViews>
    <sheetView workbookViewId="0">
      <selection activeCell="I11" sqref="I11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10" ht="15.6" x14ac:dyDescent="0.3">
      <c r="A1" s="330" t="s">
        <v>150</v>
      </c>
      <c r="B1" s="330"/>
      <c r="C1" s="330"/>
      <c r="D1" s="330"/>
      <c r="E1" s="231"/>
    </row>
    <row r="2" spans="1:10" ht="15.6" x14ac:dyDescent="0.3">
      <c r="A2" s="330"/>
      <c r="B2" s="330"/>
      <c r="C2" s="330"/>
      <c r="D2" s="330"/>
      <c r="E2" s="231"/>
      <c r="H2" s="255"/>
    </row>
    <row r="3" spans="1:10" x14ac:dyDescent="0.3">
      <c r="A3" s="30" t="s">
        <v>47</v>
      </c>
      <c r="B3" s="195">
        <v>550</v>
      </c>
    </row>
    <row r="4" spans="1:10" x14ac:dyDescent="0.3">
      <c r="A4" s="27" t="s">
        <v>140</v>
      </c>
      <c r="B4" s="8">
        <v>12</v>
      </c>
      <c r="C4" s="30" t="s">
        <v>158</v>
      </c>
      <c r="D4" s="273">
        <f>D7/B4</f>
        <v>10</v>
      </c>
    </row>
    <row r="5" spans="1:10" x14ac:dyDescent="0.3">
      <c r="A5" s="27" t="s">
        <v>54</v>
      </c>
      <c r="B5" s="8">
        <v>9</v>
      </c>
      <c r="C5" s="27" t="s">
        <v>153</v>
      </c>
      <c r="D5" s="221">
        <f>(B3/(B5*B4))</f>
        <v>5.0925925925925926</v>
      </c>
      <c r="E5" s="205"/>
    </row>
    <row r="6" spans="1:10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8"/>
    </row>
    <row r="7" spans="1:10" x14ac:dyDescent="0.3">
      <c r="A7" s="27" t="s">
        <v>142</v>
      </c>
      <c r="B7" s="256">
        <v>0.09</v>
      </c>
      <c r="C7" s="27" t="s">
        <v>144</v>
      </c>
      <c r="D7" s="26">
        <f>(B8+B5)*B4</f>
        <v>120</v>
      </c>
      <c r="E7" s="10"/>
    </row>
    <row r="8" spans="1:10" x14ac:dyDescent="0.3">
      <c r="A8" s="28" t="s">
        <v>28</v>
      </c>
      <c r="B8" s="257">
        <v>1</v>
      </c>
      <c r="C8" s="28" t="s">
        <v>159</v>
      </c>
      <c r="D8" s="29">
        <f>B8*B4</f>
        <v>12</v>
      </c>
      <c r="E8" s="10"/>
    </row>
    <row r="9" spans="1:10" x14ac:dyDescent="0.3">
      <c r="H9" s="278" t="s">
        <v>162</v>
      </c>
      <c r="I9" s="280">
        <v>263.61</v>
      </c>
      <c r="J9" s="279">
        <v>549.72</v>
      </c>
    </row>
    <row r="10" spans="1:1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30" t="s">
        <v>158</v>
      </c>
      <c r="I10" s="230" t="s">
        <v>157</v>
      </c>
      <c r="J10" s="17" t="s">
        <v>152</v>
      </c>
    </row>
    <row r="11" spans="1:10" x14ac:dyDescent="0.3">
      <c r="A11" s="200">
        <v>0</v>
      </c>
      <c r="B11" s="254">
        <v>0</v>
      </c>
      <c r="C11" s="254">
        <v>0</v>
      </c>
      <c r="D11" s="254">
        <v>0</v>
      </c>
      <c r="E11" s="254">
        <v>0</v>
      </c>
      <c r="F11" s="249">
        <f>B3</f>
        <v>550</v>
      </c>
      <c r="H11" s="5">
        <v>1</v>
      </c>
      <c r="I11" s="271">
        <v>47.567999999999998</v>
      </c>
      <c r="J11" s="274">
        <v>0</v>
      </c>
    </row>
    <row r="12" spans="1:10" x14ac:dyDescent="0.3">
      <c r="A12" s="250">
        <v>1</v>
      </c>
      <c r="B12" s="261">
        <v>3.9640278238751936</v>
      </c>
      <c r="C12" s="248">
        <v>3.9640278238751936</v>
      </c>
      <c r="D12" s="261">
        <v>0</v>
      </c>
      <c r="E12" s="259"/>
      <c r="F12" s="262">
        <v>550</v>
      </c>
      <c r="H12" s="8">
        <v>2</v>
      </c>
      <c r="I12" s="205">
        <v>45.145800000000001</v>
      </c>
      <c r="J12" s="214">
        <v>61.08</v>
      </c>
    </row>
    <row r="13" spans="1:10" x14ac:dyDescent="0.3">
      <c r="A13" s="250">
        <v>2</v>
      </c>
      <c r="B13" s="261">
        <v>3.9640278238751936</v>
      </c>
      <c r="C13" s="248">
        <v>3.9640278238751936</v>
      </c>
      <c r="D13" s="261">
        <v>0</v>
      </c>
      <c r="E13" s="259"/>
      <c r="F13" s="262">
        <v>550</v>
      </c>
      <c r="H13" s="8">
        <v>3</v>
      </c>
      <c r="I13" s="205">
        <v>39.860599999999998</v>
      </c>
      <c r="J13" s="214">
        <v>61.08</v>
      </c>
    </row>
    <row r="14" spans="1:10" x14ac:dyDescent="0.3">
      <c r="A14" s="250">
        <v>3</v>
      </c>
      <c r="B14" s="261">
        <v>3.9640278238751936</v>
      </c>
      <c r="C14" s="248">
        <v>3.9640278238751936</v>
      </c>
      <c r="D14" s="261">
        <v>0</v>
      </c>
      <c r="E14" s="259"/>
      <c r="F14" s="262">
        <v>550</v>
      </c>
      <c r="H14" s="8">
        <v>4</v>
      </c>
      <c r="I14" s="205">
        <v>34.575000000000003</v>
      </c>
      <c r="J14" s="214">
        <v>61.08</v>
      </c>
    </row>
    <row r="15" spans="1:10" x14ac:dyDescent="0.3">
      <c r="A15" s="250">
        <v>4</v>
      </c>
      <c r="B15" s="261">
        <v>3.9640278238751936</v>
      </c>
      <c r="C15" s="248">
        <v>3.9640278238751936</v>
      </c>
      <c r="D15" s="261">
        <v>0</v>
      </c>
      <c r="E15" s="259"/>
      <c r="F15" s="262">
        <v>550</v>
      </c>
      <c r="H15" s="8">
        <v>5</v>
      </c>
      <c r="I15" s="205">
        <v>29.289899999999999</v>
      </c>
      <c r="J15" s="214">
        <v>61.08</v>
      </c>
    </row>
    <row r="16" spans="1:10" x14ac:dyDescent="0.3">
      <c r="A16" s="250">
        <v>5</v>
      </c>
      <c r="B16" s="261">
        <v>3.9640278238751936</v>
      </c>
      <c r="C16" s="248">
        <v>3.9640278238751936</v>
      </c>
      <c r="D16" s="261">
        <v>0</v>
      </c>
      <c r="E16" s="259"/>
      <c r="F16" s="262">
        <v>550</v>
      </c>
      <c r="H16" s="8">
        <v>6</v>
      </c>
      <c r="I16" s="205">
        <v>24.004200000000001</v>
      </c>
      <c r="J16" s="214">
        <v>61.08</v>
      </c>
    </row>
    <row r="17" spans="1:10" x14ac:dyDescent="0.3">
      <c r="A17" s="250">
        <v>6</v>
      </c>
      <c r="B17" s="261">
        <v>3.9640278238751936</v>
      </c>
      <c r="C17" s="248">
        <v>3.9640278238751936</v>
      </c>
      <c r="D17" s="261">
        <v>0</v>
      </c>
      <c r="E17" s="259"/>
      <c r="F17" s="262">
        <v>550</v>
      </c>
      <c r="H17" s="8">
        <v>7</v>
      </c>
      <c r="I17" s="205">
        <v>18.719200000000001</v>
      </c>
      <c r="J17" s="214">
        <v>61.08</v>
      </c>
    </row>
    <row r="18" spans="1:10" x14ac:dyDescent="0.3">
      <c r="A18" s="250">
        <v>7</v>
      </c>
      <c r="B18" s="261">
        <v>3.9640278238751936</v>
      </c>
      <c r="C18" s="248">
        <v>3.9640278238751936</v>
      </c>
      <c r="D18" s="261">
        <v>0</v>
      </c>
      <c r="E18" s="259"/>
      <c r="F18" s="262">
        <v>550</v>
      </c>
      <c r="H18" s="8">
        <v>8</v>
      </c>
      <c r="I18" s="205">
        <v>13.433400000000001</v>
      </c>
      <c r="J18" s="214">
        <v>61.08</v>
      </c>
    </row>
    <row r="19" spans="1:10" x14ac:dyDescent="0.3">
      <c r="A19" s="250">
        <v>8</v>
      </c>
      <c r="B19" s="261">
        <v>3.9640278238751936</v>
      </c>
      <c r="C19" s="248">
        <v>3.9640278238751936</v>
      </c>
      <c r="D19" s="261">
        <v>0</v>
      </c>
      <c r="E19" s="259"/>
      <c r="F19" s="262">
        <v>550</v>
      </c>
      <c r="H19" s="8">
        <v>9</v>
      </c>
      <c r="I19" s="205">
        <v>8.1485000000000003</v>
      </c>
      <c r="J19" s="214">
        <v>61.08</v>
      </c>
    </row>
    <row r="20" spans="1:10" x14ac:dyDescent="0.3">
      <c r="A20" s="250">
        <v>9</v>
      </c>
      <c r="B20" s="261">
        <v>3.9640278238751936</v>
      </c>
      <c r="C20" s="248">
        <v>3.9640278238751936</v>
      </c>
      <c r="D20" s="261">
        <v>0</v>
      </c>
      <c r="E20" s="259"/>
      <c r="F20" s="262">
        <v>550</v>
      </c>
      <c r="H20" s="8">
        <v>10</v>
      </c>
      <c r="I20" s="205">
        <v>2.8626</v>
      </c>
      <c r="J20" s="214">
        <v>61.08</v>
      </c>
    </row>
    <row r="21" spans="1:10" x14ac:dyDescent="0.3">
      <c r="A21" s="250">
        <v>10</v>
      </c>
      <c r="B21" s="261">
        <v>3.9640278238751936</v>
      </c>
      <c r="C21" s="248">
        <v>3.9640278238751936</v>
      </c>
      <c r="D21" s="261">
        <v>0</v>
      </c>
      <c r="E21" s="259"/>
      <c r="F21" s="262">
        <v>550</v>
      </c>
      <c r="H21" s="8"/>
      <c r="I21" s="205"/>
      <c r="J21" s="214"/>
    </row>
    <row r="22" spans="1:10" x14ac:dyDescent="0.3">
      <c r="A22" s="250">
        <v>11</v>
      </c>
      <c r="B22" s="261">
        <v>3.9640278238751936</v>
      </c>
      <c r="C22" s="248">
        <v>3.9640278238751936</v>
      </c>
      <c r="D22" s="261">
        <v>0</v>
      </c>
      <c r="E22" s="259"/>
      <c r="F22" s="262">
        <v>550</v>
      </c>
      <c r="H22" s="8"/>
      <c r="I22" s="205"/>
      <c r="J22" s="214"/>
    </row>
    <row r="23" spans="1:10" x14ac:dyDescent="0.3">
      <c r="A23" s="250">
        <v>12</v>
      </c>
      <c r="B23" s="261">
        <v>3.9640278238751936</v>
      </c>
      <c r="C23" s="248">
        <v>3.9640278238751936</v>
      </c>
      <c r="D23" s="261">
        <v>0</v>
      </c>
      <c r="E23" s="259"/>
      <c r="F23" s="262">
        <v>550</v>
      </c>
      <c r="H23" s="8"/>
      <c r="I23" s="205"/>
      <c r="J23" s="214"/>
    </row>
    <row r="24" spans="1:10" x14ac:dyDescent="0.3">
      <c r="A24" s="250">
        <v>13</v>
      </c>
      <c r="B24" s="261">
        <v>9.06</v>
      </c>
      <c r="C24" s="248">
        <v>3.9640278238751936</v>
      </c>
      <c r="D24" s="261">
        <v>5.09</v>
      </c>
      <c r="E24" s="259"/>
      <c r="F24" s="262">
        <v>544.91</v>
      </c>
      <c r="H24" s="8"/>
      <c r="I24" s="205"/>
      <c r="J24" s="214"/>
    </row>
    <row r="25" spans="1:10" x14ac:dyDescent="0.3">
      <c r="A25" s="250">
        <v>14</v>
      </c>
      <c r="B25" s="261">
        <v>9.02</v>
      </c>
      <c r="C25" s="248">
        <v>3.9273238091554359</v>
      </c>
      <c r="D25" s="261">
        <v>5.09</v>
      </c>
      <c r="E25" s="259"/>
      <c r="F25" s="262">
        <v>539.80999999999995</v>
      </c>
      <c r="H25" s="8"/>
      <c r="I25" s="205"/>
      <c r="J25" s="214"/>
    </row>
    <row r="26" spans="1:10" x14ac:dyDescent="0.3">
      <c r="A26" s="250">
        <v>15</v>
      </c>
      <c r="B26" s="261">
        <v>8.98</v>
      </c>
      <c r="C26" s="248">
        <v>3.8906197944356777</v>
      </c>
      <c r="D26" s="261">
        <v>5.09</v>
      </c>
      <c r="E26" s="259"/>
      <c r="F26" s="262">
        <v>534.72</v>
      </c>
      <c r="H26" s="8"/>
      <c r="I26" s="205"/>
      <c r="J26" s="214"/>
    </row>
    <row r="27" spans="1:10" x14ac:dyDescent="0.3">
      <c r="A27" s="250">
        <v>16</v>
      </c>
      <c r="B27" s="261">
        <v>8.9499999999999993</v>
      </c>
      <c r="C27" s="248">
        <v>3.85391577971592</v>
      </c>
      <c r="D27" s="261">
        <v>5.09</v>
      </c>
      <c r="E27" s="259"/>
      <c r="F27" s="262">
        <v>529.63</v>
      </c>
      <c r="H27" s="8"/>
      <c r="I27" s="205"/>
      <c r="J27" s="214"/>
    </row>
    <row r="28" spans="1:10" x14ac:dyDescent="0.3">
      <c r="A28" s="250">
        <v>17</v>
      </c>
      <c r="B28" s="261">
        <v>8.91</v>
      </c>
      <c r="C28" s="248">
        <v>3.8172117649961623</v>
      </c>
      <c r="D28" s="261">
        <v>5.09</v>
      </c>
      <c r="E28" s="259"/>
      <c r="F28" s="262">
        <v>524.54</v>
      </c>
      <c r="H28" s="8"/>
      <c r="I28" s="205"/>
      <c r="J28" s="214"/>
    </row>
    <row r="29" spans="1:10" x14ac:dyDescent="0.3">
      <c r="A29" s="250">
        <v>18</v>
      </c>
      <c r="B29" s="261">
        <v>8.8699999999999992</v>
      </c>
      <c r="C29" s="248">
        <v>3.7805077502764046</v>
      </c>
      <c r="D29" s="261">
        <v>5.09</v>
      </c>
      <c r="E29" s="259"/>
      <c r="F29" s="262">
        <v>519.44000000000005</v>
      </c>
      <c r="H29" s="8"/>
      <c r="I29" s="205"/>
      <c r="J29" s="201"/>
    </row>
    <row r="30" spans="1:10" x14ac:dyDescent="0.3">
      <c r="A30" s="250">
        <v>19</v>
      </c>
      <c r="B30" s="261">
        <v>8.84</v>
      </c>
      <c r="C30" s="248">
        <v>3.7438037355566465</v>
      </c>
      <c r="D30" s="261">
        <v>5.09</v>
      </c>
      <c r="E30" s="259"/>
      <c r="F30" s="262">
        <v>514.35</v>
      </c>
      <c r="H30" s="8"/>
      <c r="I30" s="205"/>
      <c r="J30" s="201"/>
    </row>
    <row r="31" spans="1:10" x14ac:dyDescent="0.3">
      <c r="A31" s="250">
        <v>20</v>
      </c>
      <c r="B31" s="261">
        <v>8.8000000000000007</v>
      </c>
      <c r="C31" s="248">
        <v>3.7070997208368888</v>
      </c>
      <c r="D31" s="261">
        <v>5.09</v>
      </c>
      <c r="E31" s="259"/>
      <c r="F31" s="262">
        <v>509.26</v>
      </c>
      <c r="H31" s="8"/>
      <c r="I31" s="205"/>
      <c r="J31" s="201"/>
    </row>
    <row r="32" spans="1:10" x14ac:dyDescent="0.3">
      <c r="A32" s="250">
        <v>21</v>
      </c>
      <c r="B32" s="261">
        <v>8.76</v>
      </c>
      <c r="C32" s="248">
        <v>3.6703957061171311</v>
      </c>
      <c r="D32" s="261">
        <v>5.09</v>
      </c>
      <c r="E32" s="259"/>
      <c r="F32" s="262">
        <v>504.17</v>
      </c>
      <c r="H32" s="8"/>
      <c r="I32" s="205"/>
      <c r="J32" s="201"/>
    </row>
    <row r="33" spans="1:10" x14ac:dyDescent="0.3">
      <c r="A33" s="250">
        <v>22</v>
      </c>
      <c r="B33" s="261">
        <v>8.73</v>
      </c>
      <c r="C33" s="248">
        <v>3.6336916913973729</v>
      </c>
      <c r="D33" s="261">
        <v>5.09</v>
      </c>
      <c r="E33" s="259"/>
      <c r="F33" s="262">
        <v>499.07</v>
      </c>
      <c r="H33" s="8"/>
      <c r="I33" s="205"/>
      <c r="J33" s="201"/>
    </row>
    <row r="34" spans="1:10" x14ac:dyDescent="0.3">
      <c r="A34" s="250">
        <v>23</v>
      </c>
      <c r="B34" s="261">
        <v>8.69</v>
      </c>
      <c r="C34" s="248">
        <v>3.5969876766776152</v>
      </c>
      <c r="D34" s="261">
        <v>5.09</v>
      </c>
      <c r="E34" s="259"/>
      <c r="F34" s="262">
        <v>493.98</v>
      </c>
      <c r="H34" s="8"/>
      <c r="I34" s="205"/>
      <c r="J34" s="201"/>
    </row>
    <row r="35" spans="1:10" x14ac:dyDescent="0.3">
      <c r="A35" s="250">
        <v>24</v>
      </c>
      <c r="B35" s="261">
        <v>8.65</v>
      </c>
      <c r="C35" s="248">
        <v>3.5602836619578575</v>
      </c>
      <c r="D35" s="261">
        <v>5.09</v>
      </c>
      <c r="E35" s="259"/>
      <c r="F35" s="262">
        <v>488.89</v>
      </c>
      <c r="H35" s="8"/>
      <c r="I35" s="205"/>
      <c r="J35" s="201"/>
    </row>
    <row r="36" spans="1:10" x14ac:dyDescent="0.3">
      <c r="A36" s="250">
        <v>25</v>
      </c>
      <c r="B36" s="261">
        <v>8.6199999999999992</v>
      </c>
      <c r="C36" s="248">
        <v>3.5235796472380994</v>
      </c>
      <c r="D36" s="261">
        <v>5.09</v>
      </c>
      <c r="E36" s="259"/>
      <c r="F36" s="262">
        <v>483.8</v>
      </c>
      <c r="H36" s="8"/>
      <c r="I36" s="205"/>
      <c r="J36" s="201"/>
    </row>
    <row r="37" spans="1:10" x14ac:dyDescent="0.3">
      <c r="A37" s="250">
        <v>26</v>
      </c>
      <c r="B37" s="261">
        <v>8.58</v>
      </c>
      <c r="C37" s="248">
        <v>3.4868756325183417</v>
      </c>
      <c r="D37" s="261">
        <v>5.09</v>
      </c>
      <c r="E37" s="259"/>
      <c r="F37" s="262">
        <v>478.7</v>
      </c>
      <c r="H37" s="8"/>
      <c r="I37" s="205"/>
      <c r="J37" s="201"/>
    </row>
    <row r="38" spans="1:10" x14ac:dyDescent="0.3">
      <c r="A38" s="250">
        <v>27</v>
      </c>
      <c r="B38" s="261">
        <v>8.5399999999999991</v>
      </c>
      <c r="C38" s="248">
        <v>3.4501716177985839</v>
      </c>
      <c r="D38" s="261">
        <v>5.09</v>
      </c>
      <c r="E38" s="259"/>
      <c r="F38" s="262">
        <v>473.61</v>
      </c>
      <c r="H38" s="8"/>
      <c r="I38" s="205"/>
      <c r="J38" s="201"/>
    </row>
    <row r="39" spans="1:10" x14ac:dyDescent="0.3">
      <c r="A39" s="250">
        <v>28</v>
      </c>
      <c r="B39" s="261">
        <v>8.51</v>
      </c>
      <c r="C39" s="248">
        <v>3.4134676030788262</v>
      </c>
      <c r="D39" s="261">
        <v>5.09</v>
      </c>
      <c r="E39" s="259"/>
      <c r="F39" s="262">
        <v>468.52</v>
      </c>
      <c r="H39" s="8"/>
      <c r="I39" s="205"/>
      <c r="J39" s="201"/>
    </row>
    <row r="40" spans="1:10" x14ac:dyDescent="0.3">
      <c r="A40" s="250">
        <v>29</v>
      </c>
      <c r="B40" s="261">
        <v>8.4700000000000006</v>
      </c>
      <c r="C40" s="248">
        <v>3.3767635883590681</v>
      </c>
      <c r="D40" s="261">
        <v>5.09</v>
      </c>
      <c r="E40" s="259"/>
      <c r="F40" s="262">
        <v>463.43</v>
      </c>
      <c r="H40" s="8"/>
      <c r="I40" s="205"/>
      <c r="J40" s="201"/>
    </row>
    <row r="41" spans="1:10" x14ac:dyDescent="0.3">
      <c r="A41" s="250">
        <v>30</v>
      </c>
      <c r="B41" s="261">
        <v>8.43</v>
      </c>
      <c r="C41" s="248">
        <v>3.3400595736393104</v>
      </c>
      <c r="D41" s="261">
        <v>5.09</v>
      </c>
      <c r="E41" s="259"/>
      <c r="F41" s="262">
        <v>458.33</v>
      </c>
      <c r="H41" s="8"/>
      <c r="I41" s="205"/>
      <c r="J41" s="201"/>
    </row>
    <row r="42" spans="1:10" x14ac:dyDescent="0.3">
      <c r="A42" s="250">
        <v>31</v>
      </c>
      <c r="B42" s="261">
        <v>8.4</v>
      </c>
      <c r="C42" s="248">
        <v>3.3033555589195527</v>
      </c>
      <c r="D42" s="261">
        <v>5.09</v>
      </c>
      <c r="E42" s="259"/>
      <c r="F42" s="262">
        <v>453.24</v>
      </c>
      <c r="H42" s="8"/>
      <c r="I42" s="205"/>
      <c r="J42" s="201"/>
    </row>
    <row r="43" spans="1:10" x14ac:dyDescent="0.3">
      <c r="A43" s="250">
        <v>32</v>
      </c>
      <c r="B43" s="261">
        <v>8.36</v>
      </c>
      <c r="C43" s="248">
        <v>3.2666515441997945</v>
      </c>
      <c r="D43" s="261">
        <v>5.09</v>
      </c>
      <c r="E43" s="259"/>
      <c r="F43" s="262">
        <v>448.15</v>
      </c>
      <c r="H43" s="8"/>
      <c r="I43" s="205"/>
      <c r="J43" s="201"/>
    </row>
    <row r="44" spans="1:10" x14ac:dyDescent="0.3">
      <c r="A44" s="250">
        <v>33</v>
      </c>
      <c r="B44" s="261">
        <v>8.32</v>
      </c>
      <c r="C44" s="248">
        <v>3.2299475294800368</v>
      </c>
      <c r="D44" s="261">
        <v>5.09</v>
      </c>
      <c r="E44" s="259"/>
      <c r="F44" s="262">
        <v>443.06</v>
      </c>
      <c r="H44" s="8"/>
      <c r="I44" s="205"/>
      <c r="J44" s="201"/>
    </row>
    <row r="45" spans="1:10" x14ac:dyDescent="0.3">
      <c r="A45" s="250">
        <v>34</v>
      </c>
      <c r="B45" s="261">
        <v>8.2899999999999991</v>
      </c>
      <c r="C45" s="248">
        <v>3.1932435147602791</v>
      </c>
      <c r="D45" s="261">
        <v>5.09</v>
      </c>
      <c r="E45" s="259"/>
      <c r="F45" s="262">
        <v>437.96</v>
      </c>
      <c r="H45" s="8"/>
      <c r="I45" s="205"/>
      <c r="J45" s="201"/>
    </row>
    <row r="46" spans="1:10" x14ac:dyDescent="0.3">
      <c r="A46" s="250">
        <v>35</v>
      </c>
      <c r="B46" s="261">
        <v>8.25</v>
      </c>
      <c r="C46" s="248">
        <v>3.156539500040521</v>
      </c>
      <c r="D46" s="261">
        <v>5.09</v>
      </c>
      <c r="E46" s="259"/>
      <c r="F46" s="262">
        <v>432.87</v>
      </c>
      <c r="H46" s="8"/>
      <c r="I46" s="205"/>
      <c r="J46" s="201"/>
    </row>
    <row r="47" spans="1:10" x14ac:dyDescent="0.3">
      <c r="A47" s="250">
        <v>36</v>
      </c>
      <c r="B47" s="261">
        <v>8.2100000000000009</v>
      </c>
      <c r="C47" s="248">
        <v>3.1198354853207633</v>
      </c>
      <c r="D47" s="261">
        <v>5.09</v>
      </c>
      <c r="E47" s="259"/>
      <c r="F47" s="262">
        <v>427.78</v>
      </c>
      <c r="H47" s="8"/>
      <c r="I47" s="205"/>
      <c r="J47" s="201"/>
    </row>
    <row r="48" spans="1:10" x14ac:dyDescent="0.3">
      <c r="A48" s="250">
        <v>37</v>
      </c>
      <c r="B48" s="261">
        <v>8.18</v>
      </c>
      <c r="C48" s="248">
        <v>3.0831314706010056</v>
      </c>
      <c r="D48" s="261">
        <v>5.09</v>
      </c>
      <c r="E48" s="259"/>
      <c r="F48" s="262">
        <v>422.69</v>
      </c>
      <c r="H48" s="8"/>
      <c r="I48" s="205"/>
      <c r="J48" s="201"/>
    </row>
    <row r="49" spans="1:10" x14ac:dyDescent="0.3">
      <c r="A49" s="250">
        <v>38</v>
      </c>
      <c r="B49" s="261">
        <v>8.14</v>
      </c>
      <c r="C49" s="248">
        <v>3.0464274558812479</v>
      </c>
      <c r="D49" s="261">
        <v>5.09</v>
      </c>
      <c r="E49" s="259"/>
      <c r="F49" s="262">
        <v>417.59</v>
      </c>
      <c r="H49" s="8"/>
      <c r="I49" s="205"/>
      <c r="J49" s="201"/>
    </row>
    <row r="50" spans="1:10" x14ac:dyDescent="0.3">
      <c r="A50" s="250">
        <v>39</v>
      </c>
      <c r="B50" s="261">
        <v>8.1</v>
      </c>
      <c r="C50" s="248">
        <v>3.0097234411614897</v>
      </c>
      <c r="D50" s="261">
        <v>5.09</v>
      </c>
      <c r="E50" s="259"/>
      <c r="F50" s="262">
        <v>412.5</v>
      </c>
      <c r="H50" s="8"/>
      <c r="I50" s="205"/>
      <c r="J50" s="201"/>
    </row>
    <row r="51" spans="1:10" x14ac:dyDescent="0.3">
      <c r="A51" s="250">
        <v>40</v>
      </c>
      <c r="B51" s="261">
        <v>8.07</v>
      </c>
      <c r="C51" s="248">
        <v>2.973019426441732</v>
      </c>
      <c r="D51" s="261">
        <v>5.09</v>
      </c>
      <c r="E51" s="259"/>
      <c r="F51" s="262">
        <v>407.41</v>
      </c>
      <c r="H51" s="8"/>
      <c r="I51" s="205"/>
      <c r="J51" s="201"/>
    </row>
    <row r="52" spans="1:10" x14ac:dyDescent="0.3">
      <c r="A52" s="250">
        <v>41</v>
      </c>
      <c r="B52" s="261">
        <v>8.0299999999999994</v>
      </c>
      <c r="C52" s="248">
        <v>2.9363154117219743</v>
      </c>
      <c r="D52" s="261">
        <v>5.09</v>
      </c>
      <c r="E52" s="259"/>
      <c r="F52" s="262">
        <v>402.31</v>
      </c>
      <c r="H52" s="8"/>
      <c r="I52" s="205"/>
      <c r="J52" s="201"/>
    </row>
    <row r="53" spans="1:10" x14ac:dyDescent="0.3">
      <c r="A53" s="250">
        <v>42</v>
      </c>
      <c r="B53" s="261">
        <v>7.99</v>
      </c>
      <c r="C53" s="248">
        <v>2.8996113970022162</v>
      </c>
      <c r="D53" s="261">
        <v>5.09</v>
      </c>
      <c r="E53" s="259"/>
      <c r="F53" s="262">
        <v>397.22</v>
      </c>
      <c r="G53" s="229"/>
      <c r="H53" s="8"/>
      <c r="I53" s="205"/>
      <c r="J53" s="201"/>
    </row>
    <row r="54" spans="1:10" x14ac:dyDescent="0.3">
      <c r="A54" s="250">
        <v>43</v>
      </c>
      <c r="B54" s="261">
        <v>7.96</v>
      </c>
      <c r="C54" s="248">
        <v>2.8629073822824584</v>
      </c>
      <c r="D54" s="261">
        <v>5.09</v>
      </c>
      <c r="E54" s="259"/>
      <c r="F54" s="262">
        <v>392.13</v>
      </c>
      <c r="G54" s="229"/>
      <c r="H54" s="8"/>
      <c r="I54" s="205"/>
      <c r="J54" s="201"/>
    </row>
    <row r="55" spans="1:10" x14ac:dyDescent="0.3">
      <c r="A55" s="250">
        <v>44</v>
      </c>
      <c r="B55" s="261">
        <v>7.92</v>
      </c>
      <c r="C55" s="248">
        <v>2.8262033675627007</v>
      </c>
      <c r="D55" s="261">
        <v>5.09</v>
      </c>
      <c r="E55" s="259"/>
      <c r="F55" s="262">
        <v>387.04</v>
      </c>
      <c r="H55" s="8"/>
      <c r="I55" s="205"/>
      <c r="J55" s="201"/>
    </row>
    <row r="56" spans="1:10" x14ac:dyDescent="0.3">
      <c r="A56" s="250">
        <v>45</v>
      </c>
      <c r="B56" s="261">
        <v>7.88</v>
      </c>
      <c r="C56" s="248">
        <v>2.7894993528429426</v>
      </c>
      <c r="D56" s="261">
        <v>5.09</v>
      </c>
      <c r="E56" s="259"/>
      <c r="F56" s="262">
        <v>381.94</v>
      </c>
      <c r="H56" s="8"/>
      <c r="I56" s="205"/>
      <c r="J56" s="201"/>
    </row>
    <row r="57" spans="1:10" x14ac:dyDescent="0.3">
      <c r="A57" s="250">
        <v>46</v>
      </c>
      <c r="B57" s="261">
        <v>7.85</v>
      </c>
      <c r="C57" s="248">
        <v>2.7527953381231849</v>
      </c>
      <c r="D57" s="261">
        <v>5.09</v>
      </c>
      <c r="E57" s="259"/>
      <c r="F57" s="262">
        <v>376.85</v>
      </c>
      <c r="H57" s="8"/>
      <c r="I57" s="205"/>
      <c r="J57" s="201"/>
    </row>
    <row r="58" spans="1:10" x14ac:dyDescent="0.3">
      <c r="A58" s="250">
        <v>47</v>
      </c>
      <c r="B58" s="261">
        <v>7.81</v>
      </c>
      <c r="C58" s="248">
        <v>2.7160913234034272</v>
      </c>
      <c r="D58" s="261">
        <v>5.09</v>
      </c>
      <c r="E58" s="259"/>
      <c r="F58" s="262">
        <v>371.76</v>
      </c>
      <c r="H58" s="8"/>
      <c r="I58" s="205"/>
      <c r="J58" s="201"/>
    </row>
    <row r="59" spans="1:10" x14ac:dyDescent="0.3">
      <c r="A59" s="250">
        <v>48</v>
      </c>
      <c r="B59" s="261">
        <v>7.77</v>
      </c>
      <c r="C59" s="248">
        <v>2.6793873086836695</v>
      </c>
      <c r="D59" s="261">
        <v>5.09</v>
      </c>
      <c r="E59" s="259"/>
      <c r="F59" s="262">
        <v>366.67</v>
      </c>
      <c r="H59" s="8"/>
      <c r="I59" s="205"/>
      <c r="J59" s="201"/>
    </row>
    <row r="60" spans="1:10" x14ac:dyDescent="0.3">
      <c r="A60" s="250">
        <v>49</v>
      </c>
      <c r="B60" s="261">
        <v>7.74</v>
      </c>
      <c r="C60" s="248">
        <v>2.6426832939639113</v>
      </c>
      <c r="D60" s="261">
        <v>5.09</v>
      </c>
      <c r="E60" s="259"/>
      <c r="F60" s="262">
        <v>361.57</v>
      </c>
      <c r="H60" s="8"/>
      <c r="I60" s="205"/>
      <c r="J60" s="201"/>
    </row>
    <row r="61" spans="1:10" x14ac:dyDescent="0.3">
      <c r="A61" s="250">
        <v>50</v>
      </c>
      <c r="B61" s="261">
        <v>7.7</v>
      </c>
      <c r="C61" s="248">
        <v>2.6059792792441536</v>
      </c>
      <c r="D61" s="261">
        <v>5.09</v>
      </c>
      <c r="E61" s="259"/>
      <c r="F61" s="262">
        <v>356.48</v>
      </c>
      <c r="H61" s="8"/>
      <c r="I61" s="205"/>
      <c r="J61" s="201"/>
    </row>
    <row r="62" spans="1:10" x14ac:dyDescent="0.3">
      <c r="A62" s="250">
        <v>51</v>
      </c>
      <c r="B62" s="261">
        <v>7.66</v>
      </c>
      <c r="C62" s="248">
        <v>2.5692752645243959</v>
      </c>
      <c r="D62" s="261">
        <v>5.09</v>
      </c>
      <c r="E62" s="259"/>
      <c r="F62" s="262">
        <v>351.39</v>
      </c>
      <c r="H62" s="8"/>
      <c r="I62" s="205"/>
      <c r="J62" s="201"/>
    </row>
    <row r="63" spans="1:10" x14ac:dyDescent="0.3">
      <c r="A63" s="250">
        <v>52</v>
      </c>
      <c r="B63" s="261">
        <v>7.63</v>
      </c>
      <c r="C63" s="248">
        <v>2.5325712498046378</v>
      </c>
      <c r="D63" s="261">
        <v>5.09</v>
      </c>
      <c r="E63" s="259"/>
      <c r="F63" s="262">
        <v>346.3</v>
      </c>
      <c r="H63" s="8"/>
      <c r="I63" s="205"/>
      <c r="J63" s="201"/>
    </row>
    <row r="64" spans="1:10" x14ac:dyDescent="0.3">
      <c r="A64" s="250">
        <v>53</v>
      </c>
      <c r="B64" s="261">
        <v>7.59</v>
      </c>
      <c r="C64" s="248">
        <v>2.4958672350848801</v>
      </c>
      <c r="D64" s="261">
        <v>5.09</v>
      </c>
      <c r="E64" s="259"/>
      <c r="F64" s="262">
        <v>341.2</v>
      </c>
      <c r="H64" s="8"/>
      <c r="I64" s="205"/>
      <c r="J64" s="201"/>
    </row>
    <row r="65" spans="1:10" x14ac:dyDescent="0.3">
      <c r="A65" s="250">
        <v>54</v>
      </c>
      <c r="B65" s="261">
        <v>7.55</v>
      </c>
      <c r="C65" s="248">
        <v>2.4591632203651224</v>
      </c>
      <c r="D65" s="261">
        <v>5.09</v>
      </c>
      <c r="E65" s="259"/>
      <c r="F65" s="262">
        <v>336.11</v>
      </c>
      <c r="H65" s="8"/>
      <c r="I65" s="205"/>
      <c r="J65" s="201"/>
    </row>
    <row r="66" spans="1:10" x14ac:dyDescent="0.3">
      <c r="A66" s="250">
        <v>55</v>
      </c>
      <c r="B66" s="261">
        <v>7.52</v>
      </c>
      <c r="C66" s="248">
        <v>2.4224592056453642</v>
      </c>
      <c r="D66" s="261">
        <v>5.09</v>
      </c>
      <c r="E66" s="259"/>
      <c r="F66" s="262">
        <v>331.02</v>
      </c>
      <c r="H66" s="8"/>
      <c r="I66" s="205"/>
      <c r="J66" s="201"/>
    </row>
    <row r="67" spans="1:10" x14ac:dyDescent="0.3">
      <c r="A67" s="250">
        <v>56</v>
      </c>
      <c r="B67" s="261">
        <v>7.48</v>
      </c>
      <c r="C67" s="248">
        <v>2.3857551909256065</v>
      </c>
      <c r="D67" s="261">
        <v>5.09</v>
      </c>
      <c r="E67" s="259"/>
      <c r="F67" s="262">
        <v>325.93</v>
      </c>
      <c r="H67" s="8"/>
      <c r="I67" s="205"/>
      <c r="J67" s="201"/>
    </row>
    <row r="68" spans="1:10" x14ac:dyDescent="0.3">
      <c r="A68" s="250">
        <v>57</v>
      </c>
      <c r="B68" s="261">
        <v>7.44</v>
      </c>
      <c r="C68" s="248">
        <v>2.3490511762058488</v>
      </c>
      <c r="D68" s="261">
        <v>5.09</v>
      </c>
      <c r="E68" s="259"/>
      <c r="F68" s="262">
        <v>320.83</v>
      </c>
      <c r="H68" s="8"/>
      <c r="I68" s="205"/>
      <c r="J68" s="201"/>
    </row>
    <row r="69" spans="1:10" x14ac:dyDescent="0.3">
      <c r="A69" s="250">
        <v>58</v>
      </c>
      <c r="B69" s="261">
        <v>7.4</v>
      </c>
      <c r="C69" s="248">
        <v>2.3123471614860911</v>
      </c>
      <c r="D69" s="261">
        <v>5.09</v>
      </c>
      <c r="E69" s="259"/>
      <c r="F69" s="262">
        <v>315.74</v>
      </c>
      <c r="H69" s="8"/>
      <c r="I69" s="205"/>
      <c r="J69" s="201"/>
    </row>
    <row r="70" spans="1:10" x14ac:dyDescent="0.3">
      <c r="A70" s="250">
        <v>59</v>
      </c>
      <c r="B70" s="261">
        <v>7.37</v>
      </c>
      <c r="C70" s="248">
        <v>2.2756431467663329</v>
      </c>
      <c r="D70" s="261">
        <v>5.09</v>
      </c>
      <c r="E70" s="259"/>
      <c r="F70" s="262">
        <v>310.64999999999998</v>
      </c>
      <c r="H70" s="8"/>
      <c r="I70" s="205"/>
      <c r="J70" s="201"/>
    </row>
    <row r="71" spans="1:10" x14ac:dyDescent="0.3">
      <c r="A71" s="250">
        <v>60</v>
      </c>
      <c r="B71" s="261">
        <v>7.33</v>
      </c>
      <c r="C71" s="248">
        <v>2.2389391320465752</v>
      </c>
      <c r="D71" s="261">
        <v>5.09</v>
      </c>
      <c r="E71" s="259"/>
      <c r="F71" s="262">
        <v>305.56</v>
      </c>
      <c r="H71" s="8"/>
      <c r="I71" s="205"/>
      <c r="J71" s="201"/>
    </row>
    <row r="72" spans="1:10" x14ac:dyDescent="0.3">
      <c r="A72" s="250">
        <v>61</v>
      </c>
      <c r="B72" s="261">
        <v>7.29</v>
      </c>
      <c r="C72" s="248">
        <v>2.2022351173268175</v>
      </c>
      <c r="D72" s="261">
        <v>5.09</v>
      </c>
      <c r="E72" s="259"/>
      <c r="F72" s="262">
        <v>300.45999999999998</v>
      </c>
      <c r="H72" s="8"/>
      <c r="I72" s="205"/>
      <c r="J72" s="201"/>
    </row>
    <row r="73" spans="1:10" x14ac:dyDescent="0.3">
      <c r="A73" s="250">
        <v>62</v>
      </c>
      <c r="B73" s="261">
        <v>7.26</v>
      </c>
      <c r="C73" s="248">
        <v>2.1655311026070594</v>
      </c>
      <c r="D73" s="261">
        <v>5.09</v>
      </c>
      <c r="E73" s="259"/>
      <c r="F73" s="262">
        <v>295.37</v>
      </c>
      <c r="H73" s="8"/>
      <c r="I73" s="205"/>
      <c r="J73" s="201"/>
    </row>
    <row r="74" spans="1:10" x14ac:dyDescent="0.3">
      <c r="A74" s="250">
        <v>63</v>
      </c>
      <c r="B74" s="261">
        <v>7.22</v>
      </c>
      <c r="C74" s="248">
        <v>2.1288270878873017</v>
      </c>
      <c r="D74" s="261">
        <v>5.09</v>
      </c>
      <c r="E74" s="259"/>
      <c r="F74" s="262">
        <v>290.27999999999997</v>
      </c>
      <c r="H74" s="8"/>
      <c r="I74" s="205"/>
      <c r="J74" s="201"/>
    </row>
    <row r="75" spans="1:10" x14ac:dyDescent="0.3">
      <c r="A75" s="250">
        <v>64</v>
      </c>
      <c r="B75" s="261">
        <v>7.18</v>
      </c>
      <c r="C75" s="248">
        <v>2.092123073167544</v>
      </c>
      <c r="D75" s="261">
        <v>5.09</v>
      </c>
      <c r="E75" s="259"/>
      <c r="F75" s="262">
        <v>285.18</v>
      </c>
      <c r="H75" s="8"/>
      <c r="I75" s="205"/>
      <c r="J75" s="201"/>
    </row>
    <row r="76" spans="1:10" x14ac:dyDescent="0.3">
      <c r="A76" s="250">
        <v>65</v>
      </c>
      <c r="B76" s="261">
        <v>7.15</v>
      </c>
      <c r="C76" s="248">
        <v>2.0554190584477858</v>
      </c>
      <c r="D76" s="261">
        <v>5.09</v>
      </c>
      <c r="E76" s="259"/>
      <c r="F76" s="262">
        <v>280.08999999999997</v>
      </c>
      <c r="H76" s="8"/>
      <c r="I76" s="205"/>
      <c r="J76" s="201"/>
    </row>
    <row r="77" spans="1:10" x14ac:dyDescent="0.3">
      <c r="A77" s="250">
        <v>66</v>
      </c>
      <c r="B77" s="261">
        <v>7.11</v>
      </c>
      <c r="C77" s="248">
        <v>2.0187150437280281</v>
      </c>
      <c r="D77" s="261">
        <v>5.09</v>
      </c>
      <c r="E77" s="259"/>
      <c r="F77" s="262">
        <v>275</v>
      </c>
      <c r="H77" s="8"/>
      <c r="I77" s="205"/>
      <c r="J77" s="201"/>
    </row>
    <row r="78" spans="1:10" x14ac:dyDescent="0.3">
      <c r="A78" s="250">
        <v>67</v>
      </c>
      <c r="B78" s="261">
        <v>7.07</v>
      </c>
      <c r="C78" s="248">
        <v>1.9820110290082704</v>
      </c>
      <c r="D78" s="261">
        <v>5.09</v>
      </c>
      <c r="E78" s="259"/>
      <c r="F78" s="262">
        <v>269.91000000000003</v>
      </c>
      <c r="H78" s="8"/>
      <c r="I78" s="205"/>
      <c r="J78" s="201"/>
    </row>
    <row r="79" spans="1:10" x14ac:dyDescent="0.3">
      <c r="A79" s="250">
        <v>68</v>
      </c>
      <c r="B79" s="261">
        <v>7.04</v>
      </c>
      <c r="C79" s="248">
        <v>1.9453070142885125</v>
      </c>
      <c r="D79" s="261">
        <v>5.09</v>
      </c>
      <c r="E79" s="259"/>
      <c r="F79" s="262">
        <v>264.81</v>
      </c>
      <c r="H79" s="8"/>
      <c r="I79" s="205"/>
      <c r="J79" s="201"/>
    </row>
    <row r="80" spans="1:10" x14ac:dyDescent="0.3">
      <c r="A80" s="250">
        <v>69</v>
      </c>
      <c r="B80" s="261">
        <v>7</v>
      </c>
      <c r="C80" s="248">
        <v>1.9086029995687546</v>
      </c>
      <c r="D80" s="261">
        <v>5.09</v>
      </c>
      <c r="E80" s="259"/>
      <c r="F80" s="262">
        <v>259.72000000000003</v>
      </c>
      <c r="H80" s="8"/>
      <c r="I80" s="205"/>
      <c r="J80" s="201"/>
    </row>
    <row r="81" spans="1:10" x14ac:dyDescent="0.3">
      <c r="A81" s="250">
        <v>70</v>
      </c>
      <c r="B81" s="261">
        <v>6.96</v>
      </c>
      <c r="C81" s="248">
        <v>1.8718989848489969</v>
      </c>
      <c r="D81" s="261">
        <v>5.09</v>
      </c>
      <c r="E81" s="259"/>
      <c r="F81" s="262">
        <v>254.63</v>
      </c>
      <c r="H81" s="8"/>
      <c r="I81" s="205"/>
      <c r="J81" s="201"/>
    </row>
    <row r="82" spans="1:10" x14ac:dyDescent="0.3">
      <c r="A82" s="250">
        <v>71</v>
      </c>
      <c r="B82" s="261">
        <v>6.93</v>
      </c>
      <c r="C82" s="248">
        <v>1.8351949701292389</v>
      </c>
      <c r="D82" s="261">
        <v>5.09</v>
      </c>
      <c r="E82" s="259"/>
      <c r="F82" s="262">
        <v>249.54</v>
      </c>
      <c r="H82" s="8"/>
      <c r="I82" s="205"/>
      <c r="J82" s="201"/>
    </row>
    <row r="83" spans="1:10" x14ac:dyDescent="0.3">
      <c r="A83" s="250">
        <v>72</v>
      </c>
      <c r="B83" s="261">
        <v>6.89</v>
      </c>
      <c r="C83" s="248">
        <v>1.7984909554094812</v>
      </c>
      <c r="D83" s="261">
        <v>5.09</v>
      </c>
      <c r="E83" s="259"/>
      <c r="F83" s="262">
        <v>244.44</v>
      </c>
      <c r="H83" s="8"/>
      <c r="I83" s="205"/>
      <c r="J83" s="201"/>
    </row>
    <row r="84" spans="1:10" x14ac:dyDescent="0.3">
      <c r="A84" s="250">
        <v>73</v>
      </c>
      <c r="B84" s="261">
        <v>6.85</v>
      </c>
      <c r="C84" s="248">
        <v>1.7617869406897233</v>
      </c>
      <c r="D84" s="261">
        <v>5.09</v>
      </c>
      <c r="E84" s="259"/>
      <c r="F84" s="262">
        <v>239.35</v>
      </c>
      <c r="H84" s="8"/>
      <c r="I84" s="205"/>
      <c r="J84" s="201"/>
    </row>
    <row r="85" spans="1:10" x14ac:dyDescent="0.3">
      <c r="A85" s="250">
        <v>74</v>
      </c>
      <c r="B85" s="261">
        <v>6.82</v>
      </c>
      <c r="C85" s="248">
        <v>1.7250829259699654</v>
      </c>
      <c r="D85" s="261">
        <v>5.09</v>
      </c>
      <c r="E85" s="259"/>
      <c r="F85" s="262">
        <v>234.26</v>
      </c>
      <c r="H85" s="8"/>
      <c r="I85" s="205"/>
      <c r="J85" s="201"/>
    </row>
    <row r="86" spans="1:10" x14ac:dyDescent="0.3">
      <c r="A86" s="250">
        <v>75</v>
      </c>
      <c r="B86" s="261">
        <v>6.78</v>
      </c>
      <c r="C86" s="248">
        <v>1.6883789112502077</v>
      </c>
      <c r="D86" s="261">
        <v>5.09</v>
      </c>
      <c r="E86" s="259"/>
      <c r="F86" s="262">
        <v>229.17</v>
      </c>
      <c r="H86" s="8"/>
      <c r="I86" s="205"/>
      <c r="J86" s="201"/>
    </row>
    <row r="87" spans="1:10" x14ac:dyDescent="0.3">
      <c r="A87" s="250">
        <v>76</v>
      </c>
      <c r="B87" s="261">
        <v>6.74</v>
      </c>
      <c r="C87" s="248">
        <v>1.6516748965304497</v>
      </c>
      <c r="D87" s="261">
        <v>5.09</v>
      </c>
      <c r="E87" s="259"/>
      <c r="F87" s="262">
        <v>224.07</v>
      </c>
      <c r="H87" s="8"/>
      <c r="I87" s="205"/>
      <c r="J87" s="201"/>
    </row>
    <row r="88" spans="1:10" x14ac:dyDescent="0.3">
      <c r="A88" s="250">
        <v>77</v>
      </c>
      <c r="B88" s="261">
        <v>6.71</v>
      </c>
      <c r="C88" s="248">
        <v>1.614970881810692</v>
      </c>
      <c r="D88" s="261">
        <v>5.09</v>
      </c>
      <c r="E88" s="259"/>
      <c r="F88" s="262">
        <v>218.98</v>
      </c>
      <c r="H88" s="8"/>
      <c r="I88" s="205"/>
      <c r="J88" s="201"/>
    </row>
    <row r="89" spans="1:10" x14ac:dyDescent="0.3">
      <c r="A89" s="250">
        <v>78</v>
      </c>
      <c r="B89" s="261">
        <v>6.67</v>
      </c>
      <c r="C89" s="248">
        <v>1.5782668670909341</v>
      </c>
      <c r="D89" s="261">
        <v>5.09</v>
      </c>
      <c r="E89" s="259"/>
      <c r="F89" s="262">
        <v>213.89</v>
      </c>
      <c r="H89" s="8"/>
      <c r="I89" s="205"/>
      <c r="J89" s="201"/>
    </row>
    <row r="90" spans="1:10" x14ac:dyDescent="0.3">
      <c r="A90" s="250">
        <v>79</v>
      </c>
      <c r="B90" s="261">
        <v>6.63</v>
      </c>
      <c r="C90" s="248">
        <v>1.5415628523711762</v>
      </c>
      <c r="D90" s="261">
        <v>5.09</v>
      </c>
      <c r="E90" s="259"/>
      <c r="F90" s="262">
        <v>208.8</v>
      </c>
      <c r="H90" s="8"/>
      <c r="I90" s="205"/>
      <c r="J90" s="201"/>
    </row>
    <row r="91" spans="1:10" x14ac:dyDescent="0.3">
      <c r="A91" s="250">
        <v>80</v>
      </c>
      <c r="B91" s="261">
        <v>6.6</v>
      </c>
      <c r="C91" s="248">
        <v>1.5048588376514185</v>
      </c>
      <c r="D91" s="261">
        <v>5.09</v>
      </c>
      <c r="E91" s="259"/>
      <c r="F91" s="262">
        <v>203.7</v>
      </c>
      <c r="H91" s="8"/>
      <c r="I91" s="205"/>
      <c r="J91" s="201"/>
    </row>
    <row r="92" spans="1:10" x14ac:dyDescent="0.3">
      <c r="A92" s="250">
        <v>81</v>
      </c>
      <c r="B92" s="261">
        <v>6.56</v>
      </c>
      <c r="C92" s="248">
        <v>1.4681548229316606</v>
      </c>
      <c r="D92" s="261">
        <v>5.09</v>
      </c>
      <c r="E92" s="259"/>
      <c r="F92" s="262">
        <v>198.61</v>
      </c>
      <c r="H92" s="8"/>
      <c r="I92" s="205"/>
      <c r="J92" s="201"/>
    </row>
    <row r="93" spans="1:10" x14ac:dyDescent="0.3">
      <c r="A93" s="250">
        <v>82</v>
      </c>
      <c r="B93" s="261">
        <v>6.52</v>
      </c>
      <c r="C93" s="248">
        <v>1.4314508082119028</v>
      </c>
      <c r="D93" s="261">
        <v>5.09</v>
      </c>
      <c r="E93" s="259"/>
      <c r="F93" s="262">
        <v>193.52</v>
      </c>
      <c r="H93" s="8"/>
      <c r="I93" s="205"/>
      <c r="J93" s="201"/>
    </row>
    <row r="94" spans="1:10" x14ac:dyDescent="0.3">
      <c r="A94" s="250">
        <v>83</v>
      </c>
      <c r="B94" s="261">
        <v>6.49</v>
      </c>
      <c r="C94" s="248">
        <v>1.3947467934921449</v>
      </c>
      <c r="D94" s="261">
        <v>5.09</v>
      </c>
      <c r="E94" s="259"/>
      <c r="F94" s="262">
        <v>188.43</v>
      </c>
      <c r="H94" s="8"/>
      <c r="I94" s="205"/>
      <c r="J94" s="201"/>
    </row>
    <row r="95" spans="1:10" x14ac:dyDescent="0.3">
      <c r="A95" s="250">
        <v>84</v>
      </c>
      <c r="B95" s="261">
        <v>6.45</v>
      </c>
      <c r="C95" s="248">
        <v>1.358042778772387</v>
      </c>
      <c r="D95" s="261">
        <v>5.09</v>
      </c>
      <c r="E95" s="259"/>
      <c r="F95" s="262">
        <v>183.33</v>
      </c>
      <c r="H95" s="8"/>
      <c r="I95" s="205"/>
      <c r="J95" s="201"/>
    </row>
    <row r="96" spans="1:10" x14ac:dyDescent="0.3">
      <c r="A96" s="250">
        <v>85</v>
      </c>
      <c r="B96" s="261">
        <v>6.41</v>
      </c>
      <c r="C96" s="248">
        <v>1.3213387640526293</v>
      </c>
      <c r="D96" s="261">
        <v>5.09</v>
      </c>
      <c r="E96" s="259"/>
      <c r="F96" s="262">
        <v>178.24</v>
      </c>
      <c r="H96" s="8"/>
      <c r="I96" s="205"/>
      <c r="J96" s="201"/>
    </row>
    <row r="97" spans="1:10" x14ac:dyDescent="0.3">
      <c r="A97" s="250">
        <v>86</v>
      </c>
      <c r="B97" s="261">
        <v>6.38</v>
      </c>
      <c r="C97" s="248">
        <v>1.2846347493328714</v>
      </c>
      <c r="D97" s="261">
        <v>5.09</v>
      </c>
      <c r="E97" s="259"/>
      <c r="F97" s="262">
        <v>173.15</v>
      </c>
      <c r="H97" s="8"/>
      <c r="I97" s="205"/>
      <c r="J97" s="201"/>
    </row>
    <row r="98" spans="1:10" x14ac:dyDescent="0.3">
      <c r="A98" s="250">
        <v>87</v>
      </c>
      <c r="B98" s="261">
        <v>6.34</v>
      </c>
      <c r="C98" s="248">
        <v>1.2479307346131137</v>
      </c>
      <c r="D98" s="261">
        <v>5.09</v>
      </c>
      <c r="E98" s="259"/>
      <c r="F98" s="262">
        <v>168.06</v>
      </c>
      <c r="H98" s="8"/>
      <c r="I98" s="205"/>
      <c r="J98" s="201"/>
    </row>
    <row r="99" spans="1:10" x14ac:dyDescent="0.3">
      <c r="A99" s="250">
        <v>88</v>
      </c>
      <c r="B99" s="261">
        <v>6.3</v>
      </c>
      <c r="C99" s="248">
        <v>1.2112267198933557</v>
      </c>
      <c r="D99" s="261">
        <v>5.09</v>
      </c>
      <c r="E99" s="259"/>
      <c r="F99" s="262">
        <v>162.96</v>
      </c>
      <c r="H99" s="8"/>
      <c r="I99" s="205"/>
      <c r="J99" s="201"/>
    </row>
    <row r="100" spans="1:10" x14ac:dyDescent="0.3">
      <c r="A100" s="250">
        <v>89</v>
      </c>
      <c r="B100" s="261">
        <v>6.27</v>
      </c>
      <c r="C100" s="248">
        <v>1.1745227051735978</v>
      </c>
      <c r="D100" s="261">
        <v>5.09</v>
      </c>
      <c r="E100" s="259"/>
      <c r="F100" s="262">
        <v>157.87</v>
      </c>
      <c r="H100" s="8"/>
      <c r="I100" s="205"/>
      <c r="J100" s="201"/>
    </row>
    <row r="101" spans="1:10" x14ac:dyDescent="0.3">
      <c r="A101" s="250">
        <v>90</v>
      </c>
      <c r="B101" s="261">
        <v>6.23</v>
      </c>
      <c r="C101" s="248">
        <v>1.1378186904538401</v>
      </c>
      <c r="D101" s="261">
        <v>5.09</v>
      </c>
      <c r="E101" s="259"/>
      <c r="F101" s="262">
        <v>152.78</v>
      </c>
      <c r="H101" s="8"/>
      <c r="I101" s="205"/>
      <c r="J101" s="201"/>
    </row>
    <row r="102" spans="1:10" x14ac:dyDescent="0.3">
      <c r="A102" s="250">
        <v>91</v>
      </c>
      <c r="B102" s="261">
        <v>6.19</v>
      </c>
      <c r="C102" s="248">
        <v>1.1011146757340822</v>
      </c>
      <c r="D102" s="261">
        <v>5.09</v>
      </c>
      <c r="E102" s="259"/>
      <c r="F102" s="262">
        <v>147.68</v>
      </c>
      <c r="H102" s="8"/>
      <c r="I102" s="205"/>
      <c r="J102" s="201"/>
    </row>
    <row r="103" spans="1:10" x14ac:dyDescent="0.3">
      <c r="A103" s="250">
        <v>92</v>
      </c>
      <c r="B103" s="261">
        <v>6.16</v>
      </c>
      <c r="C103" s="248">
        <v>1.0644106610143245</v>
      </c>
      <c r="D103" s="261">
        <v>5.09</v>
      </c>
      <c r="E103" s="259"/>
      <c r="F103" s="262">
        <v>142.59</v>
      </c>
      <c r="H103" s="8"/>
      <c r="I103" s="205"/>
      <c r="J103" s="201"/>
    </row>
    <row r="104" spans="1:10" x14ac:dyDescent="0.3">
      <c r="A104" s="250">
        <v>93</v>
      </c>
      <c r="B104" s="261">
        <v>6.12</v>
      </c>
      <c r="C104" s="248">
        <v>1.0277066462945665</v>
      </c>
      <c r="D104" s="261">
        <v>5.09</v>
      </c>
      <c r="E104" s="259"/>
      <c r="F104" s="262">
        <v>137.5</v>
      </c>
      <c r="H104" s="8"/>
      <c r="I104" s="205"/>
      <c r="J104" s="201"/>
    </row>
    <row r="105" spans="1:10" x14ac:dyDescent="0.3">
      <c r="A105" s="250">
        <v>94</v>
      </c>
      <c r="B105" s="261">
        <v>6.08</v>
      </c>
      <c r="C105" s="248">
        <v>0.99100263157480872</v>
      </c>
      <c r="D105" s="261">
        <v>5.09</v>
      </c>
      <c r="E105" s="259"/>
      <c r="F105" s="262">
        <v>132.41</v>
      </c>
      <c r="H105" s="8"/>
      <c r="I105" s="205"/>
      <c r="J105" s="201"/>
    </row>
    <row r="106" spans="1:10" x14ac:dyDescent="0.3">
      <c r="A106" s="250">
        <v>95</v>
      </c>
      <c r="B106" s="261">
        <v>6.05</v>
      </c>
      <c r="C106" s="248">
        <v>0.95429861685505091</v>
      </c>
      <c r="D106" s="261">
        <v>5.09</v>
      </c>
      <c r="E106" s="259"/>
      <c r="F106" s="262">
        <v>127.31</v>
      </c>
      <c r="H106" s="8"/>
      <c r="I106" s="205"/>
      <c r="J106" s="201"/>
    </row>
    <row r="107" spans="1:10" x14ac:dyDescent="0.3">
      <c r="A107" s="250">
        <v>96</v>
      </c>
      <c r="B107" s="261">
        <v>6.01</v>
      </c>
      <c r="C107" s="248">
        <v>0.91759460213529309</v>
      </c>
      <c r="D107" s="261">
        <v>5.09</v>
      </c>
      <c r="E107" s="259"/>
      <c r="F107" s="262">
        <v>122.22</v>
      </c>
      <c r="H107" s="8"/>
      <c r="I107" s="205"/>
      <c r="J107" s="201"/>
    </row>
    <row r="108" spans="1:10" x14ac:dyDescent="0.3">
      <c r="A108" s="250">
        <v>97</v>
      </c>
      <c r="B108" s="261">
        <v>5.97</v>
      </c>
      <c r="C108" s="248">
        <v>0.88089058741553516</v>
      </c>
      <c r="D108" s="261">
        <v>5.09</v>
      </c>
      <c r="E108" s="259"/>
      <c r="F108" s="262">
        <v>117.13</v>
      </c>
      <c r="H108" s="8"/>
      <c r="I108" s="205"/>
      <c r="J108" s="201"/>
    </row>
    <row r="109" spans="1:10" x14ac:dyDescent="0.3">
      <c r="A109" s="250">
        <v>98</v>
      </c>
      <c r="B109" s="261">
        <v>5.94</v>
      </c>
      <c r="C109" s="248">
        <v>0.84418657269577735</v>
      </c>
      <c r="D109" s="261">
        <v>5.09</v>
      </c>
      <c r="E109" s="259"/>
      <c r="F109" s="262">
        <v>112.04</v>
      </c>
      <c r="H109" s="8"/>
      <c r="I109" s="205"/>
      <c r="J109" s="201"/>
    </row>
    <row r="110" spans="1:10" x14ac:dyDescent="0.3">
      <c r="A110" s="250">
        <v>99</v>
      </c>
      <c r="B110" s="261">
        <v>5.9</v>
      </c>
      <c r="C110" s="248">
        <v>0.80748255797601953</v>
      </c>
      <c r="D110" s="261">
        <v>5.09</v>
      </c>
      <c r="E110" s="259"/>
      <c r="F110" s="262">
        <v>106.94</v>
      </c>
      <c r="H110" s="8"/>
      <c r="I110" s="205"/>
      <c r="J110" s="201"/>
    </row>
    <row r="111" spans="1:10" x14ac:dyDescent="0.3">
      <c r="A111" s="250">
        <v>100</v>
      </c>
      <c r="B111" s="261">
        <v>5.86</v>
      </c>
      <c r="C111" s="248">
        <v>0.77077854325626172</v>
      </c>
      <c r="D111" s="261">
        <v>5.09</v>
      </c>
      <c r="E111" s="259"/>
      <c r="F111" s="262">
        <v>101.85</v>
      </c>
      <c r="H111" s="8"/>
      <c r="I111" s="205"/>
      <c r="J111" s="201"/>
    </row>
    <row r="112" spans="1:10" x14ac:dyDescent="0.3">
      <c r="A112" s="250">
        <v>101</v>
      </c>
      <c r="B112" s="261">
        <v>5.83</v>
      </c>
      <c r="C112" s="248">
        <v>0.7340745285365039</v>
      </c>
      <c r="D112" s="261">
        <v>5.09</v>
      </c>
      <c r="E112" s="259"/>
      <c r="F112" s="262">
        <v>96.76</v>
      </c>
      <c r="H112" s="8"/>
      <c r="I112" s="205"/>
      <c r="J112" s="201"/>
    </row>
    <row r="113" spans="1:10" x14ac:dyDescent="0.3">
      <c r="A113" s="250">
        <v>102</v>
      </c>
      <c r="B113" s="261">
        <v>5.79</v>
      </c>
      <c r="C113" s="248">
        <v>0.69737051381674597</v>
      </c>
      <c r="D113" s="261">
        <v>5.09</v>
      </c>
      <c r="E113" s="259"/>
      <c r="F113" s="262">
        <v>91.67</v>
      </c>
      <c r="H113" s="8"/>
      <c r="I113" s="205"/>
      <c r="J113" s="201"/>
    </row>
    <row r="114" spans="1:10" x14ac:dyDescent="0.3">
      <c r="A114" s="250">
        <v>103</v>
      </c>
      <c r="B114" s="261">
        <v>5.75</v>
      </c>
      <c r="C114" s="248">
        <v>0.66066649909698816</v>
      </c>
      <c r="D114" s="261">
        <v>5.09</v>
      </c>
      <c r="E114" s="259"/>
      <c r="F114" s="262">
        <v>86.57</v>
      </c>
      <c r="H114" s="8"/>
      <c r="I114" s="205"/>
      <c r="J114" s="201"/>
    </row>
    <row r="115" spans="1:10" x14ac:dyDescent="0.3">
      <c r="A115" s="250">
        <v>104</v>
      </c>
      <c r="B115" s="261">
        <v>5.72</v>
      </c>
      <c r="C115" s="248">
        <v>0.62396248437723034</v>
      </c>
      <c r="D115" s="261">
        <v>5.09</v>
      </c>
      <c r="E115" s="259"/>
      <c r="F115" s="262">
        <v>81.48</v>
      </c>
      <c r="H115" s="8"/>
      <c r="I115" s="205"/>
      <c r="J115" s="201"/>
    </row>
    <row r="116" spans="1:10" x14ac:dyDescent="0.3">
      <c r="A116" s="250">
        <v>105</v>
      </c>
      <c r="B116" s="261">
        <v>5.68</v>
      </c>
      <c r="C116" s="248">
        <v>0.58725846965747253</v>
      </c>
      <c r="D116" s="261">
        <v>5.09</v>
      </c>
      <c r="E116" s="259"/>
      <c r="F116" s="262">
        <v>76.39</v>
      </c>
      <c r="H116" s="8"/>
      <c r="I116" s="205"/>
      <c r="J116" s="201"/>
    </row>
    <row r="117" spans="1:10" x14ac:dyDescent="0.3">
      <c r="A117" s="250">
        <v>106</v>
      </c>
      <c r="B117" s="261">
        <v>5.64</v>
      </c>
      <c r="C117" s="248">
        <v>0.55055445493771471</v>
      </c>
      <c r="D117" s="261">
        <v>5.09</v>
      </c>
      <c r="E117" s="259"/>
      <c r="F117" s="262">
        <v>71.3</v>
      </c>
      <c r="H117" s="8"/>
      <c r="I117" s="205"/>
      <c r="J117" s="201"/>
    </row>
    <row r="118" spans="1:10" x14ac:dyDescent="0.3">
      <c r="A118" s="250">
        <v>107</v>
      </c>
      <c r="B118" s="261">
        <v>5.61</v>
      </c>
      <c r="C118" s="248">
        <v>0.51385044021795678</v>
      </c>
      <c r="D118" s="261">
        <v>5.09</v>
      </c>
      <c r="E118" s="259"/>
      <c r="F118" s="262">
        <v>66.2</v>
      </c>
      <c r="H118" s="8"/>
      <c r="I118" s="205"/>
      <c r="J118" s="201"/>
    </row>
    <row r="119" spans="1:10" x14ac:dyDescent="0.3">
      <c r="A119" s="250">
        <v>108</v>
      </c>
      <c r="B119" s="261">
        <v>5.57</v>
      </c>
      <c r="C119" s="248">
        <v>0.47714642549819897</v>
      </c>
      <c r="D119" s="261">
        <v>5.09</v>
      </c>
      <c r="E119" s="259"/>
      <c r="F119" s="262">
        <v>61.11</v>
      </c>
      <c r="H119" s="8"/>
      <c r="I119" s="205"/>
      <c r="J119" s="201"/>
    </row>
    <row r="120" spans="1:10" x14ac:dyDescent="0.3">
      <c r="A120" s="250">
        <v>109</v>
      </c>
      <c r="B120" s="261">
        <v>5.53</v>
      </c>
      <c r="C120" s="248">
        <v>0.44044241077844115</v>
      </c>
      <c r="D120" s="261">
        <v>5.09</v>
      </c>
      <c r="E120" s="259"/>
      <c r="F120" s="262">
        <v>56.02</v>
      </c>
      <c r="H120" s="8"/>
      <c r="I120" s="205"/>
      <c r="J120" s="201"/>
    </row>
    <row r="121" spans="1:10" x14ac:dyDescent="0.3">
      <c r="A121" s="250">
        <v>110</v>
      </c>
      <c r="B121" s="261">
        <v>5.5</v>
      </c>
      <c r="C121" s="248">
        <v>0.40373839605868334</v>
      </c>
      <c r="D121" s="261">
        <v>5.09</v>
      </c>
      <c r="E121" s="259"/>
      <c r="F121" s="262">
        <v>50.93</v>
      </c>
      <c r="H121" s="8"/>
      <c r="I121" s="205"/>
      <c r="J121" s="201"/>
    </row>
    <row r="122" spans="1:10" x14ac:dyDescent="0.3">
      <c r="A122" s="250">
        <v>111</v>
      </c>
      <c r="B122" s="261">
        <v>5.46</v>
      </c>
      <c r="C122" s="248">
        <v>0.36703438133892546</v>
      </c>
      <c r="D122" s="261">
        <v>5.09</v>
      </c>
      <c r="E122" s="259"/>
      <c r="F122" s="262">
        <v>45.83</v>
      </c>
      <c r="H122" s="8"/>
      <c r="I122" s="205"/>
      <c r="J122" s="201"/>
    </row>
    <row r="123" spans="1:10" x14ac:dyDescent="0.3">
      <c r="A123" s="250">
        <v>112</v>
      </c>
      <c r="B123" s="261">
        <v>5.42</v>
      </c>
      <c r="C123" s="248">
        <v>0.33033036661916765</v>
      </c>
      <c r="D123" s="261">
        <v>5.09</v>
      </c>
      <c r="E123" s="259"/>
      <c r="F123" s="262">
        <v>40.74</v>
      </c>
      <c r="H123" s="8"/>
      <c r="I123" s="205"/>
      <c r="J123" s="201"/>
    </row>
    <row r="124" spans="1:10" x14ac:dyDescent="0.3">
      <c r="A124" s="250">
        <v>113</v>
      </c>
      <c r="B124" s="261">
        <v>5.39</v>
      </c>
      <c r="C124" s="248">
        <v>0.29362635189940978</v>
      </c>
      <c r="D124" s="261">
        <v>5.09</v>
      </c>
      <c r="E124" s="259"/>
      <c r="F124" s="262">
        <v>35.65</v>
      </c>
      <c r="H124" s="8"/>
      <c r="I124" s="205"/>
      <c r="J124" s="201"/>
    </row>
    <row r="125" spans="1:10" x14ac:dyDescent="0.3">
      <c r="A125" s="250">
        <v>114</v>
      </c>
      <c r="B125" s="261">
        <v>5.35</v>
      </c>
      <c r="C125" s="248">
        <v>0.25692233717965196</v>
      </c>
      <c r="D125" s="261">
        <v>5.09</v>
      </c>
      <c r="E125" s="259"/>
      <c r="F125" s="262">
        <v>30.55</v>
      </c>
      <c r="H125" s="8"/>
      <c r="I125" s="205"/>
      <c r="J125" s="201"/>
    </row>
    <row r="126" spans="1:10" x14ac:dyDescent="0.3">
      <c r="A126" s="250">
        <v>115</v>
      </c>
      <c r="B126" s="261">
        <v>5.31</v>
      </c>
      <c r="C126" s="248">
        <v>0.22021832245989412</v>
      </c>
      <c r="D126" s="261">
        <v>5.09</v>
      </c>
      <c r="E126" s="259"/>
      <c r="F126" s="262">
        <v>25.46</v>
      </c>
      <c r="H126" s="8"/>
      <c r="I126" s="205"/>
      <c r="J126" s="201"/>
    </row>
    <row r="127" spans="1:10" x14ac:dyDescent="0.3">
      <c r="A127" s="250">
        <v>116</v>
      </c>
      <c r="B127" s="261">
        <v>5.28</v>
      </c>
      <c r="C127" s="248">
        <v>0.18351430774013627</v>
      </c>
      <c r="D127" s="261">
        <v>5.09</v>
      </c>
      <c r="E127" s="259"/>
      <c r="F127" s="262">
        <v>20.37</v>
      </c>
      <c r="H127" s="8"/>
      <c r="I127" s="205"/>
      <c r="J127" s="201"/>
    </row>
    <row r="128" spans="1:10" x14ac:dyDescent="0.3">
      <c r="A128" s="250">
        <v>117</v>
      </c>
      <c r="B128" s="261">
        <v>5.24</v>
      </c>
      <c r="C128" s="248">
        <v>0.14681029302037843</v>
      </c>
      <c r="D128" s="261">
        <v>5.09</v>
      </c>
      <c r="E128" s="259"/>
      <c r="F128" s="262">
        <v>15.28</v>
      </c>
      <c r="H128" s="8"/>
      <c r="I128" s="205"/>
      <c r="J128" s="201"/>
    </row>
    <row r="129" spans="1:10" x14ac:dyDescent="0.3">
      <c r="A129" s="250">
        <v>118</v>
      </c>
      <c r="B129" s="261">
        <v>5.2</v>
      </c>
      <c r="C129" s="248">
        <v>0.1101062783006206</v>
      </c>
      <c r="D129" s="261">
        <v>5.09</v>
      </c>
      <c r="E129" s="259"/>
      <c r="F129" s="262">
        <v>10.18</v>
      </c>
      <c r="H129" s="8"/>
      <c r="I129" s="205"/>
      <c r="J129" s="201"/>
    </row>
    <row r="130" spans="1:10" x14ac:dyDescent="0.3">
      <c r="A130" s="250">
        <v>119</v>
      </c>
      <c r="B130" s="261">
        <v>5.17</v>
      </c>
      <c r="C130" s="248">
        <v>7.340226358086277E-2</v>
      </c>
      <c r="D130" s="261">
        <v>5.09</v>
      </c>
      <c r="E130" s="259"/>
      <c r="F130" s="262">
        <v>5.09</v>
      </c>
      <c r="H130" s="8"/>
      <c r="I130" s="205"/>
      <c r="J130" s="201"/>
    </row>
    <row r="131" spans="1:10" x14ac:dyDescent="0.3">
      <c r="A131" s="250">
        <v>120</v>
      </c>
      <c r="B131" s="261">
        <v>5.13</v>
      </c>
      <c r="C131" s="248">
        <v>3.6698248861104926E-2</v>
      </c>
      <c r="D131" s="261">
        <v>5.09</v>
      </c>
      <c r="E131" s="259"/>
      <c r="F131" s="262">
        <v>0</v>
      </c>
      <c r="H131" s="8"/>
      <c r="I131" s="205"/>
      <c r="J131" s="201"/>
    </row>
    <row r="132" spans="1:10" x14ac:dyDescent="0.3">
      <c r="A132" s="8"/>
      <c r="B132" s="263"/>
      <c r="C132" s="10"/>
      <c r="D132" s="263"/>
      <c r="E132" s="205"/>
      <c r="F132" s="264"/>
      <c r="H132" s="8"/>
      <c r="I132" s="205"/>
      <c r="J132" s="201"/>
    </row>
    <row r="133" spans="1:10" x14ac:dyDescent="0.3">
      <c r="A133" s="8"/>
      <c r="B133" s="263"/>
      <c r="C133" s="10"/>
      <c r="D133" s="263"/>
      <c r="E133" s="205"/>
      <c r="F133" s="264"/>
      <c r="H133" s="8"/>
      <c r="I133" s="205"/>
      <c r="J133" s="201"/>
    </row>
    <row r="134" spans="1:10" x14ac:dyDescent="0.3">
      <c r="A134" s="8"/>
      <c r="B134" s="263"/>
      <c r="C134" s="10"/>
      <c r="D134" s="263"/>
      <c r="E134" s="205"/>
      <c r="F134" s="264"/>
      <c r="H134" s="8"/>
      <c r="I134" s="205"/>
      <c r="J134" s="201"/>
    </row>
    <row r="135" spans="1:10" x14ac:dyDescent="0.3">
      <c r="A135" s="8"/>
      <c r="B135" s="263"/>
      <c r="C135" s="10"/>
      <c r="D135" s="263"/>
      <c r="E135" s="205"/>
      <c r="F135" s="264"/>
      <c r="H135" s="8"/>
      <c r="I135" s="205"/>
      <c r="J135" s="201"/>
    </row>
    <row r="136" spans="1:10" x14ac:dyDescent="0.3">
      <c r="A136" s="8"/>
      <c r="B136" s="263"/>
      <c r="C136" s="10"/>
      <c r="D136" s="263"/>
      <c r="E136" s="205"/>
      <c r="F136" s="264"/>
      <c r="H136" s="8"/>
      <c r="I136" s="205"/>
      <c r="J136" s="201"/>
    </row>
    <row r="137" spans="1:10" x14ac:dyDescent="0.3">
      <c r="A137" s="8"/>
      <c r="B137" s="263"/>
      <c r="C137" s="10"/>
      <c r="D137" s="263"/>
      <c r="E137" s="205"/>
      <c r="F137" s="264"/>
      <c r="H137" s="8"/>
      <c r="I137" s="205"/>
      <c r="J137" s="201"/>
    </row>
    <row r="138" spans="1:10" x14ac:dyDescent="0.3">
      <c r="A138" s="8"/>
      <c r="B138" s="263"/>
      <c r="C138" s="10"/>
      <c r="D138" s="263"/>
      <c r="E138" s="205"/>
      <c r="F138" s="264"/>
      <c r="H138" s="8"/>
      <c r="I138" s="205"/>
      <c r="J138" s="201"/>
    </row>
    <row r="139" spans="1:10" x14ac:dyDescent="0.3">
      <c r="A139" s="8"/>
      <c r="B139" s="263"/>
      <c r="C139" s="10"/>
      <c r="D139" s="263"/>
      <c r="E139" s="205"/>
      <c r="F139" s="264"/>
      <c r="H139" s="8"/>
      <c r="I139" s="205"/>
      <c r="J139" s="201"/>
    </row>
    <row r="140" spans="1:10" x14ac:dyDescent="0.3">
      <c r="A140" s="8"/>
      <c r="B140" s="263"/>
      <c r="C140" s="10"/>
      <c r="D140" s="263"/>
      <c r="E140" s="205"/>
      <c r="F140" s="264"/>
      <c r="H140" s="8"/>
      <c r="I140" s="205"/>
      <c r="J140" s="201"/>
    </row>
    <row r="141" spans="1:10" x14ac:dyDescent="0.3">
      <c r="A141" s="8"/>
      <c r="B141" s="263"/>
      <c r="C141" s="10"/>
      <c r="D141" s="263"/>
      <c r="E141" s="205"/>
      <c r="F141" s="264"/>
      <c r="H141" s="8"/>
      <c r="I141" s="205"/>
      <c r="J141" s="201"/>
    </row>
    <row r="142" spans="1:10" x14ac:dyDescent="0.3">
      <c r="A142" s="8"/>
      <c r="B142" s="263"/>
      <c r="C142" s="10"/>
      <c r="D142" s="263"/>
      <c r="E142" s="205"/>
      <c r="F142" s="264"/>
      <c r="H142" s="8"/>
      <c r="I142" s="205"/>
      <c r="J142" s="201"/>
    </row>
    <row r="143" spans="1:10" x14ac:dyDescent="0.3">
      <c r="A143" s="8"/>
      <c r="B143" s="263"/>
      <c r="C143" s="10"/>
      <c r="D143" s="263"/>
      <c r="E143" s="205"/>
      <c r="F143" s="264"/>
      <c r="H143" s="8"/>
      <c r="I143" s="205"/>
      <c r="J143" s="201"/>
    </row>
    <row r="144" spans="1:10" x14ac:dyDescent="0.3">
      <c r="A144" s="8"/>
      <c r="B144" s="263"/>
      <c r="C144" s="10"/>
      <c r="D144" s="263"/>
      <c r="E144" s="205"/>
      <c r="F144" s="264"/>
      <c r="H144" s="8"/>
      <c r="I144" s="205"/>
      <c r="J144" s="201"/>
    </row>
    <row r="145" spans="1:10" x14ac:dyDescent="0.3">
      <c r="A145" s="8"/>
      <c r="B145" s="263"/>
      <c r="C145" s="10"/>
      <c r="D145" s="263"/>
      <c r="E145" s="205"/>
      <c r="F145" s="264"/>
      <c r="H145" s="8"/>
      <c r="I145" s="205"/>
      <c r="J145" s="201"/>
    </row>
    <row r="146" spans="1:10" x14ac:dyDescent="0.3">
      <c r="A146" s="8"/>
      <c r="B146" s="263"/>
      <c r="C146" s="10"/>
      <c r="D146" s="263"/>
      <c r="E146" s="205"/>
      <c r="F146" s="264"/>
      <c r="H146" s="8"/>
      <c r="I146" s="205"/>
      <c r="J146" s="201"/>
    </row>
    <row r="147" spans="1:10" x14ac:dyDescent="0.3">
      <c r="A147" s="8"/>
      <c r="B147" s="263"/>
      <c r="C147" s="10"/>
      <c r="D147" s="263"/>
      <c r="E147" s="205"/>
      <c r="F147" s="264"/>
      <c r="H147" s="8"/>
      <c r="I147" s="205"/>
      <c r="J147" s="201"/>
    </row>
    <row r="148" spans="1:10" x14ac:dyDescent="0.3">
      <c r="A148" s="8"/>
      <c r="B148" s="263"/>
      <c r="C148" s="10"/>
      <c r="D148" s="263"/>
      <c r="E148" s="205"/>
      <c r="F148" s="264"/>
      <c r="H148" s="8"/>
      <c r="I148" s="205"/>
      <c r="J148" s="201"/>
    </row>
    <row r="149" spans="1:10" x14ac:dyDescent="0.3">
      <c r="A149" s="8"/>
      <c r="B149" s="263"/>
      <c r="C149" s="10"/>
      <c r="D149" s="263"/>
      <c r="E149" s="205"/>
      <c r="F149" s="264"/>
      <c r="H149" s="8"/>
      <c r="I149" s="205"/>
      <c r="J149" s="201"/>
    </row>
    <row r="150" spans="1:10" x14ac:dyDescent="0.3">
      <c r="A150" s="8"/>
      <c r="B150" s="263"/>
      <c r="C150" s="10"/>
      <c r="D150" s="263"/>
      <c r="E150" s="205"/>
      <c r="F150" s="264"/>
      <c r="H150" s="8"/>
      <c r="I150" s="205"/>
      <c r="J150" s="201"/>
    </row>
    <row r="151" spans="1:10" x14ac:dyDescent="0.3">
      <c r="A151" s="8"/>
      <c r="B151" s="263"/>
      <c r="C151" s="10"/>
      <c r="D151" s="263"/>
      <c r="E151" s="205"/>
      <c r="F151" s="264"/>
      <c r="H151" s="8"/>
      <c r="I151" s="205"/>
      <c r="J151" s="201"/>
    </row>
    <row r="152" spans="1:10" x14ac:dyDescent="0.3">
      <c r="A152" s="8"/>
      <c r="B152" s="263"/>
      <c r="C152" s="10"/>
      <c r="D152" s="263"/>
      <c r="E152" s="205"/>
      <c r="F152" s="264"/>
      <c r="H152" s="8"/>
      <c r="I152" s="205"/>
      <c r="J152" s="201"/>
    </row>
    <row r="153" spans="1:10" x14ac:dyDescent="0.3">
      <c r="A153" s="8"/>
      <c r="B153" s="263"/>
      <c r="C153" s="10"/>
      <c r="D153" s="263"/>
      <c r="E153" s="205"/>
      <c r="F153" s="264"/>
      <c r="H153" s="8"/>
      <c r="I153" s="205"/>
      <c r="J153" s="201"/>
    </row>
    <row r="154" spans="1:10" x14ac:dyDescent="0.3">
      <c r="A154" s="8"/>
      <c r="B154" s="263"/>
      <c r="C154" s="10"/>
      <c r="D154" s="263"/>
      <c r="E154" s="205"/>
      <c r="F154" s="264"/>
      <c r="H154" s="8"/>
      <c r="I154" s="205"/>
      <c r="J154" s="201"/>
    </row>
    <row r="155" spans="1:10" x14ac:dyDescent="0.3">
      <c r="A155" s="8"/>
      <c r="B155" s="263"/>
      <c r="C155" s="10"/>
      <c r="D155" s="263"/>
      <c r="E155" s="205"/>
      <c r="F155" s="264"/>
      <c r="H155" s="8"/>
      <c r="I155" s="205"/>
      <c r="J155" s="201"/>
    </row>
    <row r="156" spans="1:10" x14ac:dyDescent="0.3">
      <c r="A156" s="8"/>
      <c r="B156" s="263"/>
      <c r="C156" s="10"/>
      <c r="D156" s="263"/>
      <c r="E156" s="205"/>
      <c r="F156" s="264"/>
      <c r="H156" s="8"/>
      <c r="I156" s="205"/>
      <c r="J156" s="201"/>
    </row>
    <row r="157" spans="1:10" x14ac:dyDescent="0.3">
      <c r="A157" s="8"/>
      <c r="B157" s="263"/>
      <c r="C157" s="10"/>
      <c r="D157" s="263"/>
      <c r="E157" s="205"/>
      <c r="F157" s="264"/>
      <c r="H157" s="8"/>
      <c r="I157" s="205"/>
      <c r="J157" s="201"/>
    </row>
    <row r="158" spans="1:10" x14ac:dyDescent="0.3">
      <c r="A158" s="8"/>
      <c r="B158" s="263"/>
      <c r="C158" s="10"/>
      <c r="D158" s="263"/>
      <c r="E158" s="205"/>
      <c r="F158" s="264"/>
      <c r="H158" s="8"/>
      <c r="I158" s="205"/>
      <c r="J158" s="201"/>
    </row>
    <row r="159" spans="1:10" x14ac:dyDescent="0.3">
      <c r="A159" s="8"/>
      <c r="B159" s="263"/>
      <c r="C159" s="10"/>
      <c r="D159" s="263"/>
      <c r="E159" s="205"/>
      <c r="F159" s="264"/>
      <c r="H159" s="8"/>
      <c r="I159" s="205"/>
      <c r="J159" s="201"/>
    </row>
    <row r="160" spans="1:10" x14ac:dyDescent="0.3">
      <c r="A160" s="8"/>
      <c r="B160" s="263"/>
      <c r="C160" s="10"/>
      <c r="D160" s="263"/>
      <c r="E160" s="205"/>
      <c r="F160" s="264"/>
      <c r="H160" s="8"/>
      <c r="I160" s="205"/>
      <c r="J160" s="201"/>
    </row>
    <row r="161" spans="1:10" x14ac:dyDescent="0.3">
      <c r="A161" s="8"/>
      <c r="B161" s="263"/>
      <c r="C161" s="10"/>
      <c r="D161" s="263"/>
      <c r="E161" s="205"/>
      <c r="F161" s="264"/>
      <c r="H161" s="8"/>
      <c r="I161" s="205"/>
      <c r="J161" s="201"/>
    </row>
    <row r="162" spans="1:10" x14ac:dyDescent="0.3">
      <c r="A162" s="8"/>
      <c r="B162" s="263"/>
      <c r="C162" s="10"/>
      <c r="D162" s="263"/>
      <c r="E162" s="205"/>
      <c r="F162" s="264"/>
      <c r="H162" s="8"/>
      <c r="I162" s="205"/>
      <c r="J162" s="201"/>
    </row>
    <row r="163" spans="1:10" x14ac:dyDescent="0.3">
      <c r="A163" s="8"/>
      <c r="B163" s="263"/>
      <c r="C163" s="10"/>
      <c r="D163" s="263"/>
      <c r="E163" s="205"/>
      <c r="F163" s="264"/>
      <c r="H163" s="8"/>
      <c r="I163" s="205"/>
      <c r="J163" s="201"/>
    </row>
    <row r="164" spans="1:10" x14ac:dyDescent="0.3">
      <c r="A164" s="8"/>
      <c r="B164" s="263"/>
      <c r="C164" s="10"/>
      <c r="D164" s="263"/>
      <c r="E164" s="205"/>
      <c r="F164" s="264"/>
      <c r="H164" s="8"/>
      <c r="I164" s="205"/>
      <c r="J164" s="201"/>
    </row>
    <row r="165" spans="1:10" x14ac:dyDescent="0.3">
      <c r="A165" s="8"/>
      <c r="B165" s="263"/>
      <c r="C165" s="10"/>
      <c r="D165" s="263"/>
      <c r="E165" s="205"/>
      <c r="F165" s="264"/>
      <c r="H165" s="8"/>
      <c r="I165" s="205"/>
      <c r="J165" s="201"/>
    </row>
    <row r="166" spans="1:10" x14ac:dyDescent="0.3">
      <c r="A166" s="8"/>
      <c r="B166" s="263"/>
      <c r="C166" s="10"/>
      <c r="D166" s="263"/>
      <c r="E166" s="205"/>
      <c r="F166" s="264"/>
      <c r="H166" s="8"/>
      <c r="I166" s="205"/>
      <c r="J166" s="201"/>
    </row>
    <row r="167" spans="1:10" x14ac:dyDescent="0.3">
      <c r="A167" s="8"/>
      <c r="B167" s="263"/>
      <c r="C167" s="10"/>
      <c r="D167" s="263"/>
      <c r="E167" s="205"/>
      <c r="F167" s="264"/>
      <c r="H167" s="8"/>
      <c r="I167" s="205"/>
      <c r="J167" s="201"/>
    </row>
    <row r="168" spans="1:10" x14ac:dyDescent="0.3">
      <c r="A168" s="8"/>
      <c r="B168" s="263"/>
      <c r="C168" s="10"/>
      <c r="D168" s="263"/>
      <c r="E168" s="205"/>
      <c r="F168" s="264"/>
      <c r="H168" s="8"/>
      <c r="I168" s="205"/>
      <c r="J168" s="201"/>
    </row>
    <row r="169" spans="1:10" x14ac:dyDescent="0.3">
      <c r="A169" s="8"/>
      <c r="B169" s="263"/>
      <c r="C169" s="10"/>
      <c r="D169" s="263"/>
      <c r="E169" s="205"/>
      <c r="F169" s="264"/>
      <c r="H169" s="8"/>
      <c r="I169" s="205"/>
      <c r="J169" s="201"/>
    </row>
    <row r="170" spans="1:10" x14ac:dyDescent="0.3">
      <c r="A170" s="8"/>
      <c r="B170" s="263"/>
      <c r="C170" s="10"/>
      <c r="D170" s="263"/>
      <c r="E170" s="205"/>
      <c r="F170" s="264"/>
      <c r="H170" s="8"/>
      <c r="I170" s="205"/>
      <c r="J170" s="201"/>
    </row>
    <row r="171" spans="1:10" x14ac:dyDescent="0.3">
      <c r="A171" s="8"/>
      <c r="B171" s="263"/>
      <c r="C171" s="10"/>
      <c r="D171" s="263"/>
      <c r="E171" s="205"/>
      <c r="F171" s="264"/>
      <c r="H171" s="8"/>
      <c r="I171" s="205"/>
      <c r="J171" s="201"/>
    </row>
    <row r="172" spans="1:10" x14ac:dyDescent="0.3">
      <c r="A172" s="8"/>
      <c r="B172" s="263"/>
      <c r="C172" s="10"/>
      <c r="D172" s="263"/>
      <c r="E172" s="205"/>
      <c r="F172" s="264"/>
      <c r="H172" s="8"/>
      <c r="I172" s="205"/>
      <c r="J172" s="201"/>
    </row>
    <row r="173" spans="1:10" x14ac:dyDescent="0.3">
      <c r="A173" s="8"/>
      <c r="B173" s="263"/>
      <c r="C173" s="10"/>
      <c r="D173" s="263"/>
      <c r="E173" s="205"/>
      <c r="F173" s="264"/>
      <c r="H173" s="8"/>
      <c r="I173" s="205"/>
      <c r="J173" s="201"/>
    </row>
    <row r="174" spans="1:10" x14ac:dyDescent="0.3">
      <c r="A174" s="8"/>
      <c r="B174" s="263"/>
      <c r="C174" s="10"/>
      <c r="D174" s="263"/>
      <c r="E174" s="205"/>
      <c r="F174" s="264"/>
      <c r="H174" s="8"/>
      <c r="I174" s="205"/>
      <c r="J174" s="201"/>
    </row>
    <row r="175" spans="1:10" x14ac:dyDescent="0.3">
      <c r="A175" s="8"/>
      <c r="B175" s="263"/>
      <c r="C175" s="10"/>
      <c r="D175" s="263"/>
      <c r="E175" s="205"/>
      <c r="F175" s="264"/>
      <c r="H175" s="8"/>
      <c r="I175" s="205"/>
      <c r="J175" s="201"/>
    </row>
    <row r="176" spans="1:10" x14ac:dyDescent="0.3">
      <c r="A176" s="8"/>
      <c r="B176" s="263"/>
      <c r="C176" s="10"/>
      <c r="D176" s="263"/>
      <c r="E176" s="205"/>
      <c r="F176" s="264"/>
      <c r="H176" s="8"/>
      <c r="I176" s="205"/>
      <c r="J176" s="201"/>
    </row>
    <row r="177" spans="1:10" x14ac:dyDescent="0.3">
      <c r="A177" s="8"/>
      <c r="B177" s="263"/>
      <c r="C177" s="10"/>
      <c r="D177" s="263"/>
      <c r="E177" s="205"/>
      <c r="F177" s="264"/>
      <c r="H177" s="8"/>
      <c r="I177" s="205"/>
      <c r="J177" s="201"/>
    </row>
    <row r="178" spans="1:10" x14ac:dyDescent="0.3">
      <c r="A178" s="8"/>
      <c r="B178" s="263"/>
      <c r="C178" s="10"/>
      <c r="D178" s="263"/>
      <c r="E178" s="205"/>
      <c r="F178" s="264"/>
      <c r="H178" s="8"/>
      <c r="I178" s="205"/>
      <c r="J178" s="201"/>
    </row>
    <row r="179" spans="1:10" x14ac:dyDescent="0.3">
      <c r="A179" s="8"/>
      <c r="B179" s="263"/>
      <c r="C179" s="10"/>
      <c r="D179" s="263"/>
      <c r="E179" s="205"/>
      <c r="F179" s="264"/>
      <c r="H179" s="8"/>
      <c r="I179" s="205"/>
      <c r="J179" s="201"/>
    </row>
    <row r="180" spans="1:10" x14ac:dyDescent="0.3">
      <c r="A180" s="8"/>
      <c r="B180" s="263"/>
      <c r="C180" s="10"/>
      <c r="D180" s="263"/>
      <c r="E180" s="205"/>
      <c r="F180" s="264"/>
      <c r="H180" s="8"/>
      <c r="I180" s="205"/>
      <c r="J180" s="201"/>
    </row>
    <row r="181" spans="1:10" x14ac:dyDescent="0.3">
      <c r="A181" s="8"/>
      <c r="B181" s="263"/>
      <c r="C181" s="10"/>
      <c r="D181" s="263"/>
      <c r="E181" s="205"/>
      <c r="F181" s="264"/>
      <c r="H181" s="8"/>
      <c r="I181" s="205"/>
      <c r="J181" s="201"/>
    </row>
    <row r="182" spans="1:10" x14ac:dyDescent="0.3">
      <c r="A182" s="8"/>
      <c r="B182" s="263"/>
      <c r="C182" s="10"/>
      <c r="D182" s="263"/>
      <c r="E182" s="205"/>
      <c r="F182" s="264"/>
      <c r="H182" s="8"/>
      <c r="I182" s="205"/>
      <c r="J182" s="201"/>
    </row>
    <row r="183" spans="1:10" x14ac:dyDescent="0.3">
      <c r="A183" s="8"/>
      <c r="B183" s="263"/>
      <c r="C183" s="10"/>
      <c r="D183" s="263"/>
      <c r="E183" s="205"/>
      <c r="F183" s="264"/>
      <c r="H183" s="8"/>
      <c r="I183" s="205"/>
      <c r="J183" s="201"/>
    </row>
    <row r="184" spans="1:10" x14ac:dyDescent="0.3">
      <c r="A184" s="8"/>
      <c r="B184" s="263"/>
      <c r="C184" s="10"/>
      <c r="D184" s="263"/>
      <c r="E184" s="205"/>
      <c r="F184" s="264"/>
      <c r="H184" s="8"/>
      <c r="I184" s="205"/>
      <c r="J184" s="201"/>
    </row>
    <row r="185" spans="1:10" x14ac:dyDescent="0.3">
      <c r="A185" s="8"/>
      <c r="B185" s="263"/>
      <c r="C185" s="10"/>
      <c r="D185" s="263"/>
      <c r="E185" s="205"/>
      <c r="F185" s="264"/>
      <c r="H185" s="8"/>
      <c r="I185" s="205"/>
      <c r="J185" s="201"/>
    </row>
    <row r="186" spans="1:10" x14ac:dyDescent="0.3">
      <c r="A186" s="8"/>
      <c r="B186" s="263"/>
      <c r="C186" s="10"/>
      <c r="D186" s="263"/>
      <c r="E186" s="205"/>
      <c r="F186" s="264"/>
      <c r="H186" s="8"/>
      <c r="I186" s="205"/>
      <c r="J186" s="201"/>
    </row>
    <row r="187" spans="1:10" x14ac:dyDescent="0.3">
      <c r="A187" s="8"/>
      <c r="B187" s="263"/>
      <c r="C187" s="10"/>
      <c r="D187" s="263"/>
      <c r="E187" s="205"/>
      <c r="F187" s="264"/>
      <c r="H187" s="8"/>
      <c r="I187" s="205"/>
      <c r="J187" s="201"/>
    </row>
    <row r="188" spans="1:10" x14ac:dyDescent="0.3">
      <c r="A188" s="8"/>
      <c r="B188" s="263"/>
      <c r="C188" s="10"/>
      <c r="D188" s="263"/>
      <c r="E188" s="205"/>
      <c r="F188" s="264"/>
      <c r="H188" s="8"/>
      <c r="I188" s="205"/>
      <c r="J188" s="201"/>
    </row>
    <row r="189" spans="1:10" x14ac:dyDescent="0.3">
      <c r="A189" s="8"/>
      <c r="B189" s="263"/>
      <c r="C189" s="10"/>
      <c r="D189" s="263"/>
      <c r="E189" s="205"/>
      <c r="F189" s="264"/>
      <c r="H189" s="8"/>
      <c r="I189" s="205"/>
      <c r="J189" s="201"/>
    </row>
    <row r="190" spans="1:10" x14ac:dyDescent="0.3">
      <c r="A190" s="8"/>
      <c r="B190" s="263"/>
      <c r="C190" s="10"/>
      <c r="D190" s="263"/>
      <c r="E190" s="205"/>
      <c r="F190" s="264"/>
      <c r="H190" s="8"/>
      <c r="I190" s="205"/>
      <c r="J190" s="201"/>
    </row>
    <row r="191" spans="1:10" x14ac:dyDescent="0.3">
      <c r="A191" s="8"/>
      <c r="B191" s="263"/>
      <c r="C191" s="10"/>
      <c r="D191" s="263"/>
      <c r="E191" s="205"/>
      <c r="F191" s="264"/>
      <c r="H191" s="8"/>
      <c r="I191" s="205"/>
      <c r="J191" s="201"/>
    </row>
    <row r="192" spans="1:10" x14ac:dyDescent="0.3">
      <c r="A192" s="8"/>
      <c r="B192" s="263"/>
      <c r="C192" s="10"/>
      <c r="D192" s="263"/>
      <c r="E192" s="205"/>
      <c r="F192" s="264"/>
      <c r="H192" s="8"/>
      <c r="I192" s="205"/>
      <c r="J192" s="201"/>
    </row>
    <row r="193" spans="1:10" x14ac:dyDescent="0.3">
      <c r="A193" s="8"/>
      <c r="B193" s="263"/>
      <c r="C193" s="10"/>
      <c r="D193" s="263"/>
      <c r="E193" s="205"/>
      <c r="F193" s="264"/>
      <c r="H193" s="8"/>
      <c r="I193" s="205"/>
      <c r="J193" s="201"/>
    </row>
    <row r="194" spans="1:10" x14ac:dyDescent="0.3">
      <c r="A194" s="8"/>
      <c r="B194" s="263"/>
      <c r="C194" s="10"/>
      <c r="D194" s="263"/>
      <c r="E194" s="205"/>
      <c r="F194" s="264"/>
      <c r="H194" s="8"/>
      <c r="I194" s="205"/>
      <c r="J194" s="201"/>
    </row>
    <row r="195" spans="1:10" x14ac:dyDescent="0.3">
      <c r="A195" s="8"/>
      <c r="B195" s="263"/>
      <c r="C195" s="10"/>
      <c r="D195" s="263"/>
      <c r="E195" s="205"/>
      <c r="F195" s="264"/>
      <c r="H195" s="8"/>
      <c r="I195" s="205"/>
      <c r="J195" s="201"/>
    </row>
    <row r="196" spans="1:10" x14ac:dyDescent="0.3">
      <c r="A196" s="8"/>
      <c r="B196" s="263"/>
      <c r="C196" s="10"/>
      <c r="D196" s="263"/>
      <c r="E196" s="205"/>
      <c r="F196" s="264"/>
      <c r="H196" s="8"/>
      <c r="I196" s="205"/>
      <c r="J196" s="201"/>
    </row>
    <row r="197" spans="1:10" x14ac:dyDescent="0.3">
      <c r="A197" s="8"/>
      <c r="B197" s="263"/>
      <c r="C197" s="10"/>
      <c r="D197" s="263"/>
      <c r="E197" s="205"/>
      <c r="F197" s="264"/>
      <c r="H197" s="8"/>
      <c r="I197" s="205"/>
      <c r="J197" s="201"/>
    </row>
    <row r="198" spans="1:10" x14ac:dyDescent="0.3">
      <c r="A198" s="8"/>
      <c r="B198" s="263"/>
      <c r="C198" s="10"/>
      <c r="D198" s="263"/>
      <c r="E198" s="205"/>
      <c r="F198" s="264"/>
      <c r="H198" s="8"/>
      <c r="I198" s="205"/>
      <c r="J198" s="201"/>
    </row>
    <row r="199" spans="1:10" x14ac:dyDescent="0.3">
      <c r="A199" s="8"/>
      <c r="B199" s="263"/>
      <c r="C199" s="10"/>
      <c r="D199" s="263"/>
      <c r="E199" s="205"/>
      <c r="F199" s="264"/>
      <c r="H199" s="8"/>
      <c r="I199" s="205"/>
      <c r="J199" s="201"/>
    </row>
    <row r="200" spans="1:10" x14ac:dyDescent="0.3">
      <c r="A200" s="8"/>
      <c r="B200" s="263"/>
      <c r="C200" s="10"/>
      <c r="D200" s="263"/>
      <c r="E200" s="205"/>
      <c r="F200" s="264"/>
      <c r="H200" s="8"/>
      <c r="I200" s="205"/>
      <c r="J200" s="201"/>
    </row>
    <row r="201" spans="1:10" x14ac:dyDescent="0.3">
      <c r="A201" s="8"/>
      <c r="B201" s="263"/>
      <c r="C201" s="10"/>
      <c r="D201" s="263"/>
      <c r="E201" s="205"/>
      <c r="F201" s="264"/>
      <c r="H201" s="8"/>
      <c r="I201" s="205"/>
      <c r="J201" s="201"/>
    </row>
    <row r="202" spans="1:10" x14ac:dyDescent="0.3">
      <c r="A202" s="8"/>
      <c r="B202" s="263"/>
      <c r="C202" s="10"/>
      <c r="D202" s="263"/>
      <c r="E202" s="205"/>
      <c r="F202" s="264"/>
      <c r="H202" s="8"/>
      <c r="I202" s="205"/>
      <c r="J202" s="201"/>
    </row>
    <row r="203" spans="1:10" x14ac:dyDescent="0.3">
      <c r="A203" s="8"/>
      <c r="B203" s="263"/>
      <c r="C203" s="10"/>
      <c r="D203" s="263"/>
      <c r="E203" s="205"/>
      <c r="F203" s="264"/>
      <c r="H203" s="8"/>
      <c r="I203" s="205"/>
      <c r="J203" s="201"/>
    </row>
    <row r="204" spans="1:10" x14ac:dyDescent="0.3">
      <c r="A204" s="8"/>
      <c r="B204" s="263"/>
      <c r="C204" s="10"/>
      <c r="D204" s="263"/>
      <c r="E204" s="205"/>
      <c r="F204" s="264"/>
      <c r="H204" s="8"/>
      <c r="I204" s="205"/>
      <c r="J204" s="201"/>
    </row>
    <row r="205" spans="1:10" x14ac:dyDescent="0.3">
      <c r="A205" s="8"/>
      <c r="B205" s="263"/>
      <c r="C205" s="10"/>
      <c r="D205" s="263"/>
      <c r="E205" s="205"/>
      <c r="F205" s="264"/>
      <c r="H205" s="8"/>
      <c r="I205" s="205"/>
      <c r="J205" s="201"/>
    </row>
    <row r="206" spans="1:10" x14ac:dyDescent="0.3">
      <c r="A206" s="8"/>
      <c r="B206" s="263"/>
      <c r="C206" s="10"/>
      <c r="D206" s="263"/>
      <c r="E206" s="205"/>
      <c r="F206" s="264"/>
      <c r="H206" s="8"/>
      <c r="I206" s="205"/>
      <c r="J206" s="201"/>
    </row>
    <row r="207" spans="1:10" x14ac:dyDescent="0.3">
      <c r="A207" s="8"/>
      <c r="B207" s="263"/>
      <c r="C207" s="10"/>
      <c r="D207" s="263"/>
      <c r="E207" s="205"/>
      <c r="F207" s="264"/>
      <c r="H207" s="8"/>
      <c r="I207" s="205"/>
      <c r="J207" s="201"/>
    </row>
    <row r="208" spans="1:10" x14ac:dyDescent="0.3">
      <c r="A208" s="8"/>
      <c r="B208" s="263"/>
      <c r="C208" s="10"/>
      <c r="D208" s="263"/>
      <c r="E208" s="205"/>
      <c r="F208" s="264"/>
      <c r="H208" s="8"/>
      <c r="I208" s="205"/>
      <c r="J208" s="201"/>
    </row>
    <row r="209" spans="1:10" x14ac:dyDescent="0.3">
      <c r="A209" s="8"/>
      <c r="B209" s="263"/>
      <c r="C209" s="10"/>
      <c r="D209" s="263"/>
      <c r="E209" s="205"/>
      <c r="F209" s="264"/>
      <c r="H209" s="8"/>
      <c r="I209" s="205"/>
      <c r="J209" s="201"/>
    </row>
    <row r="210" spans="1:10" x14ac:dyDescent="0.3">
      <c r="A210" s="8"/>
      <c r="B210" s="263"/>
      <c r="C210" s="10"/>
      <c r="D210" s="263"/>
      <c r="E210" s="205"/>
      <c r="F210" s="264"/>
      <c r="H210" s="8"/>
      <c r="I210" s="205"/>
      <c r="J210" s="201"/>
    </row>
    <row r="211" spans="1:10" x14ac:dyDescent="0.3">
      <c r="A211" s="8"/>
      <c r="B211" s="263"/>
      <c r="C211" s="10"/>
      <c r="D211" s="263"/>
      <c r="E211" s="205"/>
      <c r="F211" s="264"/>
      <c r="H211" s="8"/>
      <c r="I211" s="205"/>
      <c r="J211" s="201"/>
    </row>
    <row r="212" spans="1:10" x14ac:dyDescent="0.3">
      <c r="A212" s="8"/>
      <c r="B212" s="263"/>
      <c r="C212" s="10"/>
      <c r="D212" s="263"/>
      <c r="E212" s="205"/>
      <c r="F212" s="264"/>
      <c r="H212" s="8"/>
      <c r="I212" s="205"/>
      <c r="J212" s="201"/>
    </row>
    <row r="213" spans="1:10" x14ac:dyDescent="0.3">
      <c r="A213" s="8"/>
      <c r="B213" s="263"/>
      <c r="C213" s="10"/>
      <c r="D213" s="263"/>
      <c r="E213" s="205"/>
      <c r="F213" s="264"/>
      <c r="H213" s="8"/>
      <c r="I213" s="205"/>
      <c r="J213" s="201"/>
    </row>
    <row r="214" spans="1:10" x14ac:dyDescent="0.3">
      <c r="A214" s="8"/>
      <c r="B214" s="263"/>
      <c r="C214" s="10"/>
      <c r="D214" s="263"/>
      <c r="E214" s="205"/>
      <c r="F214" s="264"/>
      <c r="H214" s="8"/>
      <c r="I214" s="205"/>
      <c r="J214" s="201"/>
    </row>
    <row r="215" spans="1:10" x14ac:dyDescent="0.3">
      <c r="A215" s="8"/>
      <c r="B215" s="263"/>
      <c r="C215" s="10"/>
      <c r="D215" s="263"/>
      <c r="E215" s="205"/>
      <c r="F215" s="264"/>
      <c r="H215" s="8"/>
      <c r="I215" s="205"/>
      <c r="J215" s="201"/>
    </row>
    <row r="216" spans="1:10" x14ac:dyDescent="0.3">
      <c r="A216" s="8"/>
      <c r="B216" s="263"/>
      <c r="C216" s="10"/>
      <c r="D216" s="263"/>
      <c r="E216" s="205"/>
      <c r="F216" s="264"/>
      <c r="H216" s="8"/>
      <c r="I216" s="205"/>
      <c r="J216" s="201"/>
    </row>
    <row r="217" spans="1:10" x14ac:dyDescent="0.3">
      <c r="A217" s="8"/>
      <c r="B217" s="263"/>
      <c r="C217" s="10"/>
      <c r="D217" s="263"/>
      <c r="E217" s="205"/>
      <c r="F217" s="264"/>
      <c r="H217" s="8"/>
      <c r="I217" s="205"/>
      <c r="J217" s="201"/>
    </row>
    <row r="218" spans="1:10" x14ac:dyDescent="0.3">
      <c r="A218" s="8"/>
      <c r="B218" s="263"/>
      <c r="C218" s="10"/>
      <c r="D218" s="263"/>
      <c r="E218" s="205"/>
      <c r="F218" s="264"/>
      <c r="H218" s="8"/>
      <c r="I218" s="205"/>
      <c r="J218" s="201"/>
    </row>
    <row r="219" spans="1:10" x14ac:dyDescent="0.3">
      <c r="A219" s="8"/>
      <c r="B219" s="263"/>
      <c r="C219" s="10"/>
      <c r="D219" s="263"/>
      <c r="E219" s="205"/>
      <c r="F219" s="264"/>
      <c r="H219" s="8"/>
      <c r="I219" s="205"/>
      <c r="J219" s="201"/>
    </row>
    <row r="220" spans="1:10" x14ac:dyDescent="0.3">
      <c r="A220" s="8"/>
      <c r="B220" s="263"/>
      <c r="C220" s="10"/>
      <c r="D220" s="263"/>
      <c r="E220" s="205"/>
      <c r="F220" s="264"/>
      <c r="H220" s="8"/>
      <c r="I220" s="205"/>
      <c r="J220" s="201"/>
    </row>
    <row r="221" spans="1:10" x14ac:dyDescent="0.3">
      <c r="A221" s="8"/>
      <c r="B221" s="263"/>
      <c r="C221" s="10"/>
      <c r="D221" s="263"/>
      <c r="E221" s="205"/>
      <c r="F221" s="264"/>
      <c r="H221" s="8"/>
      <c r="I221" s="205"/>
      <c r="J221" s="201"/>
    </row>
    <row r="222" spans="1:10" x14ac:dyDescent="0.3">
      <c r="A222" s="8"/>
      <c r="B222" s="263"/>
      <c r="C222" s="10"/>
      <c r="D222" s="263"/>
      <c r="E222" s="205"/>
      <c r="F222" s="264"/>
      <c r="H222" s="8"/>
      <c r="I222" s="205"/>
      <c r="J222" s="201"/>
    </row>
    <row r="223" spans="1:10" x14ac:dyDescent="0.3">
      <c r="A223" s="8"/>
      <c r="B223" s="263"/>
      <c r="C223" s="10"/>
      <c r="D223" s="263"/>
      <c r="E223" s="205"/>
      <c r="F223" s="264"/>
      <c r="H223" s="8"/>
      <c r="I223" s="205"/>
      <c r="J223" s="201"/>
    </row>
    <row r="224" spans="1:10" x14ac:dyDescent="0.3">
      <c r="A224" s="8"/>
      <c r="B224" s="263"/>
      <c r="C224" s="10"/>
      <c r="D224" s="263"/>
      <c r="E224" s="205"/>
      <c r="F224" s="264"/>
      <c r="H224" s="8"/>
      <c r="I224" s="205"/>
      <c r="J224" s="201"/>
    </row>
    <row r="225" spans="1:10" x14ac:dyDescent="0.3">
      <c r="A225" s="8"/>
      <c r="B225" s="263"/>
      <c r="C225" s="10"/>
      <c r="D225" s="263"/>
      <c r="E225" s="205"/>
      <c r="F225" s="264"/>
      <c r="H225" s="8"/>
      <c r="I225" s="205"/>
      <c r="J225" s="201"/>
    </row>
    <row r="226" spans="1:10" x14ac:dyDescent="0.3">
      <c r="A226" s="8"/>
      <c r="B226" s="263"/>
      <c r="C226" s="10"/>
      <c r="D226" s="263"/>
      <c r="E226" s="205"/>
      <c r="F226" s="264"/>
      <c r="H226" s="8"/>
      <c r="I226" s="205"/>
      <c r="J226" s="201"/>
    </row>
    <row r="227" spans="1:10" x14ac:dyDescent="0.3">
      <c r="A227" s="8"/>
      <c r="B227" s="263"/>
      <c r="C227" s="10"/>
      <c r="D227" s="263"/>
      <c r="E227" s="205"/>
      <c r="F227" s="264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175"/>
      <c r="C578" s="175"/>
      <c r="D578" s="175"/>
      <c r="E578" s="265"/>
      <c r="F578" s="266"/>
      <c r="H578" s="8"/>
      <c r="I578" s="205"/>
      <c r="J578" s="201"/>
    </row>
    <row r="579" spans="1:10" x14ac:dyDescent="0.3">
      <c r="A579" s="8"/>
      <c r="B579" s="175"/>
      <c r="C579" s="175"/>
      <c r="D579" s="175"/>
      <c r="E579" s="265"/>
      <c r="F579" s="266"/>
      <c r="H579" s="8"/>
      <c r="I579" s="205"/>
      <c r="J579" s="201"/>
    </row>
    <row r="580" spans="1:10" x14ac:dyDescent="0.3">
      <c r="A580" s="8"/>
      <c r="B580" s="175"/>
      <c r="C580" s="175"/>
      <c r="D580" s="175"/>
      <c r="E580" s="265"/>
      <c r="F580" s="266"/>
      <c r="H580" s="8"/>
      <c r="I580" s="205"/>
      <c r="J580" s="201"/>
    </row>
    <row r="581" spans="1:10" x14ac:dyDescent="0.3">
      <c r="A581" s="8"/>
      <c r="B581" s="175"/>
      <c r="C581" s="175"/>
      <c r="D581" s="175"/>
      <c r="E581" s="265"/>
      <c r="F581" s="266"/>
      <c r="H581" s="8"/>
      <c r="I581" s="205"/>
      <c r="J581" s="201"/>
    </row>
    <row r="582" spans="1:10" x14ac:dyDescent="0.3">
      <c r="A582" s="8"/>
      <c r="B582" s="175"/>
      <c r="C582" s="175"/>
      <c r="D582" s="175"/>
      <c r="E582" s="265"/>
      <c r="F582" s="266"/>
      <c r="H582" s="8"/>
      <c r="I582" s="205"/>
      <c r="J582" s="201"/>
    </row>
    <row r="583" spans="1:10" x14ac:dyDescent="0.3">
      <c r="A583" s="8"/>
      <c r="B583" s="175"/>
      <c r="C583" s="175"/>
      <c r="D583" s="175"/>
      <c r="E583" s="265"/>
      <c r="F583" s="266"/>
      <c r="H583" s="8"/>
      <c r="I583" s="205"/>
      <c r="J583" s="201"/>
    </row>
    <row r="584" spans="1:10" x14ac:dyDescent="0.3">
      <c r="A584" s="8"/>
      <c r="B584" s="175"/>
      <c r="C584" s="175"/>
      <c r="D584" s="175"/>
      <c r="E584" s="265"/>
      <c r="F584" s="266"/>
      <c r="H584" s="8"/>
      <c r="I584" s="205"/>
      <c r="J584" s="201"/>
    </row>
    <row r="585" spans="1:10" x14ac:dyDescent="0.3">
      <c r="A585" s="8"/>
      <c r="B585" s="175"/>
      <c r="C585" s="175"/>
      <c r="D585" s="175"/>
      <c r="E585" s="265"/>
      <c r="F585" s="266"/>
      <c r="H585" s="8"/>
      <c r="I585" s="205"/>
      <c r="J585" s="201"/>
    </row>
    <row r="586" spans="1:10" x14ac:dyDescent="0.3">
      <c r="A586" s="8"/>
      <c r="B586" s="175"/>
      <c r="C586" s="175"/>
      <c r="D586" s="175"/>
      <c r="E586" s="265"/>
      <c r="F586" s="266"/>
      <c r="H586" s="8"/>
      <c r="I586" s="205"/>
      <c r="J586" s="201"/>
    </row>
    <row r="587" spans="1:10" x14ac:dyDescent="0.3">
      <c r="A587" s="8"/>
      <c r="B587" s="175"/>
      <c r="C587" s="175"/>
      <c r="D587" s="175"/>
      <c r="E587" s="265"/>
      <c r="F587" s="266"/>
      <c r="H587" s="8"/>
      <c r="I587" s="205"/>
      <c r="J587" s="201"/>
    </row>
    <row r="588" spans="1:10" x14ac:dyDescent="0.3">
      <c r="A588" s="8"/>
      <c r="B588" s="175"/>
      <c r="C588" s="175"/>
      <c r="D588" s="175"/>
      <c r="E588" s="265"/>
      <c r="F588" s="266"/>
      <c r="H588" s="8"/>
      <c r="I588" s="205"/>
      <c r="J588" s="201"/>
    </row>
    <row r="589" spans="1:10" x14ac:dyDescent="0.3">
      <c r="A589" s="8"/>
      <c r="B589" s="175"/>
      <c r="C589" s="175"/>
      <c r="D589" s="175"/>
      <c r="E589" s="265"/>
      <c r="F589" s="266"/>
      <c r="H589" s="8"/>
      <c r="I589" s="205"/>
      <c r="J589" s="201"/>
    </row>
    <row r="590" spans="1:10" x14ac:dyDescent="0.3">
      <c r="A590" s="8"/>
      <c r="B590" s="175"/>
      <c r="C590" s="175"/>
      <c r="D590" s="175"/>
      <c r="E590" s="265"/>
      <c r="F590" s="266"/>
      <c r="H590" s="8"/>
      <c r="I590" s="205"/>
      <c r="J590" s="201"/>
    </row>
    <row r="591" spans="1:10" x14ac:dyDescent="0.3">
      <c r="A591" s="8"/>
      <c r="B591" s="175"/>
      <c r="C591" s="175"/>
      <c r="D591" s="175"/>
      <c r="E591" s="265"/>
      <c r="F591" s="266"/>
      <c r="H591" s="8"/>
      <c r="I591" s="205"/>
      <c r="J591" s="201"/>
    </row>
    <row r="592" spans="1:10" x14ac:dyDescent="0.3">
      <c r="A592" s="8"/>
      <c r="B592" s="175"/>
      <c r="C592" s="175"/>
      <c r="D592" s="175"/>
      <c r="E592" s="265"/>
      <c r="F592" s="266"/>
      <c r="H592" s="8"/>
      <c r="I592" s="205"/>
      <c r="J592" s="201"/>
    </row>
    <row r="593" spans="1:10" x14ac:dyDescent="0.3">
      <c r="A593" s="8"/>
      <c r="B593" s="175"/>
      <c r="C593" s="175"/>
      <c r="D593" s="175"/>
      <c r="E593" s="265"/>
      <c r="F593" s="266"/>
      <c r="H593" s="8"/>
      <c r="I593" s="205"/>
      <c r="J593" s="201"/>
    </row>
    <row r="594" spans="1:10" x14ac:dyDescent="0.3">
      <c r="A594" s="8"/>
      <c r="B594" s="175"/>
      <c r="C594" s="175"/>
      <c r="D594" s="175"/>
      <c r="E594" s="265"/>
      <c r="F594" s="266"/>
      <c r="H594" s="8"/>
      <c r="I594" s="205"/>
      <c r="J594" s="201"/>
    </row>
    <row r="595" spans="1:10" x14ac:dyDescent="0.3">
      <c r="A595" s="8"/>
      <c r="B595" s="175"/>
      <c r="C595" s="175"/>
      <c r="D595" s="175"/>
      <c r="E595" s="265"/>
      <c r="F595" s="266"/>
      <c r="H595" s="8"/>
      <c r="I595" s="205"/>
      <c r="J595" s="201"/>
    </row>
    <row r="596" spans="1:10" x14ac:dyDescent="0.3">
      <c r="A596" s="8"/>
      <c r="B596" s="175"/>
      <c r="C596" s="175"/>
      <c r="D596" s="175"/>
      <c r="E596" s="265"/>
      <c r="F596" s="266"/>
      <c r="H596" s="8"/>
      <c r="I596" s="205"/>
      <c r="J596" s="201"/>
    </row>
    <row r="597" spans="1:10" x14ac:dyDescent="0.3">
      <c r="A597" s="8"/>
      <c r="B597" s="175"/>
      <c r="C597" s="175"/>
      <c r="D597" s="175"/>
      <c r="E597" s="265"/>
      <c r="F597" s="266"/>
      <c r="H597" s="8"/>
      <c r="I597" s="205"/>
      <c r="J597" s="201"/>
    </row>
    <row r="598" spans="1:10" x14ac:dyDescent="0.3">
      <c r="A598" s="8"/>
      <c r="B598" s="175"/>
      <c r="C598" s="175"/>
      <c r="D598" s="175"/>
      <c r="E598" s="265"/>
      <c r="F598" s="266"/>
      <c r="H598" s="8"/>
      <c r="I598" s="205"/>
      <c r="J598" s="201"/>
    </row>
    <row r="599" spans="1:10" x14ac:dyDescent="0.3">
      <c r="A599" s="8"/>
      <c r="B599" s="175"/>
      <c r="C599" s="175"/>
      <c r="D599" s="175"/>
      <c r="E599" s="265"/>
      <c r="F599" s="266"/>
      <c r="H599" s="8"/>
      <c r="I599" s="205"/>
      <c r="J599" s="201"/>
    </row>
    <row r="600" spans="1:10" x14ac:dyDescent="0.3">
      <c r="A600" s="8"/>
      <c r="B600" s="175"/>
      <c r="C600" s="175"/>
      <c r="D600" s="175"/>
      <c r="E600" s="265"/>
      <c r="F600" s="266"/>
      <c r="H600" s="8"/>
      <c r="I600" s="205"/>
      <c r="J600" s="201"/>
    </row>
    <row r="601" spans="1:10" x14ac:dyDescent="0.3">
      <c r="A601" s="8"/>
      <c r="B601" s="175"/>
      <c r="C601" s="175"/>
      <c r="D601" s="175"/>
      <c r="E601" s="265"/>
      <c r="F601" s="266"/>
      <c r="H601" s="8"/>
      <c r="I601" s="205"/>
      <c r="J601" s="201"/>
    </row>
    <row r="602" spans="1:10" x14ac:dyDescent="0.3">
      <c r="A602" s="8"/>
      <c r="B602" s="175"/>
      <c r="C602" s="175"/>
      <c r="D602" s="175"/>
      <c r="E602" s="265"/>
      <c r="F602" s="266"/>
      <c r="H602" s="8"/>
      <c r="I602" s="205"/>
      <c r="J602" s="201"/>
    </row>
    <row r="603" spans="1:10" x14ac:dyDescent="0.3">
      <c r="A603" s="8"/>
      <c r="B603" s="175"/>
      <c r="C603" s="175"/>
      <c r="D603" s="175"/>
      <c r="E603" s="265"/>
      <c r="F603" s="266"/>
      <c r="H603" s="8"/>
      <c r="I603" s="205"/>
      <c r="J603" s="201"/>
    </row>
    <row r="604" spans="1:10" x14ac:dyDescent="0.3">
      <c r="A604" s="8"/>
      <c r="B604" s="175"/>
      <c r="C604" s="175"/>
      <c r="D604" s="175"/>
      <c r="E604" s="265"/>
      <c r="F604" s="266"/>
      <c r="H604" s="8"/>
      <c r="I604" s="205"/>
      <c r="J604" s="201"/>
    </row>
    <row r="605" spans="1:10" x14ac:dyDescent="0.3">
      <c r="A605" s="8"/>
      <c r="B605" s="175"/>
      <c r="C605" s="175"/>
      <c r="D605" s="175"/>
      <c r="E605" s="265"/>
      <c r="F605" s="266"/>
      <c r="H605" s="8"/>
      <c r="I605" s="205"/>
      <c r="J605" s="201"/>
    </row>
    <row r="606" spans="1:10" x14ac:dyDescent="0.3">
      <c r="A606" s="8"/>
      <c r="B606" s="175"/>
      <c r="C606" s="175"/>
      <c r="D606" s="175"/>
      <c r="E606" s="265"/>
      <c r="F606" s="266"/>
      <c r="H606" s="8"/>
      <c r="I606" s="205"/>
      <c r="J606" s="201"/>
    </row>
    <row r="607" spans="1:10" x14ac:dyDescent="0.3">
      <c r="A607" s="8"/>
      <c r="B607" s="175"/>
      <c r="C607" s="175"/>
      <c r="D607" s="175"/>
      <c r="E607" s="265"/>
      <c r="F607" s="266"/>
      <c r="H607" s="8"/>
      <c r="I607" s="205"/>
      <c r="J607" s="201"/>
    </row>
    <row r="608" spans="1:10" x14ac:dyDescent="0.3">
      <c r="A608" s="8"/>
      <c r="B608" s="175"/>
      <c r="C608" s="175"/>
      <c r="D608" s="175"/>
      <c r="E608" s="265"/>
      <c r="F608" s="266"/>
      <c r="H608" s="8"/>
      <c r="I608" s="205"/>
      <c r="J608" s="201"/>
    </row>
    <row r="609" spans="1:10" x14ac:dyDescent="0.3">
      <c r="A609" s="8"/>
      <c r="B609" s="175"/>
      <c r="C609" s="175"/>
      <c r="D609" s="175"/>
      <c r="E609" s="265"/>
      <c r="F609" s="266"/>
      <c r="H609" s="8"/>
      <c r="I609" s="205"/>
      <c r="J609" s="201"/>
    </row>
    <row r="610" spans="1:10" x14ac:dyDescent="0.3">
      <c r="A610" s="8"/>
      <c r="B610" s="175"/>
      <c r="C610" s="175"/>
      <c r="D610" s="175"/>
      <c r="E610" s="265"/>
      <c r="F610" s="266"/>
      <c r="H610" s="8"/>
      <c r="I610" s="205"/>
      <c r="J610" s="201"/>
    </row>
    <row r="611" spans="1:10" x14ac:dyDescent="0.3">
      <c r="A611" s="8"/>
      <c r="B611" s="175"/>
      <c r="C611" s="175"/>
      <c r="D611" s="175"/>
      <c r="E611" s="265"/>
      <c r="F611" s="266"/>
      <c r="H611" s="8"/>
      <c r="I611" s="205"/>
      <c r="J611" s="201"/>
    </row>
    <row r="612" spans="1:10" x14ac:dyDescent="0.3">
      <c r="A612" s="8"/>
      <c r="B612" s="175"/>
      <c r="C612" s="175"/>
      <c r="D612" s="175"/>
      <c r="E612" s="265"/>
      <c r="F612" s="266"/>
      <c r="H612" s="8"/>
      <c r="I612" s="205"/>
      <c r="J612" s="201"/>
    </row>
    <row r="613" spans="1:10" x14ac:dyDescent="0.3">
      <c r="A613" s="8"/>
      <c r="B613" s="175"/>
      <c r="C613" s="175"/>
      <c r="D613" s="175"/>
      <c r="E613" s="265"/>
      <c r="F613" s="266"/>
      <c r="H613" s="8"/>
      <c r="I613" s="205"/>
      <c r="J613" s="201"/>
    </row>
    <row r="614" spans="1:10" x14ac:dyDescent="0.3">
      <c r="A614" s="8"/>
      <c r="B614" s="175"/>
      <c r="C614" s="175"/>
      <c r="D614" s="175"/>
      <c r="E614" s="265"/>
      <c r="F614" s="266"/>
      <c r="H614" s="8"/>
      <c r="I614" s="205"/>
      <c r="J614" s="201"/>
    </row>
    <row r="615" spans="1:10" x14ac:dyDescent="0.3">
      <c r="A615" s="8"/>
      <c r="B615" s="175"/>
      <c r="C615" s="175"/>
      <c r="D615" s="175"/>
      <c r="E615" s="265"/>
      <c r="F615" s="266"/>
      <c r="H615" s="8"/>
      <c r="I615" s="205"/>
      <c r="J615" s="201"/>
    </row>
    <row r="616" spans="1:10" x14ac:dyDescent="0.3">
      <c r="A616" s="8"/>
      <c r="B616" s="175"/>
      <c r="C616" s="175"/>
      <c r="D616" s="175"/>
      <c r="E616" s="265"/>
      <c r="F616" s="266"/>
      <c r="H616" s="8"/>
      <c r="I616" s="205"/>
      <c r="J616" s="201"/>
    </row>
    <row r="617" spans="1:10" x14ac:dyDescent="0.3">
      <c r="A617" s="8"/>
      <c r="B617" s="175"/>
      <c r="C617" s="175"/>
      <c r="D617" s="175"/>
      <c r="E617" s="265"/>
      <c r="F617" s="266"/>
      <c r="H617" s="8"/>
      <c r="I617" s="205"/>
      <c r="J617" s="201"/>
    </row>
    <row r="618" spans="1:10" x14ac:dyDescent="0.3">
      <c r="A618" s="8"/>
      <c r="B618" s="175"/>
      <c r="C618" s="175"/>
      <c r="D618" s="175"/>
      <c r="E618" s="265"/>
      <c r="F618" s="266"/>
      <c r="H618" s="8"/>
      <c r="I618" s="205"/>
      <c r="J618" s="201"/>
    </row>
    <row r="619" spans="1:10" x14ac:dyDescent="0.3">
      <c r="A619" s="8"/>
      <c r="B619" s="175"/>
      <c r="C619" s="175"/>
      <c r="D619" s="175"/>
      <c r="E619" s="265"/>
      <c r="F619" s="266"/>
      <c r="H619" s="8"/>
      <c r="I619" s="205"/>
      <c r="J619" s="201"/>
    </row>
    <row r="620" spans="1:10" x14ac:dyDescent="0.3">
      <c r="A620" s="8"/>
      <c r="B620" s="175"/>
      <c r="C620" s="175"/>
      <c r="D620" s="175"/>
      <c r="E620" s="265"/>
      <c r="F620" s="266"/>
      <c r="H620" s="8"/>
      <c r="I620" s="205"/>
      <c r="J620" s="201"/>
    </row>
    <row r="621" spans="1:10" x14ac:dyDescent="0.3">
      <c r="A621" s="8"/>
      <c r="B621" s="175"/>
      <c r="C621" s="175"/>
      <c r="D621" s="175"/>
      <c r="E621" s="265"/>
      <c r="F621" s="266"/>
      <c r="H621" s="8"/>
      <c r="I621" s="205"/>
      <c r="J621" s="201"/>
    </row>
    <row r="622" spans="1:10" x14ac:dyDescent="0.3">
      <c r="A622" s="8"/>
      <c r="B622" s="175"/>
      <c r="C622" s="175"/>
      <c r="D622" s="175"/>
      <c r="E622" s="265"/>
      <c r="F622" s="266"/>
      <c r="H622" s="8"/>
      <c r="I622" s="205"/>
      <c r="J622" s="201"/>
    </row>
    <row r="623" spans="1:10" x14ac:dyDescent="0.3">
      <c r="A623" s="8"/>
      <c r="B623" s="175"/>
      <c r="C623" s="175"/>
      <c r="D623" s="175"/>
      <c r="E623" s="265"/>
      <c r="F623" s="266"/>
      <c r="H623" s="8"/>
      <c r="I623" s="205"/>
      <c r="J623" s="201"/>
    </row>
    <row r="624" spans="1:10" x14ac:dyDescent="0.3">
      <c r="A624" s="8"/>
      <c r="B624" s="175"/>
      <c r="C624" s="175"/>
      <c r="D624" s="175"/>
      <c r="E624" s="265"/>
      <c r="F624" s="266"/>
      <c r="H624" s="8"/>
      <c r="I624" s="205"/>
      <c r="J624" s="201"/>
    </row>
    <row r="625" spans="1:10" x14ac:dyDescent="0.3">
      <c r="A625" s="8"/>
      <c r="B625" s="175"/>
      <c r="C625" s="175"/>
      <c r="D625" s="175"/>
      <c r="E625" s="265"/>
      <c r="F625" s="266"/>
      <c r="H625" s="8"/>
      <c r="I625" s="205"/>
      <c r="J625" s="201"/>
    </row>
    <row r="626" spans="1:10" x14ac:dyDescent="0.3">
      <c r="A626" s="8"/>
      <c r="B626" s="175"/>
      <c r="C626" s="175"/>
      <c r="D626" s="175"/>
      <c r="E626" s="265"/>
      <c r="F626" s="266"/>
      <c r="H626" s="8"/>
      <c r="I626" s="205"/>
      <c r="J626" s="201"/>
    </row>
    <row r="627" spans="1:10" x14ac:dyDescent="0.3">
      <c r="A627" s="8"/>
      <c r="B627" s="175"/>
      <c r="C627" s="175"/>
      <c r="D627" s="175"/>
      <c r="E627" s="265"/>
      <c r="F627" s="266"/>
      <c r="H627" s="8"/>
      <c r="I627" s="205"/>
      <c r="J627" s="201"/>
    </row>
    <row r="628" spans="1:10" x14ac:dyDescent="0.3">
      <c r="A628" s="8"/>
      <c r="B628" s="175"/>
      <c r="C628" s="175"/>
      <c r="D628" s="175"/>
      <c r="E628" s="265"/>
      <c r="F628" s="266"/>
      <c r="H628" s="8"/>
      <c r="I628" s="205"/>
      <c r="J628" s="201"/>
    </row>
    <row r="629" spans="1:10" x14ac:dyDescent="0.3">
      <c r="A629" s="8"/>
      <c r="B629" s="175"/>
      <c r="C629" s="175"/>
      <c r="D629" s="175"/>
      <c r="E629" s="265"/>
      <c r="F629" s="266"/>
      <c r="H629" s="8"/>
      <c r="I629" s="205"/>
      <c r="J629" s="201"/>
    </row>
    <row r="630" spans="1:10" x14ac:dyDescent="0.3">
      <c r="A630" s="8"/>
      <c r="B630" s="175"/>
      <c r="C630" s="175"/>
      <c r="D630" s="175"/>
      <c r="E630" s="265"/>
      <c r="F630" s="266"/>
      <c r="H630" s="8"/>
      <c r="I630" s="205"/>
      <c r="J630" s="201"/>
    </row>
    <row r="631" spans="1:10" x14ac:dyDescent="0.3">
      <c r="A631" s="8"/>
      <c r="B631" s="175"/>
      <c r="C631" s="175"/>
      <c r="D631" s="175"/>
      <c r="E631" s="265"/>
      <c r="F631" s="266"/>
      <c r="H631" s="8"/>
      <c r="I631" s="205"/>
      <c r="J631" s="201"/>
    </row>
    <row r="632" spans="1:10" x14ac:dyDescent="0.3">
      <c r="A632" s="8"/>
      <c r="B632" s="175"/>
      <c r="C632" s="175"/>
      <c r="D632" s="175"/>
      <c r="E632" s="265"/>
      <c r="F632" s="266"/>
      <c r="H632" s="8"/>
      <c r="I632" s="205"/>
      <c r="J632" s="201"/>
    </row>
    <row r="633" spans="1:10" x14ac:dyDescent="0.3">
      <c r="A633" s="8"/>
      <c r="B633" s="175"/>
      <c r="C633" s="175"/>
      <c r="D633" s="175"/>
      <c r="E633" s="265"/>
      <c r="F633" s="266"/>
      <c r="H633" s="8"/>
      <c r="I633" s="205"/>
      <c r="J633" s="201"/>
    </row>
    <row r="634" spans="1:10" x14ac:dyDescent="0.3">
      <c r="A634" s="8"/>
      <c r="B634" s="175"/>
      <c r="C634" s="175"/>
      <c r="D634" s="175"/>
      <c r="E634" s="265"/>
      <c r="F634" s="266"/>
      <c r="H634" s="8"/>
      <c r="I634" s="205"/>
      <c r="J634" s="201"/>
    </row>
    <row r="635" spans="1:10" x14ac:dyDescent="0.3">
      <c r="A635" s="8"/>
      <c r="B635" s="175"/>
      <c r="C635" s="175"/>
      <c r="D635" s="175"/>
      <c r="E635" s="265"/>
      <c r="F635" s="266"/>
      <c r="H635" s="8"/>
      <c r="I635" s="205"/>
      <c r="J635" s="201"/>
    </row>
    <row r="636" spans="1:10" x14ac:dyDescent="0.3">
      <c r="A636" s="8"/>
      <c r="B636" s="175"/>
      <c r="C636" s="175"/>
      <c r="D636" s="175"/>
      <c r="E636" s="265"/>
      <c r="F636" s="266"/>
      <c r="H636" s="8"/>
      <c r="I636" s="205"/>
      <c r="J636" s="201"/>
    </row>
    <row r="637" spans="1:10" x14ac:dyDescent="0.3">
      <c r="A637" s="8"/>
      <c r="B637" s="175"/>
      <c r="C637" s="175"/>
      <c r="D637" s="175"/>
      <c r="E637" s="265"/>
      <c r="F637" s="266"/>
      <c r="H637" s="8"/>
      <c r="I637" s="205"/>
      <c r="J637" s="201"/>
    </row>
    <row r="638" spans="1:10" x14ac:dyDescent="0.3">
      <c r="A638" s="8"/>
      <c r="B638" s="175"/>
      <c r="C638" s="175"/>
      <c r="D638" s="175"/>
      <c r="E638" s="265"/>
      <c r="F638" s="266"/>
      <c r="H638" s="8"/>
      <c r="I638" s="205"/>
      <c r="J638" s="201"/>
    </row>
    <row r="639" spans="1:10" x14ac:dyDescent="0.3">
      <c r="A639" s="8"/>
      <c r="B639" s="175"/>
      <c r="C639" s="175"/>
      <c r="D639" s="175"/>
      <c r="E639" s="265"/>
      <c r="F639" s="266"/>
      <c r="H639" s="8"/>
      <c r="I639" s="205"/>
      <c r="J639" s="201"/>
    </row>
    <row r="640" spans="1:10" x14ac:dyDescent="0.3">
      <c r="A640" s="8"/>
      <c r="B640" s="175"/>
      <c r="C640" s="175"/>
      <c r="D640" s="175"/>
      <c r="E640" s="265"/>
      <c r="F640" s="266"/>
      <c r="H640" s="8"/>
      <c r="I640" s="205"/>
      <c r="J640" s="201"/>
    </row>
    <row r="641" spans="1:10" x14ac:dyDescent="0.3">
      <c r="A641" s="8"/>
      <c r="B641" s="175"/>
      <c r="C641" s="175"/>
      <c r="D641" s="175"/>
      <c r="E641" s="265"/>
      <c r="F641" s="266"/>
      <c r="H641" s="8"/>
      <c r="I641" s="205"/>
      <c r="J641" s="201"/>
    </row>
    <row r="642" spans="1:10" x14ac:dyDescent="0.3">
      <c r="A642" s="8"/>
      <c r="B642" s="175"/>
      <c r="C642" s="175"/>
      <c r="D642" s="175"/>
      <c r="E642" s="265"/>
      <c r="F642" s="266"/>
      <c r="H642" s="8"/>
      <c r="I642" s="205"/>
      <c r="J642" s="201"/>
    </row>
    <row r="643" spans="1:10" x14ac:dyDescent="0.3">
      <c r="A643" s="8"/>
      <c r="B643" s="175"/>
      <c r="C643" s="175"/>
      <c r="D643" s="175"/>
      <c r="E643" s="265"/>
      <c r="F643" s="266"/>
      <c r="H643" s="8"/>
      <c r="I643" s="205"/>
      <c r="J643" s="201"/>
    </row>
    <row r="644" spans="1:10" x14ac:dyDescent="0.3">
      <c r="A644" s="8"/>
      <c r="B644" s="175"/>
      <c r="C644" s="175"/>
      <c r="D644" s="175"/>
      <c r="E644" s="265"/>
      <c r="F644" s="266"/>
      <c r="H644" s="8"/>
      <c r="I644" s="205"/>
      <c r="J644" s="201"/>
    </row>
    <row r="645" spans="1:10" x14ac:dyDescent="0.3">
      <c r="A645" s="8"/>
      <c r="B645" s="175"/>
      <c r="C645" s="175"/>
      <c r="D645" s="175"/>
      <c r="E645" s="265"/>
      <c r="F645" s="266"/>
      <c r="H645" s="8"/>
      <c r="I645" s="205"/>
      <c r="J645" s="201"/>
    </row>
    <row r="646" spans="1:10" x14ac:dyDescent="0.3">
      <c r="A646" s="8"/>
      <c r="B646" s="175"/>
      <c r="C646" s="175"/>
      <c r="D646" s="175"/>
      <c r="E646" s="265"/>
      <c r="F646" s="266"/>
      <c r="H646" s="8"/>
      <c r="I646" s="205"/>
      <c r="J646" s="201"/>
    </row>
    <row r="647" spans="1:10" x14ac:dyDescent="0.3">
      <c r="A647" s="8"/>
      <c r="B647" s="175"/>
      <c r="C647" s="175"/>
      <c r="D647" s="175"/>
      <c r="E647" s="265"/>
      <c r="F647" s="266"/>
      <c r="H647" s="8"/>
      <c r="I647" s="205"/>
      <c r="J647" s="201"/>
    </row>
    <row r="648" spans="1:10" x14ac:dyDescent="0.3">
      <c r="A648" s="8"/>
      <c r="B648" s="175"/>
      <c r="C648" s="175"/>
      <c r="D648" s="175"/>
      <c r="E648" s="265"/>
      <c r="F648" s="266"/>
      <c r="H648" s="8"/>
      <c r="I648" s="205"/>
      <c r="J648" s="201"/>
    </row>
    <row r="649" spans="1:10" x14ac:dyDescent="0.3">
      <c r="A649" s="8"/>
      <c r="B649" s="175"/>
      <c r="C649" s="175"/>
      <c r="D649" s="175"/>
      <c r="E649" s="265"/>
      <c r="F649" s="266"/>
      <c r="H649" s="8"/>
      <c r="I649" s="205"/>
      <c r="J649" s="201"/>
    </row>
    <row r="650" spans="1:10" x14ac:dyDescent="0.3">
      <c r="A650" s="8"/>
      <c r="B650" s="175"/>
      <c r="C650" s="175"/>
      <c r="D650" s="175"/>
      <c r="E650" s="265"/>
      <c r="F650" s="266"/>
      <c r="H650" s="8"/>
      <c r="I650" s="205"/>
      <c r="J650" s="201"/>
    </row>
    <row r="651" spans="1:10" x14ac:dyDescent="0.3">
      <c r="A651" s="8"/>
      <c r="B651" s="175"/>
      <c r="C651" s="175"/>
      <c r="D651" s="175"/>
      <c r="E651" s="265"/>
      <c r="F651" s="266"/>
      <c r="H651" s="8"/>
      <c r="I651" s="205"/>
      <c r="J651" s="201"/>
    </row>
    <row r="652" spans="1:10" x14ac:dyDescent="0.3">
      <c r="A652" s="8"/>
      <c r="B652" s="175"/>
      <c r="C652" s="175"/>
      <c r="D652" s="175"/>
      <c r="E652" s="265"/>
      <c r="F652" s="266"/>
      <c r="H652" s="8"/>
      <c r="I652" s="205"/>
      <c r="J652" s="201"/>
    </row>
    <row r="653" spans="1:10" x14ac:dyDescent="0.3">
      <c r="A653" s="8"/>
      <c r="B653" s="175"/>
      <c r="C653" s="175"/>
      <c r="D653" s="175"/>
      <c r="E653" s="265"/>
      <c r="F653" s="266"/>
      <c r="H653" s="8"/>
      <c r="I653" s="205"/>
      <c r="J653" s="201"/>
    </row>
    <row r="654" spans="1:10" x14ac:dyDescent="0.3">
      <c r="A654" s="8"/>
      <c r="B654" s="175"/>
      <c r="C654" s="175"/>
      <c r="D654" s="175"/>
      <c r="E654" s="265"/>
      <c r="F654" s="266"/>
      <c r="H654" s="8"/>
      <c r="I654" s="205"/>
      <c r="J654" s="201"/>
    </row>
    <row r="655" spans="1:10" x14ac:dyDescent="0.3">
      <c r="A655" s="8"/>
      <c r="B655" s="175"/>
      <c r="C655" s="175"/>
      <c r="D655" s="175"/>
      <c r="E655" s="265"/>
      <c r="F655" s="266"/>
      <c r="H655" s="8"/>
      <c r="I655" s="205"/>
      <c r="J655" s="201"/>
    </row>
    <row r="656" spans="1:10" x14ac:dyDescent="0.3">
      <c r="A656" s="8"/>
      <c r="B656" s="175"/>
      <c r="C656" s="175"/>
      <c r="D656" s="175"/>
      <c r="E656" s="265"/>
      <c r="F656" s="266"/>
      <c r="H656" s="8"/>
      <c r="I656" s="205"/>
      <c r="J656" s="201"/>
    </row>
    <row r="657" spans="1:10" x14ac:dyDescent="0.3">
      <c r="A657" s="8"/>
      <c r="B657" s="175"/>
      <c r="C657" s="175"/>
      <c r="D657" s="175"/>
      <c r="E657" s="265"/>
      <c r="F657" s="266"/>
      <c r="H657" s="8"/>
      <c r="I657" s="205"/>
      <c r="J657" s="201"/>
    </row>
    <row r="658" spans="1:10" x14ac:dyDescent="0.3">
      <c r="A658" s="8"/>
      <c r="B658" s="175"/>
      <c r="C658" s="175"/>
      <c r="D658" s="175"/>
      <c r="E658" s="265"/>
      <c r="F658" s="266"/>
      <c r="H658" s="8"/>
      <c r="I658" s="205"/>
      <c r="J658" s="201"/>
    </row>
    <row r="659" spans="1:10" x14ac:dyDescent="0.3">
      <c r="A659" s="8"/>
      <c r="B659" s="175"/>
      <c r="C659" s="175"/>
      <c r="D659" s="175"/>
      <c r="E659" s="265"/>
      <c r="F659" s="266"/>
      <c r="H659" s="8"/>
      <c r="I659" s="205"/>
      <c r="J659" s="201"/>
    </row>
    <row r="660" spans="1:10" x14ac:dyDescent="0.3">
      <c r="A660" s="8"/>
      <c r="B660" s="175"/>
      <c r="C660" s="175"/>
      <c r="D660" s="175"/>
      <c r="E660" s="265"/>
      <c r="F660" s="266"/>
      <c r="H660" s="8"/>
      <c r="I660" s="205"/>
      <c r="J660" s="201"/>
    </row>
    <row r="661" spans="1:10" x14ac:dyDescent="0.3">
      <c r="A661" s="8"/>
      <c r="B661" s="175"/>
      <c r="C661" s="175"/>
      <c r="D661" s="175"/>
      <c r="E661" s="265"/>
      <c r="F661" s="266"/>
      <c r="H661" s="8"/>
      <c r="I661" s="205"/>
      <c r="J661" s="201"/>
    </row>
    <row r="662" spans="1:10" x14ac:dyDescent="0.3">
      <c r="A662" s="8"/>
      <c r="B662" s="175"/>
      <c r="C662" s="175"/>
      <c r="D662" s="175"/>
      <c r="E662" s="265"/>
      <c r="F662" s="266"/>
      <c r="H662" s="8"/>
      <c r="I662" s="205"/>
      <c r="J662" s="201"/>
    </row>
    <row r="663" spans="1:10" x14ac:dyDescent="0.3">
      <c r="A663" s="8"/>
      <c r="B663" s="175"/>
      <c r="C663" s="175"/>
      <c r="D663" s="175"/>
      <c r="E663" s="265"/>
      <c r="F663" s="266"/>
      <c r="H663" s="8"/>
      <c r="I663" s="205"/>
      <c r="J663" s="201"/>
    </row>
    <row r="664" spans="1:10" x14ac:dyDescent="0.3">
      <c r="A664" s="8"/>
      <c r="B664" s="175"/>
      <c r="C664" s="175"/>
      <c r="D664" s="175"/>
      <c r="E664" s="265"/>
      <c r="F664" s="266"/>
      <c r="H664" s="8"/>
      <c r="I664" s="205"/>
      <c r="J664" s="201"/>
    </row>
    <row r="665" spans="1:10" x14ac:dyDescent="0.3">
      <c r="A665" s="8"/>
      <c r="B665" s="175"/>
      <c r="C665" s="175"/>
      <c r="D665" s="175"/>
      <c r="E665" s="265"/>
      <c r="F665" s="266"/>
      <c r="H665" s="8"/>
      <c r="I665" s="205"/>
      <c r="J665" s="201"/>
    </row>
    <row r="666" spans="1:10" x14ac:dyDescent="0.3">
      <c r="A666" s="8"/>
      <c r="B666" s="175"/>
      <c r="C666" s="175"/>
      <c r="D666" s="175"/>
      <c r="E666" s="265"/>
      <c r="F666" s="266"/>
      <c r="H666" s="8"/>
      <c r="I666" s="205"/>
      <c r="J666" s="201"/>
    </row>
    <row r="667" spans="1:10" x14ac:dyDescent="0.3">
      <c r="A667" s="8"/>
      <c r="B667" s="175"/>
      <c r="C667" s="175"/>
      <c r="D667" s="175"/>
      <c r="E667" s="265"/>
      <c r="F667" s="266"/>
      <c r="H667" s="8"/>
      <c r="I667" s="205"/>
      <c r="J667" s="201"/>
    </row>
    <row r="668" spans="1:10" x14ac:dyDescent="0.3">
      <c r="A668" s="8"/>
      <c r="B668" s="175"/>
      <c r="C668" s="175"/>
      <c r="D668" s="175"/>
      <c r="E668" s="265"/>
      <c r="F668" s="266"/>
      <c r="H668" s="8"/>
      <c r="I668" s="205"/>
      <c r="J668" s="201"/>
    </row>
    <row r="669" spans="1:10" x14ac:dyDescent="0.3">
      <c r="A669" s="8"/>
      <c r="B669" s="175"/>
      <c r="C669" s="175"/>
      <c r="D669" s="175"/>
      <c r="E669" s="265"/>
      <c r="F669" s="266"/>
      <c r="H669" s="8"/>
      <c r="I669" s="205"/>
      <c r="J669" s="201"/>
    </row>
    <row r="670" spans="1:10" x14ac:dyDescent="0.3">
      <c r="A670" s="8"/>
      <c r="B670" s="175"/>
      <c r="C670" s="175"/>
      <c r="D670" s="175"/>
      <c r="E670" s="265"/>
      <c r="F670" s="266"/>
      <c r="H670" s="8"/>
      <c r="I670" s="205"/>
      <c r="J670" s="201"/>
    </row>
    <row r="671" spans="1:10" x14ac:dyDescent="0.3">
      <c r="A671" s="8"/>
      <c r="B671" s="175"/>
      <c r="C671" s="175"/>
      <c r="D671" s="175"/>
      <c r="E671" s="265"/>
      <c r="F671" s="266"/>
      <c r="H671" s="8"/>
      <c r="I671" s="205"/>
      <c r="J671" s="201"/>
    </row>
    <row r="672" spans="1:10" x14ac:dyDescent="0.3">
      <c r="A672" s="8"/>
      <c r="B672" s="175"/>
      <c r="C672" s="175"/>
      <c r="D672" s="175"/>
      <c r="E672" s="265"/>
      <c r="F672" s="266"/>
      <c r="H672" s="8"/>
      <c r="I672" s="205"/>
      <c r="J672" s="201"/>
    </row>
    <row r="673" spans="1:10" x14ac:dyDescent="0.3">
      <c r="A673" s="8"/>
      <c r="B673" s="175"/>
      <c r="C673" s="175"/>
      <c r="D673" s="175"/>
      <c r="E673" s="265"/>
      <c r="F673" s="266"/>
      <c r="H673" s="8"/>
      <c r="I673" s="205"/>
      <c r="J673" s="201"/>
    </row>
    <row r="674" spans="1:10" x14ac:dyDescent="0.3">
      <c r="A674" s="8"/>
      <c r="B674" s="175"/>
      <c r="C674" s="175"/>
      <c r="D674" s="175"/>
      <c r="E674" s="265"/>
      <c r="F674" s="266"/>
      <c r="H674" s="8"/>
      <c r="I674" s="205"/>
      <c r="J674" s="201"/>
    </row>
    <row r="675" spans="1:10" x14ac:dyDescent="0.3">
      <c r="A675" s="8"/>
      <c r="B675" s="175"/>
      <c r="C675" s="175"/>
      <c r="D675" s="175"/>
      <c r="E675" s="265"/>
      <c r="F675" s="266"/>
      <c r="H675" s="8"/>
      <c r="I675" s="205"/>
      <c r="J675" s="201"/>
    </row>
    <row r="676" spans="1:10" x14ac:dyDescent="0.3">
      <c r="A676" s="8"/>
      <c r="B676" s="175"/>
      <c r="C676" s="175"/>
      <c r="D676" s="175"/>
      <c r="E676" s="265"/>
      <c r="F676" s="266"/>
      <c r="H676" s="8"/>
      <c r="I676" s="205"/>
      <c r="J676" s="201"/>
    </row>
    <row r="677" spans="1:10" x14ac:dyDescent="0.3">
      <c r="A677" s="8"/>
      <c r="B677" s="175"/>
      <c r="C677" s="175"/>
      <c r="D677" s="175"/>
      <c r="E677" s="265"/>
      <c r="F677" s="266"/>
      <c r="H677" s="8"/>
      <c r="I677" s="205"/>
      <c r="J677" s="201"/>
    </row>
    <row r="678" spans="1:10" x14ac:dyDescent="0.3">
      <c r="A678" s="8"/>
      <c r="B678" s="175"/>
      <c r="C678" s="175"/>
      <c r="D678" s="175"/>
      <c r="E678" s="265"/>
      <c r="F678" s="266"/>
      <c r="H678" s="8"/>
      <c r="I678" s="205"/>
      <c r="J678" s="201"/>
    </row>
    <row r="679" spans="1:10" x14ac:dyDescent="0.3">
      <c r="A679" s="8"/>
      <c r="B679" s="175"/>
      <c r="C679" s="175"/>
      <c r="D679" s="175"/>
      <c r="E679" s="265"/>
      <c r="F679" s="266"/>
      <c r="H679" s="8"/>
      <c r="I679" s="205"/>
      <c r="J679" s="201"/>
    </row>
    <row r="680" spans="1:10" x14ac:dyDescent="0.3">
      <c r="A680" s="8"/>
      <c r="B680" s="175"/>
      <c r="C680" s="175"/>
      <c r="D680" s="175"/>
      <c r="E680" s="265"/>
      <c r="F680" s="266"/>
      <c r="H680" s="8"/>
      <c r="I680" s="205"/>
      <c r="J680" s="201"/>
    </row>
    <row r="681" spans="1:10" x14ac:dyDescent="0.3">
      <c r="A681" s="8"/>
      <c r="B681" s="175"/>
      <c r="C681" s="175"/>
      <c r="D681" s="175"/>
      <c r="E681" s="265"/>
      <c r="F681" s="266"/>
      <c r="H681" s="8"/>
      <c r="I681" s="205"/>
      <c r="J681" s="201"/>
    </row>
    <row r="682" spans="1:10" x14ac:dyDescent="0.3">
      <c r="A682" s="8"/>
      <c r="B682" s="175"/>
      <c r="C682" s="175"/>
      <c r="D682" s="175"/>
      <c r="E682" s="265"/>
      <c r="F682" s="266"/>
      <c r="H682" s="8"/>
      <c r="I682" s="205"/>
      <c r="J682" s="201"/>
    </row>
    <row r="683" spans="1:10" x14ac:dyDescent="0.3">
      <c r="A683" s="8"/>
      <c r="B683" s="175"/>
      <c r="C683" s="175"/>
      <c r="D683" s="175"/>
      <c r="E683" s="265"/>
      <c r="F683" s="266"/>
      <c r="H683" s="8"/>
      <c r="I683" s="205"/>
      <c r="J683" s="201"/>
    </row>
    <row r="684" spans="1:10" x14ac:dyDescent="0.3">
      <c r="A684" s="8"/>
      <c r="B684" s="175"/>
      <c r="C684" s="175"/>
      <c r="D684" s="175"/>
      <c r="E684" s="265"/>
      <c r="F684" s="266"/>
      <c r="H684" s="8"/>
      <c r="I684" s="205"/>
      <c r="J684" s="201"/>
    </row>
    <row r="685" spans="1:10" x14ac:dyDescent="0.3">
      <c r="A685" s="8"/>
      <c r="B685" s="175"/>
      <c r="C685" s="175"/>
      <c r="D685" s="175"/>
      <c r="E685" s="265"/>
      <c r="F685" s="266"/>
      <c r="H685" s="8"/>
      <c r="I685" s="205"/>
      <c r="J685" s="201"/>
    </row>
    <row r="686" spans="1:10" x14ac:dyDescent="0.3">
      <c r="A686" s="8"/>
      <c r="B686" s="175"/>
      <c r="C686" s="175"/>
      <c r="D686" s="175"/>
      <c r="E686" s="265"/>
      <c r="F686" s="266"/>
      <c r="H686" s="8"/>
      <c r="I686" s="205"/>
      <c r="J686" s="201"/>
    </row>
    <row r="687" spans="1:10" x14ac:dyDescent="0.3">
      <c r="A687" s="8"/>
      <c r="B687" s="175"/>
      <c r="C687" s="175"/>
      <c r="D687" s="175"/>
      <c r="E687" s="265"/>
      <c r="F687" s="266"/>
      <c r="H687" s="8"/>
      <c r="I687" s="205"/>
      <c r="J687" s="201"/>
    </row>
    <row r="688" spans="1:10" x14ac:dyDescent="0.3">
      <c r="A688" s="8"/>
      <c r="B688" s="175"/>
      <c r="C688" s="175"/>
      <c r="D688" s="175"/>
      <c r="E688" s="265"/>
      <c r="F688" s="266"/>
      <c r="H688" s="8"/>
      <c r="I688" s="205"/>
      <c r="J688" s="201"/>
    </row>
    <row r="689" spans="1:10" x14ac:dyDescent="0.3">
      <c r="A689" s="8"/>
      <c r="B689" s="175"/>
      <c r="C689" s="175"/>
      <c r="D689" s="175"/>
      <c r="E689" s="265"/>
      <c r="F689" s="266"/>
      <c r="H689" s="8"/>
      <c r="I689" s="205"/>
      <c r="J689" s="201"/>
    </row>
    <row r="690" spans="1:10" x14ac:dyDescent="0.3">
      <c r="A690" s="8"/>
      <c r="B690" s="175"/>
      <c r="C690" s="175"/>
      <c r="D690" s="175"/>
      <c r="E690" s="265"/>
      <c r="F690" s="266"/>
      <c r="H690" s="8"/>
      <c r="I690" s="205"/>
      <c r="J690" s="201"/>
    </row>
    <row r="691" spans="1:10" x14ac:dyDescent="0.3">
      <c r="A691" s="8"/>
      <c r="B691" s="175"/>
      <c r="C691" s="175"/>
      <c r="D691" s="175"/>
      <c r="E691" s="265"/>
      <c r="F691" s="266"/>
      <c r="H691" s="8"/>
      <c r="I691" s="205"/>
      <c r="J691" s="201"/>
    </row>
    <row r="692" spans="1:10" x14ac:dyDescent="0.3">
      <c r="A692" s="8"/>
      <c r="B692" s="175"/>
      <c r="C692" s="175"/>
      <c r="D692" s="175"/>
      <c r="E692" s="265"/>
      <c r="F692" s="266"/>
      <c r="H692" s="8"/>
      <c r="I692" s="205"/>
      <c r="J692" s="201"/>
    </row>
    <row r="693" spans="1:10" x14ac:dyDescent="0.3">
      <c r="A693" s="8"/>
      <c r="B693" s="175"/>
      <c r="C693" s="175"/>
      <c r="D693" s="175"/>
      <c r="E693" s="265"/>
      <c r="F693" s="266"/>
      <c r="H693" s="8"/>
      <c r="I693" s="205"/>
      <c r="J693" s="201"/>
    </row>
    <row r="694" spans="1:10" x14ac:dyDescent="0.3">
      <c r="A694" s="8"/>
      <c r="B694" s="175"/>
      <c r="C694" s="175"/>
      <c r="D694" s="175"/>
      <c r="E694" s="265"/>
      <c r="F694" s="266"/>
      <c r="H694" s="8"/>
      <c r="I694" s="205"/>
      <c r="J694" s="201"/>
    </row>
    <row r="695" spans="1:10" x14ac:dyDescent="0.3">
      <c r="A695" s="8"/>
      <c r="B695" s="175"/>
      <c r="C695" s="175"/>
      <c r="D695" s="175"/>
      <c r="E695" s="265"/>
      <c r="F695" s="266"/>
      <c r="H695" s="8"/>
      <c r="I695" s="205"/>
      <c r="J695" s="201"/>
    </row>
    <row r="696" spans="1:10" x14ac:dyDescent="0.3">
      <c r="A696" s="8"/>
      <c r="B696" s="175"/>
      <c r="C696" s="175"/>
      <c r="D696" s="175"/>
      <c r="E696" s="265"/>
      <c r="F696" s="266"/>
      <c r="H696" s="8"/>
      <c r="I696" s="205"/>
      <c r="J696" s="201"/>
    </row>
    <row r="697" spans="1:10" x14ac:dyDescent="0.3">
      <c r="A697" s="8"/>
      <c r="B697" s="175"/>
      <c r="C697" s="175"/>
      <c r="D697" s="175"/>
      <c r="E697" s="265"/>
      <c r="F697" s="266"/>
      <c r="H697" s="8"/>
      <c r="I697" s="205"/>
      <c r="J697" s="201"/>
    </row>
    <row r="698" spans="1:10" x14ac:dyDescent="0.3">
      <c r="A698" s="8"/>
      <c r="B698" s="175"/>
      <c r="C698" s="175"/>
      <c r="D698" s="175"/>
      <c r="E698" s="265"/>
      <c r="F698" s="266"/>
      <c r="H698" s="8"/>
      <c r="I698" s="205"/>
      <c r="J698" s="201"/>
    </row>
    <row r="699" spans="1:10" x14ac:dyDescent="0.3">
      <c r="A699" s="8"/>
      <c r="B699" s="175"/>
      <c r="C699" s="175"/>
      <c r="D699" s="175"/>
      <c r="E699" s="265"/>
      <c r="F699" s="266"/>
      <c r="H699" s="8"/>
      <c r="I699" s="205"/>
      <c r="J699" s="201"/>
    </row>
    <row r="700" spans="1:10" x14ac:dyDescent="0.3">
      <c r="A700" s="8"/>
      <c r="B700" s="175"/>
      <c r="C700" s="175"/>
      <c r="D700" s="175"/>
      <c r="E700" s="265"/>
      <c r="F700" s="266"/>
      <c r="H700" s="8"/>
      <c r="I700" s="205"/>
      <c r="J700" s="201"/>
    </row>
    <row r="701" spans="1:10" x14ac:dyDescent="0.3">
      <c r="A701" s="8"/>
      <c r="B701" s="175"/>
      <c r="C701" s="175"/>
      <c r="D701" s="175"/>
      <c r="E701" s="265"/>
      <c r="F701" s="266"/>
      <c r="H701" s="8"/>
      <c r="I701" s="205"/>
      <c r="J701" s="201"/>
    </row>
    <row r="702" spans="1:10" x14ac:dyDescent="0.3">
      <c r="A702" s="8"/>
      <c r="B702" s="175"/>
      <c r="C702" s="175"/>
      <c r="D702" s="175"/>
      <c r="E702" s="265"/>
      <c r="F702" s="266"/>
      <c r="H702" s="8"/>
      <c r="I702" s="205"/>
      <c r="J702" s="201"/>
    </row>
    <row r="703" spans="1:10" x14ac:dyDescent="0.3">
      <c r="A703" s="8"/>
      <c r="B703" s="175"/>
      <c r="C703" s="175"/>
      <c r="D703" s="175"/>
      <c r="E703" s="265"/>
      <c r="F703" s="266"/>
      <c r="H703" s="8"/>
      <c r="I703" s="205"/>
      <c r="J703" s="201"/>
    </row>
    <row r="704" spans="1:10" x14ac:dyDescent="0.3">
      <c r="A704" s="8"/>
      <c r="B704" s="175"/>
      <c r="C704" s="175"/>
      <c r="D704" s="175"/>
      <c r="E704" s="265"/>
      <c r="F704" s="266"/>
      <c r="H704" s="8"/>
      <c r="I704" s="205"/>
      <c r="J704" s="201"/>
    </row>
    <row r="705" spans="1:10" x14ac:dyDescent="0.3">
      <c r="A705" s="8"/>
      <c r="B705" s="175"/>
      <c r="C705" s="175"/>
      <c r="D705" s="175"/>
      <c r="E705" s="265"/>
      <c r="F705" s="266"/>
      <c r="H705" s="8"/>
      <c r="I705" s="205"/>
      <c r="J705" s="201"/>
    </row>
    <row r="706" spans="1:10" x14ac:dyDescent="0.3">
      <c r="A706" s="8"/>
      <c r="B706" s="175"/>
      <c r="C706" s="175"/>
      <c r="D706" s="175"/>
      <c r="E706" s="265"/>
      <c r="F706" s="266"/>
      <c r="H706" s="8"/>
      <c r="I706" s="205"/>
      <c r="J706" s="201"/>
    </row>
    <row r="707" spans="1:10" x14ac:dyDescent="0.3">
      <c r="A707" s="8"/>
      <c r="B707" s="175"/>
      <c r="C707" s="175"/>
      <c r="D707" s="175"/>
      <c r="E707" s="265"/>
      <c r="F707" s="266"/>
      <c r="H707" s="8"/>
      <c r="I707" s="205"/>
      <c r="J707" s="201"/>
    </row>
    <row r="708" spans="1:10" x14ac:dyDescent="0.3">
      <c r="A708" s="8"/>
      <c r="B708" s="175"/>
      <c r="C708" s="175"/>
      <c r="D708" s="175"/>
      <c r="E708" s="265"/>
      <c r="F708" s="266"/>
      <c r="H708" s="8"/>
      <c r="I708" s="205"/>
      <c r="J708" s="201"/>
    </row>
    <row r="709" spans="1:10" x14ac:dyDescent="0.3">
      <c r="A709" s="8"/>
      <c r="B709" s="175"/>
      <c r="C709" s="175"/>
      <c r="D709" s="175"/>
      <c r="E709" s="265"/>
      <c r="F709" s="266"/>
      <c r="H709" s="8"/>
      <c r="I709" s="205"/>
      <c r="J709" s="201"/>
    </row>
    <row r="710" spans="1:10" x14ac:dyDescent="0.3">
      <c r="A710" s="8"/>
      <c r="B710" s="175"/>
      <c r="C710" s="175"/>
      <c r="D710" s="175"/>
      <c r="E710" s="265"/>
      <c r="F710" s="266"/>
      <c r="H710" s="8"/>
      <c r="I710" s="205"/>
      <c r="J710" s="201"/>
    </row>
    <row r="711" spans="1:10" x14ac:dyDescent="0.3">
      <c r="A711" s="8"/>
      <c r="B711" s="175"/>
      <c r="C711" s="175"/>
      <c r="D711" s="175"/>
      <c r="E711" s="265"/>
      <c r="F711" s="266"/>
      <c r="H711" s="8"/>
      <c r="I711" s="205"/>
      <c r="J711" s="201"/>
    </row>
    <row r="712" spans="1:10" x14ac:dyDescent="0.3">
      <c r="A712" s="8"/>
      <c r="B712" s="175"/>
      <c r="C712" s="175"/>
      <c r="D712" s="175"/>
      <c r="E712" s="265"/>
      <c r="F712" s="266"/>
      <c r="H712" s="8"/>
      <c r="I712" s="205"/>
      <c r="J712" s="201"/>
    </row>
    <row r="713" spans="1:10" x14ac:dyDescent="0.3">
      <c r="A713" s="8"/>
      <c r="B713" s="175"/>
      <c r="C713" s="175"/>
      <c r="D713" s="175"/>
      <c r="E713" s="265"/>
      <c r="F713" s="266"/>
      <c r="H713" s="8"/>
      <c r="I713" s="205"/>
      <c r="J713" s="201"/>
    </row>
    <row r="714" spans="1:10" x14ac:dyDescent="0.3">
      <c r="A714" s="8"/>
      <c r="B714" s="175"/>
      <c r="C714" s="175"/>
      <c r="D714" s="175"/>
      <c r="E714" s="265"/>
      <c r="F714" s="266"/>
      <c r="H714" s="8"/>
      <c r="I714" s="205"/>
      <c r="J714" s="201"/>
    </row>
    <row r="715" spans="1:10" x14ac:dyDescent="0.3">
      <c r="A715" s="8"/>
      <c r="B715" s="175"/>
      <c r="C715" s="175"/>
      <c r="D715" s="175"/>
      <c r="E715" s="265"/>
      <c r="F715" s="266"/>
      <c r="H715" s="8"/>
      <c r="I715" s="205"/>
      <c r="J715" s="201"/>
    </row>
    <row r="716" spans="1:10" x14ac:dyDescent="0.3">
      <c r="A716" s="8"/>
      <c r="B716" s="175"/>
      <c r="C716" s="175"/>
      <c r="D716" s="175"/>
      <c r="E716" s="265"/>
      <c r="F716" s="266"/>
      <c r="H716" s="8"/>
      <c r="I716" s="205"/>
      <c r="J716" s="201"/>
    </row>
    <row r="717" spans="1:10" x14ac:dyDescent="0.3">
      <c r="A717" s="8"/>
      <c r="B717" s="175"/>
      <c r="C717" s="175"/>
      <c r="D717" s="175"/>
      <c r="E717" s="265"/>
      <c r="F717" s="266"/>
      <c r="H717" s="8"/>
      <c r="I717" s="205"/>
      <c r="J717" s="201"/>
    </row>
    <row r="718" spans="1:10" x14ac:dyDescent="0.3">
      <c r="A718" s="8"/>
      <c r="B718" s="175"/>
      <c r="C718" s="175"/>
      <c r="D718" s="175"/>
      <c r="E718" s="265"/>
      <c r="F718" s="266"/>
      <c r="H718" s="8"/>
      <c r="I718" s="205"/>
      <c r="J718" s="201"/>
    </row>
    <row r="719" spans="1:10" x14ac:dyDescent="0.3">
      <c r="A719" s="8"/>
      <c r="B719" s="175"/>
      <c r="C719" s="175"/>
      <c r="D719" s="175"/>
      <c r="E719" s="265"/>
      <c r="F719" s="266"/>
      <c r="H719" s="8"/>
      <c r="I719" s="205"/>
      <c r="J719" s="201"/>
    </row>
    <row r="720" spans="1:10" x14ac:dyDescent="0.3">
      <c r="A720" s="8"/>
      <c r="B720" s="175"/>
      <c r="C720" s="175"/>
      <c r="D720" s="175"/>
      <c r="E720" s="265"/>
      <c r="F720" s="266"/>
      <c r="H720" s="8"/>
      <c r="I720" s="205"/>
      <c r="J720" s="201"/>
    </row>
    <row r="721" spans="1:10" x14ac:dyDescent="0.3">
      <c r="A721" s="8"/>
      <c r="B721" s="175"/>
      <c r="C721" s="175"/>
      <c r="D721" s="175"/>
      <c r="E721" s="265"/>
      <c r="F721" s="266"/>
      <c r="H721" s="8"/>
      <c r="I721" s="205"/>
      <c r="J721" s="201"/>
    </row>
    <row r="722" spans="1:10" x14ac:dyDescent="0.3">
      <c r="A722" s="8"/>
      <c r="B722" s="175"/>
      <c r="C722" s="175"/>
      <c r="D722" s="175"/>
      <c r="E722" s="265"/>
      <c r="F722" s="266"/>
      <c r="H722" s="8"/>
      <c r="I722" s="205"/>
      <c r="J722" s="201"/>
    </row>
    <row r="723" spans="1:10" x14ac:dyDescent="0.3">
      <c r="A723" s="8"/>
      <c r="B723" s="175"/>
      <c r="C723" s="175"/>
      <c r="D723" s="175"/>
      <c r="E723" s="265"/>
      <c r="F723" s="266"/>
      <c r="H723" s="8"/>
      <c r="I723" s="205"/>
      <c r="J723" s="201"/>
    </row>
    <row r="724" spans="1:10" x14ac:dyDescent="0.3">
      <c r="A724" s="8"/>
      <c r="B724" s="175"/>
      <c r="C724" s="175"/>
      <c r="D724" s="175"/>
      <c r="E724" s="265"/>
      <c r="F724" s="266"/>
      <c r="H724" s="8"/>
      <c r="I724" s="205"/>
      <c r="J724" s="201"/>
    </row>
    <row r="725" spans="1:10" x14ac:dyDescent="0.3">
      <c r="A725" s="8"/>
      <c r="B725" s="175"/>
      <c r="C725" s="175"/>
      <c r="D725" s="175"/>
      <c r="E725" s="265"/>
      <c r="F725" s="266"/>
      <c r="H725" s="8"/>
      <c r="I725" s="205"/>
      <c r="J725" s="201"/>
    </row>
    <row r="726" spans="1:10" x14ac:dyDescent="0.3">
      <c r="A726" s="8"/>
      <c r="B726" s="175"/>
      <c r="C726" s="175"/>
      <c r="D726" s="175"/>
      <c r="E726" s="265"/>
      <c r="F726" s="266"/>
      <c r="H726" s="8"/>
      <c r="I726" s="205"/>
      <c r="J726" s="201"/>
    </row>
    <row r="727" spans="1:10" x14ac:dyDescent="0.3">
      <c r="A727" s="8"/>
      <c r="B727" s="175"/>
      <c r="C727" s="175"/>
      <c r="D727" s="175"/>
      <c r="E727" s="265"/>
      <c r="F727" s="266"/>
      <c r="H727" s="8"/>
      <c r="I727" s="205"/>
      <c r="J727" s="201"/>
    </row>
    <row r="728" spans="1:10" x14ac:dyDescent="0.3">
      <c r="A728" s="8"/>
      <c r="B728" s="175"/>
      <c r="C728" s="175"/>
      <c r="D728" s="175"/>
      <c r="E728" s="265"/>
      <c r="F728" s="266"/>
      <c r="H728" s="8"/>
      <c r="I728" s="205"/>
      <c r="J728" s="201"/>
    </row>
    <row r="729" spans="1:10" x14ac:dyDescent="0.3">
      <c r="A729" s="8"/>
      <c r="B729" s="175"/>
      <c r="C729" s="175"/>
      <c r="D729" s="175"/>
      <c r="E729" s="265"/>
      <c r="F729" s="266"/>
      <c r="H729" s="8"/>
      <c r="I729" s="205"/>
      <c r="J729" s="201"/>
    </row>
    <row r="730" spans="1:10" x14ac:dyDescent="0.3">
      <c r="A730" s="8"/>
      <c r="B730" s="175"/>
      <c r="C730" s="175"/>
      <c r="D730" s="175"/>
      <c r="E730" s="265"/>
      <c r="F730" s="266"/>
      <c r="H730" s="8"/>
      <c r="I730" s="205"/>
      <c r="J730" s="201"/>
    </row>
    <row r="731" spans="1:10" x14ac:dyDescent="0.3">
      <c r="A731" s="8"/>
      <c r="B731" s="175"/>
      <c r="C731" s="175"/>
      <c r="D731" s="175"/>
      <c r="E731" s="265"/>
      <c r="F731" s="266"/>
      <c r="H731" s="8"/>
      <c r="I731" s="205"/>
      <c r="J731" s="201"/>
    </row>
    <row r="732" spans="1:10" x14ac:dyDescent="0.3">
      <c r="A732" s="8"/>
      <c r="B732" s="175"/>
      <c r="C732" s="175"/>
      <c r="D732" s="175"/>
      <c r="E732" s="265"/>
      <c r="F732" s="266"/>
      <c r="H732" s="8"/>
      <c r="I732" s="205"/>
      <c r="J732" s="201"/>
    </row>
    <row r="733" spans="1:10" x14ac:dyDescent="0.3">
      <c r="A733" s="8"/>
      <c r="B733" s="175"/>
      <c r="C733" s="175"/>
      <c r="D733" s="175"/>
      <c r="E733" s="265"/>
      <c r="F733" s="266"/>
      <c r="H733" s="8"/>
      <c r="I733" s="205"/>
      <c r="J733" s="201"/>
    </row>
    <row r="734" spans="1:10" x14ac:dyDescent="0.3">
      <c r="A734" s="8"/>
      <c r="B734" s="175"/>
      <c r="C734" s="175"/>
      <c r="D734" s="175"/>
      <c r="E734" s="265"/>
      <c r="F734" s="266"/>
      <c r="H734" s="8"/>
      <c r="I734" s="205"/>
      <c r="J734" s="201"/>
    </row>
    <row r="735" spans="1:10" x14ac:dyDescent="0.3">
      <c r="A735" s="8"/>
      <c r="B735" s="175"/>
      <c r="C735" s="175"/>
      <c r="D735" s="175"/>
      <c r="E735" s="265"/>
      <c r="F735" s="266"/>
      <c r="H735" s="8"/>
      <c r="I735" s="205"/>
      <c r="J735" s="201"/>
    </row>
    <row r="736" spans="1:10" x14ac:dyDescent="0.3">
      <c r="A736" s="8"/>
      <c r="B736" s="175"/>
      <c r="C736" s="175"/>
      <c r="D736" s="175"/>
      <c r="E736" s="265"/>
      <c r="F736" s="266"/>
      <c r="H736" s="8"/>
      <c r="I736" s="205"/>
      <c r="J736" s="201"/>
    </row>
    <row r="737" spans="1:10" x14ac:dyDescent="0.3">
      <c r="A737" s="8"/>
      <c r="B737" s="175"/>
      <c r="C737" s="175"/>
      <c r="D737" s="175"/>
      <c r="E737" s="265"/>
      <c r="F737" s="266"/>
      <c r="H737" s="8"/>
      <c r="I737" s="205"/>
      <c r="J737" s="201"/>
    </row>
    <row r="738" spans="1:10" x14ac:dyDescent="0.3">
      <c r="A738" s="8"/>
      <c r="B738" s="175"/>
      <c r="C738" s="175"/>
      <c r="D738" s="175"/>
      <c r="E738" s="265"/>
      <c r="F738" s="266"/>
      <c r="H738" s="8"/>
      <c r="I738" s="205"/>
      <c r="J738" s="201"/>
    </row>
    <row r="739" spans="1:10" x14ac:dyDescent="0.3">
      <c r="A739" s="8"/>
      <c r="B739" s="175"/>
      <c r="C739" s="175"/>
      <c r="D739" s="175"/>
      <c r="E739" s="265"/>
      <c r="F739" s="266"/>
      <c r="H739" s="8"/>
      <c r="I739" s="205"/>
      <c r="J739" s="201"/>
    </row>
    <row r="740" spans="1:10" x14ac:dyDescent="0.3">
      <c r="A740" s="8"/>
      <c r="B740" s="175"/>
      <c r="C740" s="175"/>
      <c r="D740" s="175"/>
      <c r="E740" s="265"/>
      <c r="F740" s="266"/>
      <c r="H740" s="8"/>
      <c r="I740" s="205"/>
      <c r="J740" s="201"/>
    </row>
    <row r="741" spans="1:10" x14ac:dyDescent="0.3">
      <c r="A741" s="8"/>
      <c r="B741" s="175"/>
      <c r="C741" s="175"/>
      <c r="D741" s="175"/>
      <c r="E741" s="265"/>
      <c r="F741" s="266"/>
      <c r="H741" s="8"/>
      <c r="I741" s="205"/>
      <c r="J741" s="201"/>
    </row>
    <row r="742" spans="1:10" x14ac:dyDescent="0.3">
      <c r="A742" s="8"/>
      <c r="B742" s="175"/>
      <c r="C742" s="175"/>
      <c r="D742" s="175"/>
      <c r="E742" s="265"/>
      <c r="F742" s="266"/>
      <c r="H742" s="8"/>
      <c r="I742" s="205"/>
      <c r="J742" s="201"/>
    </row>
    <row r="743" spans="1:10" x14ac:dyDescent="0.3">
      <c r="A743" s="8"/>
      <c r="B743" s="175"/>
      <c r="C743" s="175"/>
      <c r="D743" s="175"/>
      <c r="E743" s="265"/>
      <c r="F743" s="266"/>
      <c r="H743" s="8"/>
      <c r="I743" s="205"/>
      <c r="J743" s="201"/>
    </row>
    <row r="744" spans="1:10" x14ac:dyDescent="0.3">
      <c r="A744" s="8"/>
      <c r="B744" s="175"/>
      <c r="C744" s="175"/>
      <c r="D744" s="175"/>
      <c r="E744" s="265"/>
      <c r="F744" s="266"/>
      <c r="H744" s="8"/>
      <c r="I744" s="205"/>
      <c r="J744" s="201"/>
    </row>
    <row r="745" spans="1:10" x14ac:dyDescent="0.3">
      <c r="A745" s="8"/>
      <c r="B745" s="175"/>
      <c r="C745" s="175"/>
      <c r="D745" s="175"/>
      <c r="E745" s="265"/>
      <c r="F745" s="266"/>
      <c r="H745" s="8"/>
      <c r="I745" s="205"/>
      <c r="J745" s="201"/>
    </row>
    <row r="746" spans="1:10" x14ac:dyDescent="0.3">
      <c r="A746" s="8"/>
      <c r="B746" s="175"/>
      <c r="C746" s="175"/>
      <c r="D746" s="175"/>
      <c r="E746" s="265"/>
      <c r="F746" s="266"/>
      <c r="H746" s="8"/>
      <c r="I746" s="205"/>
      <c r="J746" s="201"/>
    </row>
    <row r="747" spans="1:10" x14ac:dyDescent="0.3">
      <c r="A747" s="8"/>
      <c r="B747" s="175"/>
      <c r="C747" s="175"/>
      <c r="D747" s="175"/>
      <c r="E747" s="265"/>
      <c r="F747" s="266"/>
      <c r="H747" s="8"/>
      <c r="I747" s="205"/>
      <c r="J747" s="201"/>
    </row>
    <row r="748" spans="1:10" x14ac:dyDescent="0.3">
      <c r="A748" s="8"/>
      <c r="B748" s="175"/>
      <c r="C748" s="175"/>
      <c r="D748" s="175"/>
      <c r="E748" s="265"/>
      <c r="F748" s="266"/>
      <c r="H748" s="8"/>
      <c r="I748" s="205"/>
      <c r="J748" s="201"/>
    </row>
    <row r="749" spans="1:10" x14ac:dyDescent="0.3">
      <c r="A749" s="8"/>
      <c r="B749" s="175"/>
      <c r="C749" s="175"/>
      <c r="D749" s="175"/>
      <c r="E749" s="265"/>
      <c r="F749" s="266"/>
      <c r="H749" s="8"/>
      <c r="I749" s="205"/>
      <c r="J749" s="201"/>
    </row>
    <row r="750" spans="1:10" x14ac:dyDescent="0.3">
      <c r="A750" s="8"/>
      <c r="B750" s="175"/>
      <c r="C750" s="175"/>
      <c r="D750" s="175"/>
      <c r="E750" s="265"/>
      <c r="F750" s="266"/>
      <c r="H750" s="8"/>
      <c r="I750" s="205"/>
      <c r="J750" s="201"/>
    </row>
    <row r="751" spans="1:10" x14ac:dyDescent="0.3">
      <c r="A751" s="8"/>
      <c r="B751" s="175"/>
      <c r="C751" s="175"/>
      <c r="D751" s="175"/>
      <c r="E751" s="265"/>
      <c r="F751" s="266"/>
      <c r="H751" s="8"/>
      <c r="I751" s="205"/>
      <c r="J751" s="201"/>
    </row>
    <row r="752" spans="1:10" x14ac:dyDescent="0.3">
      <c r="A752" s="8"/>
      <c r="B752" s="175"/>
      <c r="C752" s="175"/>
      <c r="D752" s="175"/>
      <c r="E752" s="265"/>
      <c r="F752" s="266"/>
      <c r="H752" s="8"/>
      <c r="I752" s="205"/>
      <c r="J752" s="201"/>
    </row>
    <row r="753" spans="1:10" x14ac:dyDescent="0.3">
      <c r="A753" s="8"/>
      <c r="B753" s="175"/>
      <c r="C753" s="175"/>
      <c r="D753" s="175"/>
      <c r="E753" s="265"/>
      <c r="F753" s="266"/>
      <c r="H753" s="8"/>
      <c r="I753" s="205"/>
      <c r="J753" s="201"/>
    </row>
    <row r="754" spans="1:10" x14ac:dyDescent="0.3">
      <c r="A754" s="8"/>
      <c r="B754" s="175"/>
      <c r="C754" s="175"/>
      <c r="D754" s="175"/>
      <c r="E754" s="265"/>
      <c r="F754" s="266"/>
      <c r="H754" s="8"/>
      <c r="I754" s="205"/>
      <c r="J754" s="201"/>
    </row>
    <row r="755" spans="1:10" x14ac:dyDescent="0.3">
      <c r="A755" s="8"/>
      <c r="B755" s="175"/>
      <c r="C755" s="175"/>
      <c r="D755" s="175"/>
      <c r="E755" s="265"/>
      <c r="F755" s="266"/>
      <c r="H755" s="8"/>
      <c r="I755" s="205"/>
      <c r="J755" s="201"/>
    </row>
    <row r="756" spans="1:10" x14ac:dyDescent="0.3">
      <c r="A756" s="8"/>
      <c r="B756" s="175"/>
      <c r="C756" s="175"/>
      <c r="D756" s="175"/>
      <c r="E756" s="265"/>
      <c r="F756" s="266"/>
      <c r="H756" s="8"/>
      <c r="I756" s="205"/>
      <c r="J756" s="201"/>
    </row>
    <row r="757" spans="1:10" x14ac:dyDescent="0.3">
      <c r="A757" s="8"/>
      <c r="B757" s="175"/>
      <c r="C757" s="175"/>
      <c r="D757" s="175"/>
      <c r="E757" s="265"/>
      <c r="F757" s="266"/>
      <c r="H757" s="8"/>
      <c r="I757" s="205"/>
      <c r="J757" s="201"/>
    </row>
    <row r="758" spans="1:10" x14ac:dyDescent="0.3">
      <c r="A758" s="8"/>
      <c r="B758" s="175"/>
      <c r="C758" s="175"/>
      <c r="D758" s="175"/>
      <c r="E758" s="265"/>
      <c r="F758" s="266"/>
      <c r="H758" s="8"/>
      <c r="I758" s="205"/>
      <c r="J758" s="201"/>
    </row>
    <row r="759" spans="1:10" x14ac:dyDescent="0.3">
      <c r="A759" s="8"/>
      <c r="B759" s="175"/>
      <c r="C759" s="175"/>
      <c r="D759" s="175"/>
      <c r="E759" s="265"/>
      <c r="F759" s="266"/>
      <c r="H759" s="8"/>
      <c r="I759" s="205"/>
      <c r="J759" s="201"/>
    </row>
    <row r="760" spans="1:10" x14ac:dyDescent="0.3">
      <c r="A760" s="8"/>
      <c r="B760" s="175"/>
      <c r="C760" s="175"/>
      <c r="D760" s="175"/>
      <c r="E760" s="265"/>
      <c r="F760" s="266"/>
      <c r="H760" s="8"/>
      <c r="I760" s="205"/>
      <c r="J760" s="201"/>
    </row>
    <row r="761" spans="1:10" x14ac:dyDescent="0.3">
      <c r="A761" s="8"/>
      <c r="B761" s="175"/>
      <c r="C761" s="175"/>
      <c r="D761" s="175"/>
      <c r="E761" s="265"/>
      <c r="F761" s="266"/>
      <c r="H761" s="8"/>
      <c r="I761" s="205"/>
      <c r="J761" s="201"/>
    </row>
    <row r="762" spans="1:10" x14ac:dyDescent="0.3">
      <c r="A762" s="8"/>
      <c r="B762" s="175"/>
      <c r="C762" s="175"/>
      <c r="D762" s="175"/>
      <c r="E762" s="265"/>
      <c r="F762" s="266"/>
      <c r="H762" s="8"/>
      <c r="I762" s="205"/>
      <c r="J762" s="201"/>
    </row>
    <row r="763" spans="1:10" x14ac:dyDescent="0.3">
      <c r="A763" s="8"/>
      <c r="B763" s="175"/>
      <c r="C763" s="175"/>
      <c r="D763" s="175"/>
      <c r="E763" s="265"/>
      <c r="F763" s="266"/>
      <c r="H763" s="8"/>
      <c r="I763" s="205"/>
      <c r="J763" s="201"/>
    </row>
    <row r="764" spans="1:10" x14ac:dyDescent="0.3">
      <c r="A764" s="8"/>
      <c r="B764" s="175"/>
      <c r="C764" s="175"/>
      <c r="D764" s="175"/>
      <c r="E764" s="265"/>
      <c r="F764" s="266"/>
      <c r="H764" s="8"/>
      <c r="I764" s="205"/>
      <c r="J764" s="201"/>
    </row>
    <row r="765" spans="1:10" x14ac:dyDescent="0.3">
      <c r="A765" s="8"/>
      <c r="B765" s="175"/>
      <c r="C765" s="175"/>
      <c r="D765" s="175"/>
      <c r="E765" s="265"/>
      <c r="F765" s="266"/>
      <c r="H765" s="8"/>
      <c r="I765" s="205"/>
      <c r="J765" s="201"/>
    </row>
    <row r="766" spans="1:10" x14ac:dyDescent="0.3">
      <c r="A766" s="8"/>
      <c r="B766" s="175"/>
      <c r="C766" s="175"/>
      <c r="D766" s="175"/>
      <c r="E766" s="265"/>
      <c r="F766" s="266"/>
      <c r="H766" s="8"/>
      <c r="I766" s="205"/>
      <c r="J766" s="201"/>
    </row>
    <row r="767" spans="1:10" x14ac:dyDescent="0.3">
      <c r="A767" s="8"/>
      <c r="B767" s="175"/>
      <c r="C767" s="175"/>
      <c r="D767" s="175"/>
      <c r="E767" s="265"/>
      <c r="F767" s="266"/>
      <c r="H767" s="8"/>
      <c r="I767" s="205"/>
      <c r="J767" s="201"/>
    </row>
    <row r="768" spans="1:10" x14ac:dyDescent="0.3">
      <c r="A768" s="8"/>
      <c r="B768" s="175"/>
      <c r="C768" s="175"/>
      <c r="D768" s="175"/>
      <c r="E768" s="265"/>
      <c r="F768" s="266"/>
      <c r="H768" s="8"/>
      <c r="I768" s="205"/>
      <c r="J768" s="201"/>
    </row>
    <row r="769" spans="1:10" x14ac:dyDescent="0.3">
      <c r="A769" s="8"/>
      <c r="B769" s="175"/>
      <c r="C769" s="175"/>
      <c r="D769" s="175"/>
      <c r="E769" s="265"/>
      <c r="F769" s="266"/>
      <c r="H769" s="8"/>
      <c r="I769" s="205"/>
      <c r="J769" s="201"/>
    </row>
    <row r="770" spans="1:10" x14ac:dyDescent="0.3">
      <c r="A770" s="8"/>
      <c r="B770" s="175"/>
      <c r="C770" s="175"/>
      <c r="D770" s="175"/>
      <c r="E770" s="265"/>
      <c r="F770" s="266"/>
      <c r="H770" s="8"/>
      <c r="I770" s="205"/>
      <c r="J770" s="201"/>
    </row>
    <row r="771" spans="1:10" x14ac:dyDescent="0.3">
      <c r="A771" s="8"/>
      <c r="B771" s="175"/>
      <c r="C771" s="175"/>
      <c r="D771" s="175"/>
      <c r="E771" s="265"/>
      <c r="F771" s="266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60"/>
      <c r="F772" s="251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60"/>
      <c r="F773" s="251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60"/>
      <c r="F774" s="251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60"/>
      <c r="F775" s="251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60"/>
      <c r="F776" s="251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60"/>
      <c r="F777" s="251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60"/>
      <c r="F778" s="251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60"/>
      <c r="F779" s="251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60"/>
      <c r="F780" s="251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60"/>
      <c r="F781" s="251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60"/>
      <c r="F782" s="251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60"/>
      <c r="F783" s="251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60"/>
      <c r="F784" s="251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60"/>
      <c r="F785" s="251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60"/>
      <c r="F786" s="251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60"/>
      <c r="F787" s="251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60"/>
      <c r="F788" s="251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60"/>
      <c r="F789" s="251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60"/>
      <c r="F790" s="251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60"/>
      <c r="F791" s="251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60"/>
      <c r="F792" s="251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60"/>
      <c r="F793" s="251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60"/>
      <c r="F794" s="251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60"/>
      <c r="F795" s="251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60"/>
      <c r="F796" s="251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60"/>
      <c r="F797" s="251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60"/>
      <c r="F798" s="251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60"/>
      <c r="F799" s="251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60"/>
      <c r="F800" s="251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60"/>
      <c r="F801" s="251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60"/>
      <c r="F802" s="251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60"/>
      <c r="F803" s="251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60"/>
      <c r="F804" s="251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60"/>
      <c r="F805" s="251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60"/>
      <c r="F806" s="251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60"/>
      <c r="F807" s="251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60"/>
      <c r="F808" s="251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60"/>
      <c r="F809" s="251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60"/>
      <c r="F810" s="251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60"/>
      <c r="F811" s="251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60"/>
      <c r="F812" s="251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60"/>
      <c r="F813" s="251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60"/>
      <c r="F814" s="251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60"/>
      <c r="F815" s="251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60"/>
      <c r="F816" s="251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60"/>
      <c r="F817" s="251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60"/>
      <c r="F818" s="251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60"/>
      <c r="F819" s="251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60"/>
      <c r="F820" s="251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60"/>
      <c r="F821" s="251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60"/>
      <c r="F822" s="251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60"/>
      <c r="F823" s="251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60"/>
      <c r="F824" s="251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60"/>
      <c r="F825" s="251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60"/>
      <c r="F826" s="251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60"/>
      <c r="F827" s="251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60"/>
      <c r="F828" s="251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60"/>
      <c r="F829" s="251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60"/>
      <c r="F830" s="251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60"/>
      <c r="F831" s="251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60"/>
      <c r="F832" s="251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60"/>
      <c r="F833" s="251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60"/>
      <c r="F834" s="251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60"/>
      <c r="F835" s="251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60"/>
      <c r="F836" s="251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60"/>
      <c r="F837" s="251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60"/>
      <c r="F838" s="251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60"/>
      <c r="F839" s="251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60"/>
      <c r="F840" s="251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60"/>
      <c r="F841" s="251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60"/>
      <c r="F842" s="251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60"/>
      <c r="F843" s="251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60"/>
      <c r="F844" s="251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60"/>
      <c r="F845" s="251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60"/>
      <c r="F846" s="251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60"/>
      <c r="F847" s="251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60"/>
      <c r="F848" s="251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60"/>
      <c r="F849" s="251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60"/>
      <c r="F850" s="251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60"/>
      <c r="F851" s="251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60"/>
      <c r="F852" s="251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60"/>
      <c r="F853" s="251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60"/>
      <c r="F854" s="251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60"/>
      <c r="F855" s="251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60"/>
      <c r="F856" s="251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60"/>
      <c r="F857" s="251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60"/>
      <c r="F858" s="251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60"/>
      <c r="F859" s="251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60"/>
      <c r="F860" s="251"/>
      <c r="H860" s="8"/>
      <c r="I860" s="205"/>
      <c r="J860" s="201"/>
    </row>
    <row r="861" spans="1:10" x14ac:dyDescent="0.3">
      <c r="A861" s="50"/>
      <c r="B861" s="252"/>
      <c r="C861" s="252"/>
      <c r="D861" s="252"/>
      <c r="E861" s="276"/>
      <c r="F861" s="253"/>
      <c r="H861" s="11"/>
      <c r="I861" s="210"/>
      <c r="J861" s="211"/>
    </row>
    <row r="862" spans="1:10" x14ac:dyDescent="0.3">
      <c r="A862" s="55"/>
      <c r="E862" s="236"/>
      <c r="H862" s="232"/>
      <c r="I862" s="272"/>
      <c r="J862" s="272"/>
    </row>
    <row r="863" spans="1:10" x14ac:dyDescent="0.3">
      <c r="A863" s="55"/>
      <c r="E863" s="236"/>
      <c r="H863" s="232"/>
      <c r="I863" s="272"/>
      <c r="J863" s="272"/>
    </row>
    <row r="864" spans="1:10" x14ac:dyDescent="0.3">
      <c r="A864" s="55"/>
      <c r="E864" s="236"/>
      <c r="H864" s="232"/>
      <c r="I864" s="272"/>
      <c r="J864" s="272"/>
    </row>
    <row r="865" spans="1:10" x14ac:dyDescent="0.3">
      <c r="A865" s="55"/>
      <c r="E865" s="236"/>
      <c r="H865" s="232"/>
      <c r="I865" s="272"/>
      <c r="J865" s="272"/>
    </row>
    <row r="866" spans="1:10" x14ac:dyDescent="0.3">
      <c r="A866" s="55"/>
      <c r="E866" s="236"/>
      <c r="H866" s="232"/>
      <c r="I866" s="272"/>
      <c r="J866" s="272"/>
    </row>
    <row r="867" spans="1:10" x14ac:dyDescent="0.3">
      <c r="A867" s="55"/>
      <c r="E867" s="236"/>
      <c r="H867" s="232"/>
      <c r="I867" s="272"/>
      <c r="J867" s="272"/>
    </row>
    <row r="868" spans="1:10" x14ac:dyDescent="0.3">
      <c r="A868" s="55"/>
      <c r="E868" s="236"/>
      <c r="H868" s="232"/>
      <c r="I868" s="272"/>
      <c r="J868" s="272"/>
    </row>
    <row r="869" spans="1:10" x14ac:dyDescent="0.3">
      <c r="A869" s="55"/>
      <c r="E869" s="236"/>
      <c r="H869" s="232"/>
      <c r="I869" s="272"/>
      <c r="J869" s="272"/>
    </row>
    <row r="870" spans="1:10" x14ac:dyDescent="0.3">
      <c r="A870" s="55"/>
      <c r="E870" s="236"/>
      <c r="H870" s="232"/>
      <c r="I870" s="272"/>
      <c r="J870" s="272"/>
    </row>
    <row r="871" spans="1:10" x14ac:dyDescent="0.3">
      <c r="A871" s="55"/>
      <c r="E871" s="236"/>
      <c r="H871" s="232"/>
      <c r="I871" s="272"/>
      <c r="J871" s="272"/>
    </row>
    <row r="872" spans="1:10" x14ac:dyDescent="0.3">
      <c r="A872" s="55"/>
      <c r="E872" s="236"/>
      <c r="H872" s="232"/>
      <c r="I872" s="272"/>
      <c r="J872" s="272"/>
    </row>
    <row r="873" spans="1:10" x14ac:dyDescent="0.3">
      <c r="A873" s="55"/>
      <c r="E873" s="236"/>
      <c r="H873" s="232"/>
      <c r="I873" s="272"/>
      <c r="J873" s="272"/>
    </row>
    <row r="874" spans="1:10" x14ac:dyDescent="0.3">
      <c r="A874" s="55"/>
      <c r="E874" s="236"/>
      <c r="H874" s="232"/>
      <c r="I874" s="272"/>
      <c r="J874" s="272"/>
    </row>
    <row r="875" spans="1:10" x14ac:dyDescent="0.3">
      <c r="A875" s="55"/>
      <c r="E875" s="236"/>
      <c r="H875" s="232"/>
      <c r="I875" s="272"/>
      <c r="J875" s="272"/>
    </row>
    <row r="876" spans="1:10" x14ac:dyDescent="0.3">
      <c r="A876" s="55"/>
      <c r="E876" s="236"/>
      <c r="H876" s="232"/>
      <c r="I876" s="272"/>
      <c r="J876" s="272"/>
    </row>
    <row r="877" spans="1:10" x14ac:dyDescent="0.3">
      <c r="A877" s="55"/>
      <c r="E877" s="236"/>
      <c r="H877" s="232"/>
      <c r="I877" s="272"/>
      <c r="J877" s="272"/>
    </row>
    <row r="878" spans="1:10" x14ac:dyDescent="0.3">
      <c r="A878" s="55"/>
      <c r="E878" s="236"/>
      <c r="H878" s="232"/>
      <c r="I878" s="272"/>
      <c r="J878" s="272"/>
    </row>
    <row r="879" spans="1:10" x14ac:dyDescent="0.3">
      <c r="A879" s="55"/>
      <c r="E879" s="236"/>
      <c r="H879" s="232"/>
      <c r="I879" s="272"/>
      <c r="J879" s="272"/>
    </row>
    <row r="880" spans="1:10" x14ac:dyDescent="0.3">
      <c r="A880" s="55"/>
      <c r="E880" s="236"/>
      <c r="H880" s="232"/>
      <c r="I880" s="272"/>
      <c r="J880" s="272"/>
    </row>
    <row r="881" spans="1:10" x14ac:dyDescent="0.3">
      <c r="A881" s="55"/>
      <c r="E881" s="236"/>
      <c r="H881" s="232"/>
      <c r="I881" s="272"/>
      <c r="J881" s="272"/>
    </row>
    <row r="882" spans="1:10" x14ac:dyDescent="0.3">
      <c r="A882" s="55"/>
      <c r="E882" s="236"/>
      <c r="H882" s="232"/>
      <c r="I882" s="272"/>
      <c r="J882" s="272"/>
    </row>
    <row r="883" spans="1:10" x14ac:dyDescent="0.3">
      <c r="A883" s="55"/>
      <c r="E883" s="236"/>
      <c r="H883" s="232"/>
      <c r="I883" s="272"/>
      <c r="J883" s="272"/>
    </row>
    <row r="884" spans="1:10" x14ac:dyDescent="0.3">
      <c r="A884" s="55"/>
      <c r="E884" s="236"/>
      <c r="H884" s="232"/>
      <c r="I884" s="272"/>
      <c r="J884" s="272"/>
    </row>
    <row r="885" spans="1:10" x14ac:dyDescent="0.3">
      <c r="A885" s="55"/>
      <c r="E885" s="236"/>
      <c r="H885" s="232"/>
      <c r="I885" s="272"/>
      <c r="J885" s="272"/>
    </row>
    <row r="886" spans="1:10" x14ac:dyDescent="0.3">
      <c r="A886" s="55"/>
      <c r="E886" s="236"/>
      <c r="H886" s="232"/>
      <c r="I886" s="272"/>
      <c r="J886" s="272"/>
    </row>
    <row r="887" spans="1:10" x14ac:dyDescent="0.3">
      <c r="A887" s="55"/>
      <c r="E887" s="236"/>
      <c r="H887" s="232"/>
      <c r="I887" s="272"/>
      <c r="J887" s="272"/>
    </row>
    <row r="888" spans="1:10" x14ac:dyDescent="0.3">
      <c r="A888" s="55"/>
      <c r="E888" s="236"/>
      <c r="H888" s="232"/>
      <c r="I888" s="272"/>
      <c r="J888" s="272"/>
    </row>
    <row r="889" spans="1:10" x14ac:dyDescent="0.3">
      <c r="A889" s="55"/>
      <c r="E889" s="236"/>
      <c r="H889" s="232"/>
      <c r="I889" s="272"/>
      <c r="J889" s="272"/>
    </row>
    <row r="890" spans="1:10" x14ac:dyDescent="0.3">
      <c r="A890" s="55"/>
      <c r="E890" s="236"/>
      <c r="H890" s="232"/>
      <c r="I890" s="272"/>
      <c r="J890" s="272"/>
    </row>
    <row r="891" spans="1:10" x14ac:dyDescent="0.3">
      <c r="A891" s="55"/>
      <c r="E891" s="236"/>
      <c r="H891" s="232"/>
      <c r="I891" s="272"/>
      <c r="J891" s="272"/>
    </row>
    <row r="892" spans="1:10" x14ac:dyDescent="0.3">
      <c r="A892" s="55"/>
      <c r="E892" s="236"/>
      <c r="H892" s="232"/>
      <c r="I892" s="272"/>
      <c r="J892" s="272"/>
    </row>
    <row r="893" spans="1:10" x14ac:dyDescent="0.3">
      <c r="A893" s="55"/>
      <c r="E893" s="236"/>
      <c r="H893" s="232"/>
      <c r="I893" s="272"/>
      <c r="J893" s="272"/>
    </row>
    <row r="894" spans="1:10" x14ac:dyDescent="0.3">
      <c r="A894" s="55"/>
      <c r="E894" s="236"/>
      <c r="H894" s="232"/>
      <c r="I894" s="272"/>
      <c r="J894" s="272"/>
    </row>
    <row r="895" spans="1:10" x14ac:dyDescent="0.3">
      <c r="A895" s="55"/>
      <c r="E895" s="236"/>
      <c r="H895" s="232"/>
      <c r="I895" s="272"/>
      <c r="J895" s="272"/>
    </row>
    <row r="896" spans="1:10" x14ac:dyDescent="0.3">
      <c r="A896" s="55"/>
      <c r="E896" s="236"/>
      <c r="H896" s="232"/>
      <c r="I896" s="272"/>
      <c r="J896" s="272"/>
    </row>
    <row r="897" spans="1:10" x14ac:dyDescent="0.3">
      <c r="A897" s="55"/>
      <c r="E897" s="236"/>
      <c r="H897" s="232"/>
      <c r="I897" s="272"/>
      <c r="J897" s="272"/>
    </row>
    <row r="898" spans="1:10" x14ac:dyDescent="0.3">
      <c r="A898" s="55"/>
      <c r="E898" s="236"/>
      <c r="H898" s="232"/>
      <c r="I898" s="272"/>
      <c r="J898" s="272"/>
    </row>
    <row r="899" spans="1:10" x14ac:dyDescent="0.3">
      <c r="A899" s="55"/>
      <c r="E899" s="236"/>
      <c r="H899" s="232"/>
      <c r="I899" s="272"/>
      <c r="J899" s="272"/>
    </row>
    <row r="900" spans="1:10" x14ac:dyDescent="0.3">
      <c r="A900" s="55"/>
      <c r="E900" s="236"/>
      <c r="H900" s="232"/>
      <c r="I900" s="272"/>
      <c r="J900" s="272"/>
    </row>
    <row r="901" spans="1:10" x14ac:dyDescent="0.3">
      <c r="A901" s="55"/>
      <c r="E901" s="236"/>
      <c r="H901" s="232"/>
      <c r="I901" s="272"/>
      <c r="J901" s="272"/>
    </row>
    <row r="902" spans="1:10" x14ac:dyDescent="0.3">
      <c r="A902" s="55"/>
      <c r="E902" s="236"/>
      <c r="H902" s="232"/>
      <c r="I902" s="272"/>
      <c r="J902" s="272"/>
    </row>
    <row r="903" spans="1:10" x14ac:dyDescent="0.3">
      <c r="A903" s="55"/>
      <c r="E903" s="236"/>
      <c r="H903" s="232"/>
      <c r="I903" s="272"/>
      <c r="J903" s="272"/>
    </row>
    <row r="904" spans="1:10" x14ac:dyDescent="0.3">
      <c r="A904" s="55"/>
      <c r="E904" s="236"/>
      <c r="H904" s="232"/>
      <c r="I904" s="272"/>
      <c r="J904" s="272"/>
    </row>
    <row r="905" spans="1:10" x14ac:dyDescent="0.3">
      <c r="A905" s="55"/>
      <c r="E905" s="236"/>
      <c r="H905" s="232"/>
      <c r="I905" s="272"/>
      <c r="J905" s="272"/>
    </row>
    <row r="906" spans="1:10" x14ac:dyDescent="0.3">
      <c r="A906" s="55"/>
      <c r="E906" s="236"/>
      <c r="H906" s="232"/>
      <c r="I906" s="272"/>
      <c r="J906" s="272"/>
    </row>
    <row r="907" spans="1:10" x14ac:dyDescent="0.3">
      <c r="A907" s="55"/>
      <c r="E907" s="236"/>
      <c r="H907" s="232"/>
      <c r="I907" s="272"/>
      <c r="J907" s="272"/>
    </row>
    <row r="908" spans="1:10" x14ac:dyDescent="0.3">
      <c r="A908" s="55"/>
      <c r="E908" s="236"/>
      <c r="H908" s="232"/>
      <c r="I908" s="272"/>
      <c r="J908" s="272"/>
    </row>
    <row r="909" spans="1:10" x14ac:dyDescent="0.3">
      <c r="A909" s="55"/>
      <c r="E909" s="236"/>
      <c r="H909" s="232"/>
      <c r="I909" s="272"/>
      <c r="J909" s="272"/>
    </row>
    <row r="910" spans="1:10" x14ac:dyDescent="0.3">
      <c r="A910" s="55"/>
      <c r="E910" s="236"/>
      <c r="H910" s="232"/>
      <c r="I910" s="272"/>
      <c r="J910" s="272"/>
    </row>
    <row r="911" spans="1:10" x14ac:dyDescent="0.3">
      <c r="A911" s="55"/>
      <c r="E911" s="236"/>
      <c r="H911" s="232"/>
      <c r="I911" s="272"/>
      <c r="J911" s="272"/>
    </row>
    <row r="912" spans="1:10" x14ac:dyDescent="0.3">
      <c r="A912" s="55"/>
      <c r="E912" s="236"/>
      <c r="H912" s="232"/>
      <c r="I912" s="272"/>
      <c r="J912" s="272"/>
    </row>
    <row r="913" spans="1:10" x14ac:dyDescent="0.3">
      <c r="A913" s="55"/>
      <c r="E913" s="236"/>
      <c r="H913" s="232"/>
      <c r="I913" s="272"/>
      <c r="J913" s="272"/>
    </row>
    <row r="914" spans="1:10" x14ac:dyDescent="0.3">
      <c r="A914" s="55"/>
      <c r="E914" s="236"/>
      <c r="H914" s="232"/>
      <c r="I914" s="272"/>
      <c r="J914" s="272"/>
    </row>
    <row r="915" spans="1:10" x14ac:dyDescent="0.3">
      <c r="A915" s="55"/>
      <c r="E915" s="236"/>
      <c r="H915" s="232"/>
      <c r="I915" s="272"/>
      <c r="J915" s="272"/>
    </row>
    <row r="916" spans="1:10" x14ac:dyDescent="0.3">
      <c r="A916" s="55"/>
      <c r="E916" s="236"/>
      <c r="H916" s="232"/>
      <c r="I916" s="272"/>
      <c r="J916" s="272"/>
    </row>
    <row r="917" spans="1:10" x14ac:dyDescent="0.3">
      <c r="A917" s="55"/>
      <c r="E917" s="236"/>
      <c r="H917" s="232"/>
      <c r="I917" s="272"/>
      <c r="J917" s="272"/>
    </row>
    <row r="918" spans="1:10" x14ac:dyDescent="0.3">
      <c r="A918" s="55"/>
      <c r="E918" s="236"/>
      <c r="H918" s="232"/>
      <c r="I918" s="272"/>
      <c r="J918" s="272"/>
    </row>
    <row r="919" spans="1:10" x14ac:dyDescent="0.3">
      <c r="A919" s="55"/>
      <c r="E919" s="236"/>
      <c r="H919" s="232"/>
      <c r="I919" s="272"/>
      <c r="J919" s="272"/>
    </row>
    <row r="920" spans="1:10" x14ac:dyDescent="0.3">
      <c r="A920" s="55"/>
      <c r="E920" s="236"/>
      <c r="H920" s="232"/>
      <c r="I920" s="272"/>
      <c r="J920" s="272"/>
    </row>
    <row r="921" spans="1:10" x14ac:dyDescent="0.3">
      <c r="A921" s="55"/>
      <c r="E921" s="236"/>
      <c r="H921" s="232"/>
      <c r="I921" s="272"/>
      <c r="J921" s="272"/>
    </row>
    <row r="922" spans="1:10" x14ac:dyDescent="0.3">
      <c r="A922" s="55"/>
      <c r="E922" s="236"/>
      <c r="H922" s="232"/>
      <c r="I922" s="272"/>
      <c r="J922" s="272"/>
    </row>
    <row r="923" spans="1:10" x14ac:dyDescent="0.3">
      <c r="A923" s="55"/>
      <c r="E923" s="236"/>
      <c r="H923" s="232"/>
      <c r="I923" s="272"/>
      <c r="J923" s="272"/>
    </row>
    <row r="924" spans="1:10" x14ac:dyDescent="0.3">
      <c r="A924" s="55"/>
      <c r="E924" s="236"/>
      <c r="H924" s="232"/>
      <c r="I924" s="272"/>
      <c r="J924" s="272"/>
    </row>
    <row r="925" spans="1:10" x14ac:dyDescent="0.3">
      <c r="A925" s="55"/>
      <c r="E925" s="236"/>
      <c r="H925" s="232"/>
      <c r="I925" s="272"/>
      <c r="J925" s="272"/>
    </row>
    <row r="926" spans="1:10" x14ac:dyDescent="0.3">
      <c r="A926" s="55"/>
      <c r="E926" s="236"/>
      <c r="H926" s="232"/>
      <c r="I926" s="272"/>
      <c r="J926" s="272"/>
    </row>
    <row r="927" spans="1:10" x14ac:dyDescent="0.3">
      <c r="A927" s="55"/>
      <c r="E927" s="236"/>
      <c r="H927" s="232"/>
      <c r="I927" s="272"/>
      <c r="J927" s="272"/>
    </row>
    <row r="928" spans="1:10" x14ac:dyDescent="0.3">
      <c r="A928" s="55"/>
      <c r="E928" s="236"/>
      <c r="H928" s="232"/>
      <c r="I928" s="272"/>
      <c r="J928" s="272"/>
    </row>
    <row r="929" spans="1:10" x14ac:dyDescent="0.3">
      <c r="A929" s="55"/>
      <c r="E929" s="236"/>
      <c r="H929" s="232"/>
      <c r="I929" s="272"/>
      <c r="J929" s="272"/>
    </row>
    <row r="930" spans="1:10" x14ac:dyDescent="0.3">
      <c r="A930" s="55"/>
      <c r="E930" s="236"/>
      <c r="H930" s="232"/>
      <c r="I930" s="272"/>
      <c r="J930" s="272"/>
    </row>
    <row r="931" spans="1:10" x14ac:dyDescent="0.3">
      <c r="A931" s="55"/>
      <c r="E931" s="236"/>
      <c r="H931" s="232"/>
      <c r="I931" s="272"/>
      <c r="J931" s="272"/>
    </row>
    <row r="932" spans="1:10" x14ac:dyDescent="0.3">
      <c r="A932" s="55"/>
      <c r="E932" s="236"/>
      <c r="H932" s="232"/>
      <c r="I932" s="272"/>
      <c r="J932" s="272"/>
    </row>
    <row r="933" spans="1:10" x14ac:dyDescent="0.3">
      <c r="A933" s="55"/>
      <c r="E933" s="236"/>
      <c r="H933" s="232"/>
      <c r="I933" s="272"/>
      <c r="J933" s="272"/>
    </row>
    <row r="934" spans="1:10" x14ac:dyDescent="0.3">
      <c r="A934" s="55"/>
      <c r="E934" s="236"/>
      <c r="H934" s="232"/>
      <c r="I934" s="272"/>
      <c r="J934" s="272"/>
    </row>
    <row r="935" spans="1:10" x14ac:dyDescent="0.3">
      <c r="A935" s="55"/>
      <c r="E935" s="236"/>
      <c r="H935" s="232"/>
      <c r="I935" s="272"/>
      <c r="J935" s="272"/>
    </row>
    <row r="936" spans="1:10" x14ac:dyDescent="0.3">
      <c r="A936" s="55"/>
      <c r="E936" s="236"/>
      <c r="H936" s="232"/>
      <c r="I936" s="272"/>
      <c r="J936" s="272"/>
    </row>
    <row r="937" spans="1:10" x14ac:dyDescent="0.3">
      <c r="A937" s="55"/>
      <c r="E937" s="236"/>
      <c r="H937" s="232"/>
      <c r="I937" s="272"/>
      <c r="J937" s="272"/>
    </row>
    <row r="938" spans="1:10" x14ac:dyDescent="0.3">
      <c r="A938" s="55"/>
      <c r="E938" s="236"/>
      <c r="H938" s="232"/>
      <c r="I938" s="272"/>
      <c r="J938" s="272"/>
    </row>
    <row r="939" spans="1:10" x14ac:dyDescent="0.3">
      <c r="A939" s="55"/>
      <c r="E939" s="236"/>
      <c r="H939" s="232"/>
      <c r="I939" s="272"/>
      <c r="J939" s="272"/>
    </row>
    <row r="940" spans="1:10" x14ac:dyDescent="0.3">
      <c r="A940" s="55"/>
      <c r="E940" s="236"/>
      <c r="H940" s="232"/>
      <c r="I940" s="272"/>
      <c r="J940" s="272"/>
    </row>
    <row r="941" spans="1:10" x14ac:dyDescent="0.3">
      <c r="A941" s="55"/>
      <c r="E941" s="236"/>
      <c r="H941" s="232"/>
      <c r="I941" s="272"/>
      <c r="J941" s="272"/>
    </row>
    <row r="942" spans="1:10" x14ac:dyDescent="0.3">
      <c r="A942" s="55"/>
      <c r="E942" s="236"/>
      <c r="H942" s="232"/>
      <c r="I942" s="272"/>
      <c r="J942" s="272"/>
    </row>
    <row r="943" spans="1:10" x14ac:dyDescent="0.3">
      <c r="A943" s="55"/>
      <c r="E943" s="236"/>
      <c r="H943" s="232"/>
      <c r="I943" s="272"/>
      <c r="J943" s="272"/>
    </row>
    <row r="944" spans="1:10" x14ac:dyDescent="0.3">
      <c r="A944" s="55"/>
      <c r="E944" s="236"/>
      <c r="H944" s="232"/>
      <c r="I944" s="272"/>
      <c r="J944" s="272"/>
    </row>
    <row r="945" spans="1:10" x14ac:dyDescent="0.3">
      <c r="A945" s="55"/>
      <c r="E945" s="236"/>
      <c r="H945" s="232"/>
      <c r="I945" s="272"/>
      <c r="J945" s="272"/>
    </row>
    <row r="946" spans="1:10" x14ac:dyDescent="0.3">
      <c r="A946" s="55"/>
      <c r="E946" s="236"/>
      <c r="H946" s="232"/>
      <c r="I946" s="272"/>
      <c r="J946" s="272"/>
    </row>
    <row r="947" spans="1:10" x14ac:dyDescent="0.3">
      <c r="A947" s="55"/>
      <c r="E947" s="236"/>
      <c r="H947" s="232"/>
      <c r="I947" s="272"/>
      <c r="J947" s="272"/>
    </row>
    <row r="948" spans="1:10" x14ac:dyDescent="0.3">
      <c r="A948" s="55"/>
      <c r="E948" s="236"/>
      <c r="H948" s="232"/>
      <c r="I948" s="272"/>
      <c r="J948" s="272"/>
    </row>
    <row r="949" spans="1:10" x14ac:dyDescent="0.3">
      <c r="A949" s="55"/>
      <c r="E949" s="236"/>
      <c r="H949" s="232"/>
      <c r="I949" s="272"/>
      <c r="J949" s="272"/>
    </row>
    <row r="950" spans="1:10" x14ac:dyDescent="0.3">
      <c r="A950" s="55"/>
      <c r="E950" s="236"/>
      <c r="H950" s="232"/>
      <c r="I950" s="272"/>
      <c r="J950" s="272"/>
    </row>
    <row r="951" spans="1:10" x14ac:dyDescent="0.3">
      <c r="A951" s="55"/>
      <c r="E951" s="236"/>
      <c r="H951" s="232"/>
      <c r="I951" s="272"/>
      <c r="J951" s="272"/>
    </row>
    <row r="952" spans="1:10" x14ac:dyDescent="0.3">
      <c r="A952" s="55"/>
      <c r="E952" s="236"/>
      <c r="H952" s="232"/>
      <c r="I952" s="272"/>
      <c r="J952" s="272"/>
    </row>
    <row r="953" spans="1:10" x14ac:dyDescent="0.3">
      <c r="A953" s="55"/>
      <c r="E953" s="236"/>
      <c r="H953" s="232"/>
      <c r="I953" s="272"/>
      <c r="J953" s="272"/>
    </row>
    <row r="954" spans="1:10" x14ac:dyDescent="0.3">
      <c r="A954" s="55"/>
      <c r="E954" s="236"/>
      <c r="H954" s="232"/>
      <c r="I954" s="272"/>
      <c r="J954" s="272"/>
    </row>
    <row r="955" spans="1:10" x14ac:dyDescent="0.3">
      <c r="A955" s="55"/>
      <c r="E955" s="236"/>
      <c r="H955" s="232"/>
      <c r="I955" s="272"/>
      <c r="J955" s="272"/>
    </row>
    <row r="956" spans="1:10" x14ac:dyDescent="0.3">
      <c r="A956" s="55"/>
      <c r="E956" s="236"/>
      <c r="H956" s="232"/>
      <c r="I956" s="272"/>
      <c r="J956" s="272"/>
    </row>
    <row r="957" spans="1:10" x14ac:dyDescent="0.3">
      <c r="A957" s="55"/>
      <c r="E957" s="236"/>
      <c r="H957" s="232"/>
      <c r="I957" s="272"/>
      <c r="J957" s="272"/>
    </row>
    <row r="958" spans="1:10" x14ac:dyDescent="0.3">
      <c r="A958" s="55"/>
      <c r="E958" s="236"/>
      <c r="H958" s="232"/>
      <c r="I958" s="272"/>
      <c r="J958" s="272"/>
    </row>
    <row r="959" spans="1:10" x14ac:dyDescent="0.3">
      <c r="A959" s="55"/>
      <c r="E959" s="236"/>
      <c r="H959" s="232"/>
      <c r="I959" s="272"/>
      <c r="J959" s="272"/>
    </row>
    <row r="960" spans="1:10" x14ac:dyDescent="0.3">
      <c r="A960" s="55"/>
      <c r="E960" s="236"/>
      <c r="H960" s="232"/>
      <c r="I960" s="272"/>
      <c r="J960" s="272"/>
    </row>
    <row r="961" spans="1:10" x14ac:dyDescent="0.3">
      <c r="A961" s="55"/>
      <c r="E961" s="236"/>
      <c r="H961" s="232"/>
      <c r="I961" s="272"/>
      <c r="J961" s="272"/>
    </row>
    <row r="962" spans="1:10" x14ac:dyDescent="0.3">
      <c r="A962" s="55"/>
      <c r="E962" s="236"/>
      <c r="H962" s="232"/>
      <c r="I962" s="272"/>
      <c r="J962" s="272"/>
    </row>
    <row r="963" spans="1:10" x14ac:dyDescent="0.3">
      <c r="A963" s="55"/>
      <c r="E963" s="236"/>
      <c r="H963" s="232"/>
      <c r="I963" s="272"/>
      <c r="J963" s="272"/>
    </row>
    <row r="964" spans="1:10" x14ac:dyDescent="0.3">
      <c r="A964" s="55"/>
      <c r="E964" s="236"/>
      <c r="H964" s="232"/>
      <c r="I964" s="272"/>
      <c r="J964" s="272"/>
    </row>
    <row r="965" spans="1:10" x14ac:dyDescent="0.3">
      <c r="A965" s="55"/>
      <c r="E965" s="236"/>
      <c r="H965" s="232"/>
      <c r="I965" s="272"/>
      <c r="J965" s="272"/>
    </row>
    <row r="966" spans="1:10" x14ac:dyDescent="0.3">
      <c r="A966" s="55"/>
      <c r="E966" s="236"/>
      <c r="H966" s="232"/>
      <c r="I966" s="272"/>
      <c r="J966" s="272"/>
    </row>
    <row r="967" spans="1:10" x14ac:dyDescent="0.3">
      <c r="A967" s="55"/>
      <c r="E967" s="236"/>
      <c r="H967" s="232"/>
      <c r="I967" s="272"/>
      <c r="J967" s="272"/>
    </row>
    <row r="968" spans="1:10" x14ac:dyDescent="0.3">
      <c r="A968" s="55"/>
      <c r="E968" s="236"/>
      <c r="H968" s="232"/>
      <c r="I968" s="272"/>
      <c r="J968" s="272"/>
    </row>
    <row r="969" spans="1:10" x14ac:dyDescent="0.3">
      <c r="A969" s="55"/>
      <c r="E969" s="236"/>
      <c r="H969" s="232"/>
      <c r="I969" s="272"/>
      <c r="J969" s="272"/>
    </row>
    <row r="970" spans="1:10" x14ac:dyDescent="0.3">
      <c r="A970" s="55"/>
      <c r="E970" s="236"/>
      <c r="I970" s="236"/>
      <c r="J970" s="236"/>
    </row>
    <row r="971" spans="1:10" x14ac:dyDescent="0.3">
      <c r="A971" s="55"/>
      <c r="E971" s="236"/>
      <c r="I971" s="236"/>
      <c r="J971" s="236"/>
    </row>
    <row r="972" spans="1:10" x14ac:dyDescent="0.3">
      <c r="A972" s="55"/>
      <c r="E972" s="236"/>
      <c r="I972" s="236"/>
      <c r="J972" s="236"/>
    </row>
    <row r="973" spans="1:10" x14ac:dyDescent="0.3">
      <c r="A973" s="55"/>
      <c r="E973" s="236"/>
      <c r="I973" s="236"/>
      <c r="J973" s="236"/>
    </row>
    <row r="974" spans="1:10" x14ac:dyDescent="0.3">
      <c r="A974" s="55"/>
      <c r="E974" s="236"/>
      <c r="I974" s="236"/>
      <c r="J974" s="236"/>
    </row>
    <row r="975" spans="1:10" x14ac:dyDescent="0.3">
      <c r="A975" s="55"/>
      <c r="E975" s="236"/>
      <c r="I975" s="236"/>
      <c r="J975" s="236"/>
    </row>
    <row r="976" spans="1:10" x14ac:dyDescent="0.3">
      <c r="A976" s="55"/>
      <c r="E976" s="236"/>
      <c r="I976" s="236"/>
      <c r="J976" s="236"/>
    </row>
    <row r="977" spans="1:10" x14ac:dyDescent="0.3">
      <c r="A977" s="55"/>
      <c r="E977" s="236"/>
      <c r="I977" s="236"/>
      <c r="J977" s="236"/>
    </row>
    <row r="978" spans="1:10" x14ac:dyDescent="0.3">
      <c r="A978" s="55"/>
      <c r="E978" s="236"/>
      <c r="I978" s="236"/>
      <c r="J978" s="236"/>
    </row>
    <row r="979" spans="1:10" x14ac:dyDescent="0.3">
      <c r="A979" s="55"/>
      <c r="E979" s="236"/>
      <c r="I979" s="236"/>
      <c r="J979" s="236"/>
    </row>
    <row r="980" spans="1:10" x14ac:dyDescent="0.3">
      <c r="A980" s="55"/>
      <c r="E980" s="236"/>
      <c r="I980" s="236"/>
      <c r="J980" s="236"/>
    </row>
    <row r="981" spans="1:10" x14ac:dyDescent="0.3">
      <c r="A981" s="55"/>
      <c r="E981" s="236"/>
      <c r="I981" s="236"/>
      <c r="J981" s="236"/>
    </row>
    <row r="982" spans="1:10" x14ac:dyDescent="0.3">
      <c r="A982" s="55"/>
      <c r="E982" s="236"/>
      <c r="I982" s="236"/>
      <c r="J982" s="236"/>
    </row>
    <row r="983" spans="1:10" x14ac:dyDescent="0.3">
      <c r="A983" s="55"/>
      <c r="E983" s="236"/>
      <c r="I983" s="236"/>
      <c r="J983" s="236"/>
    </row>
    <row r="984" spans="1:10" x14ac:dyDescent="0.3">
      <c r="A984" s="55"/>
      <c r="E984" s="236"/>
      <c r="I984" s="236"/>
      <c r="J984" s="236"/>
    </row>
    <row r="985" spans="1:10" x14ac:dyDescent="0.3">
      <c r="A985" s="55"/>
      <c r="E985" s="236"/>
      <c r="I985" s="236"/>
      <c r="J985" s="236"/>
    </row>
    <row r="986" spans="1:10" x14ac:dyDescent="0.3">
      <c r="A986" s="55"/>
      <c r="E986" s="236"/>
      <c r="I986" s="236"/>
      <c r="J986" s="236"/>
    </row>
    <row r="987" spans="1:10" x14ac:dyDescent="0.3">
      <c r="A987" s="55"/>
      <c r="E987" s="236"/>
      <c r="I987" s="236"/>
      <c r="J987" s="236"/>
    </row>
    <row r="988" spans="1:10" x14ac:dyDescent="0.3">
      <c r="A988" s="55"/>
      <c r="E988" s="236"/>
      <c r="I988" s="236"/>
      <c r="J988" s="236"/>
    </row>
    <row r="989" spans="1:10" x14ac:dyDescent="0.3">
      <c r="A989" s="55"/>
      <c r="E989" s="236"/>
      <c r="I989" s="236"/>
      <c r="J989" s="236"/>
    </row>
    <row r="990" spans="1:10" x14ac:dyDescent="0.3">
      <c r="A990" s="55"/>
      <c r="E990" s="236"/>
      <c r="I990" s="236"/>
      <c r="J990" s="236"/>
    </row>
    <row r="991" spans="1:10" x14ac:dyDescent="0.3">
      <c r="A991" s="55"/>
      <c r="E991" s="236"/>
      <c r="I991" s="236"/>
      <c r="J991" s="236"/>
    </row>
    <row r="992" spans="1:10" x14ac:dyDescent="0.3">
      <c r="A992" s="55"/>
      <c r="E992" s="236"/>
      <c r="I992" s="236"/>
      <c r="J992" s="236"/>
    </row>
    <row r="993" spans="1:10" x14ac:dyDescent="0.3">
      <c r="A993" s="55"/>
      <c r="E993" s="236"/>
      <c r="I993" s="236"/>
      <c r="J993" s="236"/>
    </row>
    <row r="994" spans="1:10" x14ac:dyDescent="0.3">
      <c r="A994" s="55"/>
      <c r="E994" s="236"/>
      <c r="I994" s="236"/>
      <c r="J994" s="236"/>
    </row>
    <row r="995" spans="1:10" x14ac:dyDescent="0.3">
      <c r="A995" s="55"/>
      <c r="E995" s="236"/>
      <c r="I995" s="236"/>
      <c r="J995" s="236"/>
    </row>
    <row r="996" spans="1:10" x14ac:dyDescent="0.3">
      <c r="A996" s="55"/>
      <c r="E996" s="236"/>
      <c r="I996" s="236"/>
      <c r="J996" s="236"/>
    </row>
    <row r="997" spans="1:10" x14ac:dyDescent="0.3">
      <c r="A997" s="55"/>
      <c r="E997" s="236"/>
      <c r="I997" s="236"/>
      <c r="J997" s="236"/>
    </row>
    <row r="998" spans="1:10" x14ac:dyDescent="0.3">
      <c r="A998" s="55"/>
      <c r="E998" s="236"/>
      <c r="I998" s="236"/>
      <c r="J998" s="236"/>
    </row>
    <row r="999" spans="1:10" x14ac:dyDescent="0.3">
      <c r="A999" s="55"/>
      <c r="E999" s="236"/>
      <c r="I999" s="236"/>
      <c r="J999" s="236"/>
    </row>
    <row r="1000" spans="1:10" x14ac:dyDescent="0.3">
      <c r="A1000" s="55"/>
      <c r="E1000" s="236"/>
      <c r="I1000" s="236"/>
      <c r="J1000" s="236"/>
    </row>
    <row r="1001" spans="1:10" x14ac:dyDescent="0.3">
      <c r="A1001" s="55"/>
      <c r="E1001" s="236"/>
      <c r="I1001" s="236"/>
      <c r="J1001" s="236"/>
    </row>
    <row r="1002" spans="1:10" x14ac:dyDescent="0.3">
      <c r="A1002" s="55"/>
      <c r="E1002" s="236"/>
      <c r="I1002" s="236"/>
      <c r="J1002" s="236"/>
    </row>
    <row r="1003" spans="1:10" x14ac:dyDescent="0.3">
      <c r="A1003" s="55"/>
      <c r="E1003" s="236"/>
      <c r="I1003" s="236"/>
      <c r="J1003" s="236"/>
    </row>
    <row r="1004" spans="1:10" x14ac:dyDescent="0.3">
      <c r="A1004" s="55"/>
      <c r="E1004" s="236"/>
      <c r="I1004" s="236"/>
      <c r="J1004" s="236"/>
    </row>
    <row r="1005" spans="1:10" x14ac:dyDescent="0.3">
      <c r="A1005" s="55"/>
      <c r="E1005" s="236"/>
      <c r="I1005" s="236"/>
      <c r="J1005" s="236"/>
    </row>
    <row r="1006" spans="1:10" x14ac:dyDescent="0.3">
      <c r="A1006" s="55"/>
      <c r="E1006" s="236"/>
      <c r="I1006" s="236"/>
      <c r="J1006" s="236"/>
    </row>
    <row r="1007" spans="1:10" x14ac:dyDescent="0.3">
      <c r="A1007" s="55"/>
      <c r="E1007" s="236"/>
      <c r="I1007" s="236"/>
      <c r="J1007" s="236"/>
    </row>
    <row r="1008" spans="1:10" x14ac:dyDescent="0.3">
      <c r="A1008" s="55"/>
      <c r="E1008" s="236"/>
      <c r="I1008" s="236"/>
      <c r="J1008" s="236"/>
    </row>
    <row r="1009" spans="1:10" x14ac:dyDescent="0.3">
      <c r="A1009" s="55"/>
      <c r="E1009" s="236"/>
      <c r="I1009" s="236"/>
      <c r="J1009" s="236"/>
    </row>
    <row r="1010" spans="1:10" x14ac:dyDescent="0.3">
      <c r="A1010" s="55"/>
      <c r="E1010" s="236"/>
      <c r="I1010" s="236"/>
      <c r="J1010" s="236"/>
    </row>
    <row r="1011" spans="1:10" x14ac:dyDescent="0.3">
      <c r="A1011" s="55"/>
      <c r="E1011" s="236"/>
      <c r="I1011" s="236"/>
      <c r="J1011" s="236"/>
    </row>
    <row r="1012" spans="1:10" x14ac:dyDescent="0.3">
      <c r="A1012" s="55"/>
      <c r="E1012" s="236"/>
      <c r="I1012" s="236"/>
      <c r="J1012" s="236"/>
    </row>
    <row r="1013" spans="1:10" x14ac:dyDescent="0.3">
      <c r="A1013" s="55"/>
      <c r="E1013" s="236"/>
      <c r="I1013" s="236"/>
      <c r="J1013" s="236"/>
    </row>
    <row r="1014" spans="1:10" x14ac:dyDescent="0.3">
      <c r="A1014" s="55"/>
      <c r="E1014" s="236"/>
      <c r="I1014" s="236"/>
      <c r="J1014" s="236"/>
    </row>
    <row r="1015" spans="1:10" x14ac:dyDescent="0.3">
      <c r="A1015" s="55"/>
      <c r="E1015" s="236"/>
      <c r="I1015" s="236"/>
      <c r="J1015" s="236"/>
    </row>
    <row r="1016" spans="1:10" x14ac:dyDescent="0.3">
      <c r="A1016" s="55"/>
      <c r="E1016" s="236"/>
      <c r="I1016" s="236"/>
      <c r="J1016" s="236"/>
    </row>
    <row r="1017" spans="1:10" x14ac:dyDescent="0.3">
      <c r="A1017" s="55"/>
      <c r="E1017" s="236"/>
      <c r="I1017" s="236"/>
      <c r="J1017" s="236"/>
    </row>
    <row r="1018" spans="1:10" x14ac:dyDescent="0.3">
      <c r="A1018" s="55"/>
      <c r="E1018" s="236"/>
      <c r="I1018" s="236"/>
      <c r="J1018" s="236"/>
    </row>
    <row r="1019" spans="1:10" x14ac:dyDescent="0.3">
      <c r="A1019" s="55"/>
      <c r="E1019" s="236"/>
      <c r="I1019" s="236"/>
      <c r="J1019" s="236"/>
    </row>
    <row r="1020" spans="1:10" x14ac:dyDescent="0.3">
      <c r="A1020" s="55"/>
      <c r="E1020" s="236"/>
      <c r="I1020" s="236"/>
      <c r="J1020" s="236"/>
    </row>
    <row r="1021" spans="1:10" x14ac:dyDescent="0.3">
      <c r="A1021" s="55"/>
      <c r="E1021" s="236"/>
      <c r="I1021" s="236"/>
      <c r="J1021" s="236"/>
    </row>
    <row r="1022" spans="1:10" x14ac:dyDescent="0.3">
      <c r="A1022" s="55"/>
      <c r="E1022" s="236"/>
      <c r="I1022" s="236"/>
      <c r="J1022" s="236"/>
    </row>
    <row r="1023" spans="1:10" x14ac:dyDescent="0.3">
      <c r="A1023" s="55"/>
      <c r="E1023" s="236"/>
      <c r="I1023" s="236"/>
      <c r="J1023" s="236"/>
    </row>
    <row r="1024" spans="1:10" x14ac:dyDescent="0.3">
      <c r="A1024" s="55"/>
      <c r="E1024" s="236"/>
      <c r="I1024" s="236"/>
      <c r="J1024" s="236"/>
    </row>
    <row r="1025" spans="1:10" x14ac:dyDescent="0.3">
      <c r="A1025" s="55"/>
      <c r="E1025" s="236"/>
      <c r="I1025" s="236"/>
      <c r="J1025" s="236"/>
    </row>
    <row r="1026" spans="1:10" x14ac:dyDescent="0.3">
      <c r="A1026" s="55"/>
      <c r="E1026" s="236"/>
      <c r="I1026" s="236"/>
      <c r="J1026" s="236"/>
    </row>
    <row r="1027" spans="1:10" x14ac:dyDescent="0.3">
      <c r="A1027" s="55"/>
      <c r="E1027" s="236"/>
      <c r="I1027" s="236"/>
      <c r="J1027" s="236"/>
    </row>
    <row r="1028" spans="1:10" x14ac:dyDescent="0.3">
      <c r="A1028" s="55"/>
      <c r="E1028" s="236"/>
      <c r="I1028" s="236"/>
      <c r="J1028" s="236"/>
    </row>
    <row r="1029" spans="1:10" x14ac:dyDescent="0.3">
      <c r="A1029" s="55"/>
      <c r="E1029" s="236"/>
      <c r="I1029" s="236"/>
      <c r="J1029" s="236"/>
    </row>
    <row r="1030" spans="1:10" x14ac:dyDescent="0.3">
      <c r="A1030" s="55"/>
      <c r="E1030" s="236"/>
      <c r="I1030" s="236"/>
      <c r="J1030" s="236"/>
    </row>
    <row r="1031" spans="1:10" x14ac:dyDescent="0.3">
      <c r="A1031" s="55"/>
      <c r="E1031" s="236"/>
      <c r="I1031" s="236"/>
      <c r="J1031" s="236"/>
    </row>
    <row r="1032" spans="1:10" x14ac:dyDescent="0.3">
      <c r="A1032" s="55"/>
      <c r="E1032" s="236"/>
      <c r="I1032" s="236"/>
      <c r="J1032" s="236"/>
    </row>
    <row r="1033" spans="1:10" x14ac:dyDescent="0.3">
      <c r="A1033" s="55"/>
      <c r="E1033" s="236"/>
      <c r="I1033" s="236"/>
      <c r="J1033" s="236"/>
    </row>
    <row r="1034" spans="1:10" x14ac:dyDescent="0.3">
      <c r="A1034" s="55"/>
      <c r="E1034" s="236"/>
      <c r="I1034" s="236"/>
      <c r="J1034" s="236"/>
    </row>
    <row r="1035" spans="1:10" x14ac:dyDescent="0.3">
      <c r="A1035" s="55"/>
      <c r="E1035" s="236"/>
      <c r="I1035" s="236"/>
      <c r="J1035" s="236"/>
    </row>
    <row r="1036" spans="1:10" x14ac:dyDescent="0.3">
      <c r="A1036" s="55"/>
      <c r="E1036" s="236"/>
      <c r="I1036" s="236"/>
      <c r="J1036" s="236"/>
    </row>
    <row r="1037" spans="1:10" x14ac:dyDescent="0.3">
      <c r="A1037" s="55"/>
      <c r="E1037" s="236"/>
      <c r="I1037" s="236"/>
      <c r="J1037" s="236"/>
    </row>
    <row r="1038" spans="1:10" x14ac:dyDescent="0.3">
      <c r="A1038" s="55"/>
      <c r="E1038" s="236"/>
      <c r="I1038" s="236"/>
      <c r="J1038" s="236"/>
    </row>
    <row r="1039" spans="1:10" x14ac:dyDescent="0.3">
      <c r="A1039" s="55"/>
      <c r="E1039" s="236"/>
      <c r="I1039" s="236"/>
      <c r="J1039" s="236"/>
    </row>
    <row r="1040" spans="1:10" x14ac:dyDescent="0.3">
      <c r="A1040" s="55"/>
      <c r="E1040" s="236"/>
      <c r="I1040" s="236"/>
      <c r="J1040" s="236"/>
    </row>
    <row r="1041" spans="1:10" x14ac:dyDescent="0.3">
      <c r="A1041" s="55"/>
      <c r="E1041" s="236"/>
      <c r="I1041" s="236"/>
      <c r="J1041" s="236"/>
    </row>
    <row r="1042" spans="1:10" x14ac:dyDescent="0.3">
      <c r="A1042" s="55"/>
      <c r="E1042" s="236"/>
      <c r="I1042" s="236"/>
      <c r="J1042" s="236"/>
    </row>
    <row r="1043" spans="1:10" x14ac:dyDescent="0.3">
      <c r="A1043" s="55"/>
      <c r="E1043" s="236"/>
      <c r="I1043" s="236"/>
      <c r="J1043" s="236"/>
    </row>
    <row r="1044" spans="1:10" x14ac:dyDescent="0.3">
      <c r="A1044" s="55"/>
      <c r="E1044" s="236"/>
      <c r="I1044" s="236"/>
      <c r="J1044" s="236"/>
    </row>
    <row r="1045" spans="1:10" x14ac:dyDescent="0.3">
      <c r="A1045" s="55"/>
      <c r="E1045" s="236"/>
      <c r="I1045" s="236"/>
      <c r="J1045" s="236"/>
    </row>
    <row r="1046" spans="1:10" x14ac:dyDescent="0.3">
      <c r="A1046" s="55"/>
      <c r="E1046" s="236"/>
      <c r="I1046" s="236"/>
      <c r="J1046" s="236"/>
    </row>
    <row r="1047" spans="1:10" x14ac:dyDescent="0.3">
      <c r="A1047" s="55"/>
      <c r="E1047" s="236"/>
      <c r="I1047" s="236"/>
      <c r="J1047" s="236"/>
    </row>
    <row r="1048" spans="1:10" x14ac:dyDescent="0.3">
      <c r="A1048" s="55"/>
      <c r="E1048" s="236"/>
      <c r="I1048" s="236"/>
      <c r="J1048" s="236"/>
    </row>
    <row r="1049" spans="1:10" x14ac:dyDescent="0.3">
      <c r="A1049" s="55"/>
      <c r="E1049" s="236"/>
      <c r="I1049" s="236"/>
      <c r="J1049" s="236"/>
    </row>
    <row r="1050" spans="1:10" x14ac:dyDescent="0.3">
      <c r="A1050" s="55"/>
      <c r="E1050" s="236"/>
      <c r="I1050" s="236"/>
      <c r="J1050" s="236"/>
    </row>
    <row r="1051" spans="1:10" x14ac:dyDescent="0.3">
      <c r="A1051" s="55"/>
      <c r="I1051" s="236"/>
      <c r="J1051" s="236"/>
    </row>
    <row r="1052" spans="1:10" x14ac:dyDescent="0.3">
      <c r="A1052" s="55"/>
      <c r="I1052" s="236"/>
      <c r="J1052" s="236"/>
    </row>
    <row r="1053" spans="1:10" x14ac:dyDescent="0.3">
      <c r="A1053" s="55"/>
      <c r="I1053" s="236"/>
      <c r="J1053" s="236"/>
    </row>
    <row r="1054" spans="1:10" x14ac:dyDescent="0.3">
      <c r="A1054" s="55"/>
      <c r="I1054" s="236"/>
      <c r="J1054" s="236"/>
    </row>
    <row r="1055" spans="1:10" x14ac:dyDescent="0.3">
      <c r="A1055" s="55"/>
      <c r="I1055" s="236"/>
      <c r="J1055" s="236"/>
    </row>
    <row r="1056" spans="1:10" x14ac:dyDescent="0.3">
      <c r="A1056" s="55"/>
      <c r="I1056" s="236"/>
      <c r="J1056" s="236"/>
    </row>
    <row r="1057" spans="1:10" x14ac:dyDescent="0.3">
      <c r="A1057" s="55"/>
      <c r="I1057" s="236"/>
      <c r="J1057" s="236"/>
    </row>
    <row r="1058" spans="1:10" x14ac:dyDescent="0.3">
      <c r="A1058" s="55"/>
      <c r="I1058" s="236"/>
      <c r="J1058" s="236"/>
    </row>
    <row r="1059" spans="1:10" x14ac:dyDescent="0.3">
      <c r="A1059" s="55"/>
      <c r="I1059" s="236"/>
      <c r="J1059" s="236"/>
    </row>
    <row r="1060" spans="1:10" x14ac:dyDescent="0.3">
      <c r="A1060" s="55"/>
      <c r="I1060" s="236"/>
      <c r="J1060" s="236"/>
    </row>
    <row r="1061" spans="1:10" x14ac:dyDescent="0.3">
      <c r="A1061" s="55"/>
      <c r="I1061" s="236"/>
      <c r="J1061" s="236"/>
    </row>
    <row r="1062" spans="1:10" x14ac:dyDescent="0.3">
      <c r="A1062" s="55"/>
      <c r="I1062" s="236"/>
      <c r="J1062" s="236"/>
    </row>
    <row r="1063" spans="1:10" x14ac:dyDescent="0.3">
      <c r="A1063" s="55"/>
      <c r="I1063" s="236"/>
      <c r="J1063" s="236"/>
    </row>
    <row r="1064" spans="1:10" x14ac:dyDescent="0.3">
      <c r="A1064" s="55"/>
      <c r="I1064" s="236"/>
      <c r="J1064" s="236"/>
    </row>
    <row r="1065" spans="1:10" x14ac:dyDescent="0.3">
      <c r="A1065" s="55"/>
      <c r="I1065" s="236"/>
      <c r="J1065" s="236"/>
    </row>
    <row r="1066" spans="1:10" x14ac:dyDescent="0.3">
      <c r="A1066" s="55"/>
      <c r="I1066" s="236"/>
      <c r="J1066" s="236"/>
    </row>
    <row r="1067" spans="1:10" x14ac:dyDescent="0.3">
      <c r="A1067" s="55"/>
      <c r="I1067" s="236"/>
      <c r="J1067" s="236"/>
    </row>
    <row r="1068" spans="1:10" x14ac:dyDescent="0.3">
      <c r="A1068" s="55"/>
      <c r="I1068" s="236"/>
      <c r="J1068" s="236"/>
    </row>
    <row r="1069" spans="1:10" x14ac:dyDescent="0.3">
      <c r="A1069" s="55"/>
      <c r="I1069" s="236"/>
      <c r="J1069" s="236"/>
    </row>
    <row r="1070" spans="1:10" x14ac:dyDescent="0.3">
      <c r="A1070" s="55"/>
      <c r="I1070" s="236"/>
      <c r="J1070" s="236"/>
    </row>
    <row r="1071" spans="1:10" x14ac:dyDescent="0.3">
      <c r="A1071" s="55"/>
      <c r="I1071" s="236"/>
      <c r="J1071" s="236"/>
    </row>
    <row r="1072" spans="1:10" x14ac:dyDescent="0.3">
      <c r="A1072" s="55"/>
      <c r="I1072" s="236"/>
      <c r="J1072" s="236"/>
    </row>
    <row r="1073" spans="1:10" x14ac:dyDescent="0.3">
      <c r="A1073" s="55"/>
      <c r="I1073" s="236"/>
      <c r="J1073" s="236"/>
    </row>
    <row r="1074" spans="1:10" x14ac:dyDescent="0.3">
      <c r="A1074" s="55"/>
      <c r="I1074" s="236"/>
      <c r="J1074" s="236"/>
    </row>
    <row r="1075" spans="1:10" x14ac:dyDescent="0.3">
      <c r="A1075" s="55"/>
      <c r="I1075" s="236"/>
      <c r="J1075" s="236"/>
    </row>
    <row r="1076" spans="1:10" x14ac:dyDescent="0.3">
      <c r="A1076" s="55"/>
      <c r="I1076" s="236"/>
      <c r="J1076" s="236"/>
    </row>
    <row r="1077" spans="1:10" x14ac:dyDescent="0.3">
      <c r="A1077" s="55"/>
      <c r="I1077" s="236"/>
      <c r="J1077" s="236"/>
    </row>
    <row r="1078" spans="1:10" x14ac:dyDescent="0.3">
      <c r="A1078" s="55"/>
      <c r="I1078" s="236"/>
      <c r="J1078" s="236"/>
    </row>
    <row r="1079" spans="1:10" x14ac:dyDescent="0.3">
      <c r="A1079" s="55"/>
      <c r="I1079" s="236"/>
      <c r="J1079" s="236"/>
    </row>
    <row r="1080" spans="1:10" x14ac:dyDescent="0.3">
      <c r="A1080" s="55"/>
      <c r="I1080" s="236"/>
      <c r="J1080" s="236"/>
    </row>
    <row r="1081" spans="1:10" x14ac:dyDescent="0.3">
      <c r="A1081" s="55"/>
      <c r="I1081" s="236"/>
      <c r="J1081" s="236"/>
    </row>
    <row r="1082" spans="1:10" x14ac:dyDescent="0.3">
      <c r="A1082" s="55"/>
      <c r="I1082" s="236"/>
      <c r="J1082" s="236"/>
    </row>
    <row r="1083" spans="1:10" x14ac:dyDescent="0.3">
      <c r="A1083" s="55"/>
      <c r="I1083" s="236"/>
      <c r="J1083" s="236"/>
    </row>
    <row r="1084" spans="1:10" x14ac:dyDescent="0.3">
      <c r="A1084" s="55"/>
      <c r="I1084" s="236"/>
      <c r="J1084" s="236"/>
    </row>
    <row r="1085" spans="1:10" x14ac:dyDescent="0.3">
      <c r="A1085" s="55"/>
      <c r="I1085" s="236"/>
      <c r="J1085" s="236"/>
    </row>
    <row r="1086" spans="1:10" x14ac:dyDescent="0.3">
      <c r="A1086" s="55"/>
      <c r="I1086" s="236"/>
      <c r="J1086" s="236"/>
    </row>
    <row r="1087" spans="1:10" x14ac:dyDescent="0.3">
      <c r="A1087" s="55"/>
      <c r="I1087" s="236"/>
      <c r="J1087" s="236"/>
    </row>
    <row r="1088" spans="1:10" x14ac:dyDescent="0.3">
      <c r="A1088" s="55"/>
      <c r="I1088" s="236"/>
      <c r="J1088" s="236"/>
    </row>
    <row r="1089" spans="1:10" x14ac:dyDescent="0.3">
      <c r="A1089" s="55"/>
      <c r="I1089" s="236"/>
      <c r="J1089" s="236"/>
    </row>
    <row r="1090" spans="1:10" x14ac:dyDescent="0.3">
      <c r="A1090" s="55"/>
      <c r="I1090" s="236"/>
      <c r="J1090" s="236"/>
    </row>
    <row r="1091" spans="1:10" x14ac:dyDescent="0.3">
      <c r="A1091" s="55"/>
      <c r="I1091" s="236"/>
      <c r="J1091" s="236"/>
    </row>
    <row r="1092" spans="1:10" x14ac:dyDescent="0.3">
      <c r="A1092" s="55"/>
      <c r="I1092" s="236"/>
      <c r="J1092" s="236"/>
    </row>
    <row r="1093" spans="1:10" x14ac:dyDescent="0.3">
      <c r="A1093" s="55"/>
      <c r="I1093" s="236"/>
      <c r="J1093" s="236"/>
    </row>
    <row r="1094" spans="1:10" x14ac:dyDescent="0.3">
      <c r="A1094" s="55"/>
      <c r="I1094" s="236"/>
      <c r="J1094" s="236"/>
    </row>
    <row r="1095" spans="1:10" x14ac:dyDescent="0.3">
      <c r="A1095" s="55"/>
      <c r="I1095" s="236"/>
      <c r="J1095" s="236"/>
    </row>
    <row r="1096" spans="1:10" x14ac:dyDescent="0.3">
      <c r="A1096" s="55"/>
      <c r="I1096" s="236"/>
      <c r="J1096" s="236"/>
    </row>
    <row r="1097" spans="1:10" x14ac:dyDescent="0.3">
      <c r="A1097" s="55"/>
      <c r="I1097" s="236"/>
      <c r="J1097" s="236"/>
    </row>
    <row r="1098" spans="1:10" x14ac:dyDescent="0.3">
      <c r="A1098" s="55"/>
      <c r="I1098" s="236"/>
      <c r="J1098" s="236"/>
    </row>
    <row r="1099" spans="1:10" x14ac:dyDescent="0.3">
      <c r="A1099" s="55"/>
      <c r="I1099" s="236"/>
      <c r="J1099" s="236"/>
    </row>
    <row r="1100" spans="1:10" x14ac:dyDescent="0.3">
      <c r="A1100" s="55"/>
      <c r="I1100" s="236"/>
      <c r="J1100" s="236"/>
    </row>
    <row r="1101" spans="1:10" x14ac:dyDescent="0.3">
      <c r="A1101" s="55"/>
      <c r="I1101" s="236"/>
      <c r="J1101" s="236"/>
    </row>
    <row r="1102" spans="1:10" x14ac:dyDescent="0.3">
      <c r="A1102" s="55"/>
      <c r="I1102" s="236"/>
      <c r="J1102" s="236"/>
    </row>
    <row r="1103" spans="1:10" x14ac:dyDescent="0.3">
      <c r="A1103" s="55"/>
      <c r="I1103" s="236"/>
      <c r="J1103" s="236"/>
    </row>
    <row r="1104" spans="1:10" x14ac:dyDescent="0.3">
      <c r="A1104" s="55"/>
      <c r="I1104" s="236"/>
      <c r="J1104" s="236"/>
    </row>
    <row r="1105" spans="1:10" x14ac:dyDescent="0.3">
      <c r="A1105" s="55"/>
      <c r="I1105" s="236"/>
      <c r="J1105" s="236"/>
    </row>
    <row r="1106" spans="1:10" x14ac:dyDescent="0.3">
      <c r="A1106" s="55"/>
      <c r="I1106" s="236"/>
      <c r="J1106" s="236"/>
    </row>
    <row r="1107" spans="1:10" x14ac:dyDescent="0.3">
      <c r="A1107" s="55"/>
      <c r="I1107" s="236"/>
      <c r="J1107" s="236"/>
    </row>
    <row r="1108" spans="1:10" x14ac:dyDescent="0.3">
      <c r="A1108" s="55"/>
      <c r="I1108" s="236"/>
      <c r="J1108" s="236"/>
    </row>
    <row r="1109" spans="1:10" x14ac:dyDescent="0.3">
      <c r="A1109" s="55"/>
      <c r="I1109" s="236"/>
      <c r="J1109" s="236"/>
    </row>
    <row r="1110" spans="1:10" x14ac:dyDescent="0.3">
      <c r="A1110" s="55"/>
      <c r="I1110" s="236"/>
      <c r="J1110" s="236"/>
    </row>
    <row r="1111" spans="1:10" x14ac:dyDescent="0.3">
      <c r="A1111" s="55"/>
      <c r="I1111" s="236"/>
      <c r="J1111" s="236"/>
    </row>
    <row r="1112" spans="1:10" x14ac:dyDescent="0.3">
      <c r="A1112" s="55"/>
      <c r="I1112" s="236"/>
      <c r="J1112" s="236"/>
    </row>
    <row r="1113" spans="1:10" x14ac:dyDescent="0.3">
      <c r="A1113" s="55"/>
      <c r="I1113" s="236"/>
      <c r="J1113" s="236"/>
    </row>
    <row r="1114" spans="1:10" x14ac:dyDescent="0.3">
      <c r="A1114" s="55"/>
      <c r="I1114" s="236"/>
      <c r="J1114" s="236"/>
    </row>
    <row r="1115" spans="1:10" x14ac:dyDescent="0.3">
      <c r="A1115" s="55"/>
      <c r="I1115" s="236"/>
      <c r="J1115" s="236"/>
    </row>
    <row r="1116" spans="1:10" x14ac:dyDescent="0.3">
      <c r="A1116" s="55"/>
      <c r="I1116" s="236"/>
      <c r="J1116" s="236"/>
    </row>
    <row r="1117" spans="1:10" x14ac:dyDescent="0.3">
      <c r="A1117" s="55"/>
      <c r="I1117" s="236"/>
      <c r="J1117" s="236"/>
    </row>
    <row r="1118" spans="1:10" x14ac:dyDescent="0.3">
      <c r="A1118" s="55"/>
      <c r="I1118" s="236"/>
      <c r="J1118" s="236"/>
    </row>
    <row r="1119" spans="1:10" x14ac:dyDescent="0.3">
      <c r="A1119" s="55"/>
      <c r="I1119" s="236"/>
      <c r="J1119" s="236"/>
    </row>
    <row r="1120" spans="1:10" x14ac:dyDescent="0.3">
      <c r="A1120" s="55"/>
      <c r="I1120" s="236"/>
      <c r="J1120" s="236"/>
    </row>
    <row r="1121" spans="1:10" x14ac:dyDescent="0.3">
      <c r="A1121" s="55"/>
      <c r="I1121" s="236"/>
      <c r="J1121" s="236"/>
    </row>
    <row r="1122" spans="1:10" x14ac:dyDescent="0.3">
      <c r="A1122" s="55"/>
      <c r="I1122" s="236"/>
      <c r="J1122" s="236"/>
    </row>
    <row r="1123" spans="1:10" x14ac:dyDescent="0.3">
      <c r="A1123" s="55"/>
      <c r="I1123" s="236"/>
      <c r="J1123" s="236"/>
    </row>
    <row r="1124" spans="1:10" x14ac:dyDescent="0.3">
      <c r="A1124" s="55"/>
      <c r="I1124" s="236"/>
      <c r="J1124" s="236"/>
    </row>
    <row r="1125" spans="1:10" x14ac:dyDescent="0.3">
      <c r="A1125" s="55"/>
      <c r="I1125" s="236"/>
      <c r="J1125" s="236"/>
    </row>
    <row r="1126" spans="1:10" x14ac:dyDescent="0.3">
      <c r="A1126" s="55"/>
      <c r="I1126" s="236"/>
      <c r="J1126" s="236"/>
    </row>
    <row r="1127" spans="1:10" x14ac:dyDescent="0.3">
      <c r="A1127" s="55"/>
      <c r="I1127" s="236"/>
      <c r="J1127" s="236"/>
    </row>
    <row r="1128" spans="1:10" x14ac:dyDescent="0.3">
      <c r="A1128" s="55"/>
      <c r="I1128" s="236"/>
      <c r="J1128" s="236"/>
    </row>
    <row r="1129" spans="1:10" x14ac:dyDescent="0.3">
      <c r="A1129" s="55"/>
      <c r="I1129" s="236"/>
      <c r="J1129" s="236"/>
    </row>
    <row r="1130" spans="1:10" x14ac:dyDescent="0.3">
      <c r="A1130" s="55"/>
      <c r="I1130" s="236"/>
      <c r="J1130" s="236"/>
    </row>
    <row r="1131" spans="1:10" x14ac:dyDescent="0.3">
      <c r="A1131" s="55"/>
      <c r="I1131" s="236"/>
      <c r="J1131" s="236"/>
    </row>
    <row r="1132" spans="1:10" x14ac:dyDescent="0.3">
      <c r="A1132" s="55"/>
      <c r="I1132" s="236"/>
      <c r="J1132" s="236"/>
    </row>
    <row r="1133" spans="1:10" x14ac:dyDescent="0.3">
      <c r="A1133" s="55"/>
      <c r="I1133" s="236"/>
      <c r="J1133" s="236"/>
    </row>
    <row r="1134" spans="1:10" x14ac:dyDescent="0.3">
      <c r="A1134" s="55"/>
      <c r="I1134" s="236"/>
      <c r="J1134" s="236"/>
    </row>
    <row r="1135" spans="1:10" x14ac:dyDescent="0.3">
      <c r="A1135" s="55"/>
      <c r="I1135" s="236"/>
      <c r="J1135" s="236"/>
    </row>
    <row r="1136" spans="1:10" x14ac:dyDescent="0.3">
      <c r="A1136" s="55"/>
      <c r="I1136" s="236"/>
      <c r="J1136" s="236"/>
    </row>
    <row r="1137" spans="1:10" x14ac:dyDescent="0.3">
      <c r="A1137" s="55"/>
      <c r="I1137" s="236"/>
      <c r="J1137" s="236"/>
    </row>
    <row r="1138" spans="1:10" x14ac:dyDescent="0.3">
      <c r="A1138" s="55"/>
      <c r="I1138" s="236"/>
      <c r="J1138" s="236"/>
    </row>
    <row r="1139" spans="1:10" x14ac:dyDescent="0.3">
      <c r="A1139" s="55"/>
      <c r="I1139" s="236"/>
      <c r="J1139" s="236"/>
    </row>
    <row r="1140" spans="1:10" x14ac:dyDescent="0.3">
      <c r="A1140" s="55"/>
      <c r="I1140" s="236"/>
      <c r="J1140" s="236"/>
    </row>
    <row r="1141" spans="1:10" x14ac:dyDescent="0.3">
      <c r="A1141" s="55"/>
      <c r="I1141" s="236"/>
      <c r="J1141" s="236"/>
    </row>
    <row r="1142" spans="1:10" x14ac:dyDescent="0.3">
      <c r="A1142" s="55"/>
      <c r="I1142" s="236"/>
      <c r="J1142" s="236"/>
    </row>
    <row r="1143" spans="1:10" x14ac:dyDescent="0.3">
      <c r="A1143" s="55"/>
      <c r="I1143" s="236"/>
      <c r="J1143" s="236"/>
    </row>
    <row r="1144" spans="1:10" x14ac:dyDescent="0.3">
      <c r="A1144" s="55"/>
      <c r="I1144" s="236"/>
      <c r="J1144" s="236"/>
    </row>
    <row r="1145" spans="1:10" x14ac:dyDescent="0.3">
      <c r="A1145" s="55"/>
      <c r="I1145" s="236"/>
      <c r="J1145" s="236"/>
    </row>
    <row r="1146" spans="1:10" x14ac:dyDescent="0.3">
      <c r="A1146" s="55"/>
      <c r="I1146" s="236"/>
      <c r="J1146" s="236"/>
    </row>
    <row r="1147" spans="1:10" x14ac:dyDescent="0.3">
      <c r="A1147" s="55"/>
      <c r="I1147" s="236"/>
      <c r="J1147" s="236"/>
    </row>
    <row r="1148" spans="1:10" x14ac:dyDescent="0.3">
      <c r="A1148" s="55"/>
      <c r="I1148" s="236"/>
      <c r="J1148" s="236"/>
    </row>
    <row r="1149" spans="1:10" x14ac:dyDescent="0.3">
      <c r="A1149" s="55"/>
      <c r="I1149" s="236"/>
      <c r="J1149" s="236"/>
    </row>
    <row r="1150" spans="1:10" x14ac:dyDescent="0.3">
      <c r="A1150" s="55"/>
      <c r="I1150" s="236"/>
      <c r="J1150" s="236"/>
    </row>
    <row r="1151" spans="1:10" x14ac:dyDescent="0.3">
      <c r="A1151" s="55"/>
      <c r="I1151" s="236"/>
      <c r="J1151" s="236"/>
    </row>
    <row r="1152" spans="1:10" x14ac:dyDescent="0.3">
      <c r="A1152" s="55"/>
      <c r="I1152" s="236"/>
      <c r="J1152" s="236"/>
    </row>
    <row r="1153" spans="1:10" x14ac:dyDescent="0.3">
      <c r="A1153" s="55"/>
      <c r="I1153" s="236"/>
      <c r="J1153" s="236"/>
    </row>
    <row r="1154" spans="1:10" x14ac:dyDescent="0.3">
      <c r="A1154" s="55"/>
      <c r="I1154" s="236"/>
      <c r="J1154" s="236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6" priority="7">
      <formula>$F11&lt;0</formula>
    </cfRule>
    <cfRule type="expression" dxfId="5" priority="8">
      <formula>$F11=0</formula>
    </cfRule>
  </conditionalFormatting>
  <conditionalFormatting sqref="C12:C131">
    <cfRule type="expression" dxfId="4" priority="5">
      <formula>$C12&lt;0</formula>
    </cfRule>
    <cfRule type="expression" dxfId="3" priority="6">
      <formula>$C12=0</formula>
    </cfRule>
  </conditionalFormatting>
  <conditionalFormatting sqref="B12:B131">
    <cfRule type="expression" dxfId="2" priority="1">
      <formula>$B12&lt;0</formula>
    </cfRule>
    <cfRule type="expression" dxfId="1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workbookViewId="0">
      <selection activeCell="F8" sqref="F8"/>
    </sheetView>
  </sheetViews>
  <sheetFormatPr baseColWidth="10" defaultRowHeight="14.4" x14ac:dyDescent="0.3"/>
  <sheetData>
    <row r="1" spans="1:5" ht="18" x14ac:dyDescent="0.35">
      <c r="A1" s="331" t="s">
        <v>122</v>
      </c>
      <c r="B1" s="331"/>
      <c r="C1" s="331"/>
      <c r="D1" s="331"/>
      <c r="E1" s="331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40</v>
      </c>
      <c r="C3" s="148">
        <v>4</v>
      </c>
      <c r="D3" s="149">
        <f>IF(B3&gt;0,IF(C3&gt;0,ROUND(C3/B3,2),""),"")</f>
        <v>0.1</v>
      </c>
      <c r="E3" s="153">
        <f>ROUND(AVERAGE(D3:D17),2)</f>
        <v>0.1</v>
      </c>
    </row>
    <row r="4" spans="1:5" x14ac:dyDescent="0.3">
      <c r="A4" s="8">
        <f>A3+1</f>
        <v>2</v>
      </c>
      <c r="B4" s="173">
        <v>60</v>
      </c>
      <c r="C4" s="150">
        <v>6</v>
      </c>
      <c r="D4" s="151">
        <f t="shared" ref="D4:D17" si="0">IF(B4&gt;0,IF(C4&gt;0,ROUND(C4/B4,2),""),"")</f>
        <v>0.1</v>
      </c>
      <c r="E4" s="154"/>
    </row>
    <row r="5" spans="1:5" x14ac:dyDescent="0.3">
      <c r="A5" s="8">
        <f t="shared" ref="A5:A16" si="1">A4+1</f>
        <v>3</v>
      </c>
      <c r="B5" s="173">
        <v>102</v>
      </c>
      <c r="C5" s="150">
        <v>10</v>
      </c>
      <c r="D5" s="151">
        <f t="shared" si="0"/>
        <v>0.1</v>
      </c>
      <c r="E5" s="155">
        <f>MAX(D3:D17)</f>
        <v>0.1</v>
      </c>
    </row>
    <row r="6" spans="1:5" x14ac:dyDescent="0.3">
      <c r="A6" s="8">
        <f t="shared" si="1"/>
        <v>4</v>
      </c>
      <c r="B6" s="173">
        <v>130</v>
      </c>
      <c r="C6" s="150">
        <v>13</v>
      </c>
      <c r="D6" s="151">
        <f t="shared" si="0"/>
        <v>0.1</v>
      </c>
      <c r="E6" s="156">
        <f>MIN(D3:D17)</f>
        <v>0.1</v>
      </c>
    </row>
    <row r="7" spans="1:5" x14ac:dyDescent="0.3">
      <c r="A7" s="8">
        <f t="shared" si="1"/>
        <v>5</v>
      </c>
      <c r="B7" s="173">
        <v>160</v>
      </c>
      <c r="C7" s="150">
        <v>16</v>
      </c>
      <c r="D7" s="151">
        <f t="shared" si="0"/>
        <v>0.1</v>
      </c>
      <c r="E7" s="157">
        <f>E5-E6</f>
        <v>0</v>
      </c>
    </row>
    <row r="8" spans="1:5" x14ac:dyDescent="0.3">
      <c r="A8" s="8">
        <f t="shared" si="1"/>
        <v>6</v>
      </c>
      <c r="B8" s="173">
        <v>185</v>
      </c>
      <c r="C8" s="150">
        <v>18</v>
      </c>
      <c r="D8" s="151">
        <f t="shared" si="0"/>
        <v>0.1</v>
      </c>
      <c r="E8" s="154"/>
    </row>
    <row r="9" spans="1:5" x14ac:dyDescent="0.3">
      <c r="A9" s="8">
        <f t="shared" si="1"/>
        <v>7</v>
      </c>
      <c r="B9" s="173">
        <v>290</v>
      </c>
      <c r="C9" s="150">
        <v>29</v>
      </c>
      <c r="D9" s="151">
        <f t="shared" si="0"/>
        <v>0.1</v>
      </c>
      <c r="E9" s="154"/>
    </row>
    <row r="10" spans="1:5" x14ac:dyDescent="0.3">
      <c r="A10" s="8">
        <f t="shared" si="1"/>
        <v>8</v>
      </c>
      <c r="B10" s="173">
        <v>402</v>
      </c>
      <c r="C10" s="10">
        <v>40</v>
      </c>
      <c r="D10" s="151">
        <f t="shared" si="0"/>
        <v>0.1</v>
      </c>
      <c r="E10" s="154"/>
    </row>
    <row r="11" spans="1:5" x14ac:dyDescent="0.3">
      <c r="A11" s="8">
        <f t="shared" si="1"/>
        <v>9</v>
      </c>
      <c r="B11" s="173">
        <v>480</v>
      </c>
      <c r="C11" s="10">
        <v>48</v>
      </c>
      <c r="D11" s="151">
        <f t="shared" si="0"/>
        <v>0.1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8"/>
  <sheetViews>
    <sheetView topLeftCell="A7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34" t="s">
        <v>124</v>
      </c>
      <c r="B1" s="334"/>
      <c r="C1" s="334"/>
      <c r="D1" s="334"/>
      <c r="E1" s="334"/>
      <c r="F1" s="334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0.08</v>
      </c>
      <c r="C3" s="165">
        <v>5.5E-2</v>
      </c>
      <c r="D3" s="166">
        <f>B3+$C$3+(B3*$C$3)</f>
        <v>0.1394</v>
      </c>
      <c r="E3" s="164">
        <v>0.25</v>
      </c>
      <c r="F3" s="166">
        <f>IF(D3="","",D3*E3)</f>
        <v>3.4849999999999999E-2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0.14467500000000003</v>
      </c>
      <c r="E4" s="164">
        <v>0.25</v>
      </c>
      <c r="F4" s="166">
        <f t="shared" ref="F4:F6" si="1">IF(D4="","",D4*E4)</f>
        <v>3.6168750000000006E-2</v>
      </c>
    </row>
    <row r="5" spans="1:6" x14ac:dyDescent="0.3">
      <c r="A5" s="27" t="s">
        <v>132</v>
      </c>
      <c r="B5" s="164">
        <v>0.09</v>
      </c>
      <c r="C5" s="55"/>
      <c r="D5" s="166">
        <f t="shared" si="0"/>
        <v>0.14995</v>
      </c>
      <c r="E5" s="164">
        <v>0.2</v>
      </c>
      <c r="F5" s="166">
        <f t="shared" si="1"/>
        <v>2.9990000000000003E-2</v>
      </c>
    </row>
    <row r="6" spans="1:6" x14ac:dyDescent="0.3">
      <c r="A6" s="27" t="s">
        <v>133</v>
      </c>
      <c r="B6" s="164">
        <v>0.1</v>
      </c>
      <c r="C6" s="55"/>
      <c r="D6" s="166">
        <f t="shared" si="0"/>
        <v>0.1605</v>
      </c>
      <c r="E6" s="164">
        <v>0.2</v>
      </c>
      <c r="F6" s="166">
        <f t="shared" si="1"/>
        <v>3.2100000000000004E-2</v>
      </c>
    </row>
    <row r="7" spans="1:6" x14ac:dyDescent="0.3">
      <c r="A7" s="28" t="s">
        <v>134</v>
      </c>
      <c r="B7" s="164">
        <v>0.12</v>
      </c>
      <c r="C7" s="55"/>
      <c r="D7" s="166">
        <f>IF(B7="","",B7+$C$3+(B7*$C$3))</f>
        <v>0.18159999999999998</v>
      </c>
      <c r="E7" s="164">
        <v>0.1</v>
      </c>
      <c r="F7" s="166">
        <f>IF(D7="","",D7*E7)</f>
        <v>1.8159999999999999E-2</v>
      </c>
    </row>
    <row r="8" spans="1:6" x14ac:dyDescent="0.3">
      <c r="A8" s="332" t="s">
        <v>135</v>
      </c>
      <c r="B8" s="333"/>
      <c r="C8" s="167"/>
      <c r="D8" s="167"/>
      <c r="E8" s="168">
        <f>SUM(E3:E7)</f>
        <v>0.99999999999999989</v>
      </c>
      <c r="F8" s="169">
        <f>SUM(F3:F7)</f>
        <v>0.15126875000000001</v>
      </c>
    </row>
  </sheetData>
  <mergeCells count="2">
    <mergeCell ref="A8:B8"/>
    <mergeCell ref="A1:F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bancaria</vt:lpstr>
      <vt:lpstr>Cuota nivelada bacaria 2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2021-10-05T21:43:58Z</dcterms:modified>
</cp:coreProperties>
</file>