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trlProps/ctrlProp2.xml" ContentType="application/vnd.ms-excel.controlproperties+xml"/>
  <Override PartName="/xl/drawings/drawing9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10.xml" ContentType="application/vnd.openxmlformats-officedocument.drawing+xml"/>
  <Override PartName="/xl/ctrlProps/ctrlProp6.xml" ContentType="application/vnd.ms-excel.controlproperties+xml"/>
  <Override PartName="/xl/drawings/drawing11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2.xml" ContentType="application/vnd.openxmlformats-officedocument.drawing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Trabajos\trabajos excel\Cursos\2021\3. Segundo Ciclo\Ingenieria economica\macros\pronostico\"/>
    </mc:Choice>
  </mc:AlternateContent>
  <bookViews>
    <workbookView xWindow="-108" yWindow="-108" windowWidth="23256" windowHeight="12576" firstSheet="8" activeTab="8"/>
  </bookViews>
  <sheets>
    <sheet name="MLineal" sheetId="1" r:id="rId1"/>
    <sheet name="MExponencial" sheetId="2" r:id="rId2"/>
    <sheet name="MLogaritmica" sheetId="3" r:id="rId3"/>
    <sheet name="MPontencial" sheetId="4" r:id="rId4"/>
    <sheet name="MPolinimial" sheetId="5" r:id="rId5"/>
    <sheet name="Pronosticos" sheetId="6" r:id="rId6"/>
    <sheet name="Flujo Caja" sheetId="8" r:id="rId7"/>
    <sheet name="Cuota nivelada bacaria" sheetId="17" r:id="rId8"/>
    <sheet name="Cuota nivelada sistema frances " sheetId="11" r:id="rId9"/>
    <sheet name="Cuota decreciente bancaria" sheetId="16" r:id="rId10"/>
    <sheet name="Cuota nivelada sistema aleman" sheetId="12" r:id="rId11"/>
    <sheet name="Metodo Promedio" sheetId="9" r:id="rId12"/>
    <sheet name="Calculo Tmar" sheetId="10" r:id="rId13"/>
    <sheet name="Graficas" sheetId="7" r:id="rId1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11" l="1"/>
  <c r="G28" i="11"/>
  <c r="J6" i="11"/>
  <c r="J5" i="11"/>
  <c r="J4" i="11"/>
  <c r="L9" i="11"/>
  <c r="G27" i="11" l="1"/>
  <c r="G26" i="11"/>
  <c r="G25" i="11"/>
  <c r="G67" i="11"/>
  <c r="G68" i="11"/>
  <c r="G34" i="11"/>
  <c r="G24" i="11" l="1"/>
  <c r="G56" i="8" l="1"/>
  <c r="E56" i="8"/>
  <c r="E62" i="8"/>
  <c r="E63" i="8"/>
  <c r="E64" i="8" s="1"/>
  <c r="E65" i="8" s="1"/>
  <c r="E66" i="8" s="1"/>
  <c r="E67" i="8" s="1"/>
  <c r="F57" i="8"/>
  <c r="E57" i="8"/>
  <c r="D57" i="8"/>
  <c r="D59" i="8" s="1"/>
  <c r="E58" i="8" s="1"/>
  <c r="E59" i="8" s="1"/>
  <c r="E50" i="8"/>
  <c r="E12" i="8"/>
  <c r="F14" i="8"/>
  <c r="E14" i="8"/>
  <c r="E16" i="8"/>
  <c r="E17" i="8"/>
  <c r="E20" i="8"/>
  <c r="F12" i="8"/>
  <c r="G12" i="8"/>
  <c r="H12" i="8"/>
  <c r="I12" i="8"/>
  <c r="J12" i="8"/>
  <c r="K12" i="8"/>
  <c r="L12" i="8"/>
  <c r="M12" i="8"/>
  <c r="N12" i="8"/>
  <c r="H43" i="8"/>
  <c r="F20" i="8"/>
  <c r="G20" i="8"/>
  <c r="H20" i="8"/>
  <c r="I20" i="8"/>
  <c r="J20" i="8"/>
  <c r="K20" i="8"/>
  <c r="L20" i="8"/>
  <c r="M20" i="8"/>
  <c r="N20" i="8"/>
  <c r="E43" i="8"/>
  <c r="F43" i="8"/>
  <c r="I2" i="8"/>
  <c r="D52" i="8" s="1"/>
  <c r="F16" i="8" l="1"/>
  <c r="G16" i="8"/>
  <c r="H16" i="8"/>
  <c r="I16" i="8"/>
  <c r="J16" i="8"/>
  <c r="K16" i="8"/>
  <c r="L16" i="8"/>
  <c r="M16" i="8"/>
  <c r="N16" i="8"/>
  <c r="G14" i="8"/>
  <c r="H14" i="8"/>
  <c r="I14" i="8"/>
  <c r="J14" i="8"/>
  <c r="K14" i="8"/>
  <c r="L14" i="8"/>
  <c r="M14" i="8"/>
  <c r="N14" i="8"/>
  <c r="D3" i="9"/>
  <c r="E9" i="10" l="1"/>
  <c r="D8" i="10"/>
  <c r="F8" i="10" s="1"/>
  <c r="L9" i="12" l="1"/>
  <c r="K9" i="12"/>
  <c r="D8" i="17" l="1"/>
  <c r="D7" i="17"/>
  <c r="D6" i="17"/>
  <c r="G113" i="17"/>
  <c r="G112" i="17"/>
  <c r="G111" i="17"/>
  <c r="G110" i="17"/>
  <c r="G109" i="17"/>
  <c r="G108" i="17"/>
  <c r="G107" i="17"/>
  <c r="G106" i="17"/>
  <c r="G105" i="17"/>
  <c r="G104" i="17"/>
  <c r="G103" i="17"/>
  <c r="G102" i="17"/>
  <c r="G101" i="17"/>
  <c r="G100" i="17"/>
  <c r="G99" i="17"/>
  <c r="G98" i="17"/>
  <c r="G97" i="17"/>
  <c r="G96" i="17"/>
  <c r="G95" i="17"/>
  <c r="G94" i="17"/>
  <c r="G93" i="17"/>
  <c r="G92" i="17"/>
  <c r="G91" i="17"/>
  <c r="G90" i="17"/>
  <c r="G89" i="17"/>
  <c r="G88" i="17"/>
  <c r="G87" i="17"/>
  <c r="G86" i="17"/>
  <c r="G85" i="17"/>
  <c r="G84" i="17"/>
  <c r="G83" i="17"/>
  <c r="G82" i="17"/>
  <c r="G81" i="17"/>
  <c r="G80" i="17"/>
  <c r="G79" i="17"/>
  <c r="G78" i="17"/>
  <c r="G77" i="17"/>
  <c r="G76" i="17"/>
  <c r="G75" i="17"/>
  <c r="G74" i="17"/>
  <c r="G73" i="17"/>
  <c r="G72" i="17"/>
  <c r="G71" i="17"/>
  <c r="G70" i="17"/>
  <c r="G69" i="17"/>
  <c r="G68" i="17"/>
  <c r="G67" i="17"/>
  <c r="G66" i="17"/>
  <c r="G65" i="17"/>
  <c r="G64" i="17"/>
  <c r="G63" i="17"/>
  <c r="G62" i="17"/>
  <c r="G61" i="17"/>
  <c r="G60" i="17"/>
  <c r="G59" i="17"/>
  <c r="G58" i="17"/>
  <c r="G57" i="17"/>
  <c r="G56" i="17"/>
  <c r="G55" i="17"/>
  <c r="G54" i="17"/>
  <c r="G53" i="17"/>
  <c r="G47" i="17"/>
  <c r="G46" i="17"/>
  <c r="G45" i="17"/>
  <c r="G44" i="17"/>
  <c r="G43" i="17"/>
  <c r="G42" i="17"/>
  <c r="G41" i="17"/>
  <c r="G40" i="17"/>
  <c r="G39" i="17"/>
  <c r="G38" i="17"/>
  <c r="G37" i="17"/>
  <c r="G36" i="17"/>
  <c r="G35" i="17"/>
  <c r="G34" i="17"/>
  <c r="G33" i="17"/>
  <c r="G32" i="17"/>
  <c r="G31" i="17"/>
  <c r="G30" i="17"/>
  <c r="G29" i="17"/>
  <c r="G28" i="17"/>
  <c r="G27" i="17"/>
  <c r="G26" i="17"/>
  <c r="G25" i="17"/>
  <c r="G24" i="17"/>
  <c r="L12" i="17"/>
  <c r="K12" i="17"/>
  <c r="F12" i="17"/>
  <c r="E12" i="17"/>
  <c r="D12" i="17"/>
  <c r="B12" i="17"/>
  <c r="D5" i="17"/>
  <c r="D4" i="17"/>
  <c r="D5" i="11"/>
  <c r="D4" i="11"/>
  <c r="D8" i="11"/>
  <c r="D7" i="11"/>
  <c r="D6" i="11"/>
  <c r="F11" i="8" l="1"/>
  <c r="G11" i="8" s="1"/>
  <c r="H11" i="8" s="1"/>
  <c r="I11" i="8" s="1"/>
  <c r="J11" i="8" s="1"/>
  <c r="K11" i="8" s="1"/>
  <c r="L11" i="8" s="1"/>
  <c r="M11" i="8" s="1"/>
  <c r="N11" i="8" s="1"/>
  <c r="F10" i="8"/>
  <c r="G10" i="8" s="1"/>
  <c r="H10" i="8" s="1"/>
  <c r="I10" i="8" s="1"/>
  <c r="J10" i="8" s="1"/>
  <c r="K10" i="8" s="1"/>
  <c r="L10" i="8" s="1"/>
  <c r="M10" i="8" s="1"/>
  <c r="N10" i="8" s="1"/>
  <c r="AK9" i="8"/>
  <c r="E34" i="8"/>
  <c r="F17" i="8"/>
  <c r="G17" i="8"/>
  <c r="H17" i="8"/>
  <c r="I17" i="8"/>
  <c r="J17" i="8"/>
  <c r="K17" i="8"/>
  <c r="L17" i="8"/>
  <c r="M17" i="8"/>
  <c r="N17" i="8"/>
  <c r="F50" i="8"/>
  <c r="G50" i="8"/>
  <c r="H50" i="8"/>
  <c r="I50" i="8"/>
  <c r="J50" i="8"/>
  <c r="K50" i="8"/>
  <c r="L50" i="8"/>
  <c r="M50" i="8"/>
  <c r="N50" i="8"/>
  <c r="O50" i="8"/>
  <c r="P50" i="8"/>
  <c r="Q50" i="8"/>
  <c r="R50" i="8"/>
  <c r="S50" i="8"/>
  <c r="T50" i="8"/>
  <c r="U50" i="8"/>
  <c r="O34" i="8"/>
  <c r="O43" i="8" s="1"/>
  <c r="P34" i="8"/>
  <c r="P43" i="8" s="1"/>
  <c r="Q34" i="8"/>
  <c r="Q43" i="8" s="1"/>
  <c r="R34" i="8"/>
  <c r="R43" i="8" s="1"/>
  <c r="S34" i="8"/>
  <c r="S43" i="8" s="1"/>
  <c r="T34" i="8"/>
  <c r="T43" i="8" s="1"/>
  <c r="U34" i="8"/>
  <c r="U43" i="8" s="1"/>
  <c r="E9" i="8"/>
  <c r="O47" i="8" l="1"/>
  <c r="P47" i="8"/>
  <c r="Q47" i="8"/>
  <c r="R47" i="8"/>
  <c r="S47" i="8"/>
  <c r="T47" i="8"/>
  <c r="U47" i="8"/>
  <c r="F34" i="8" l="1"/>
  <c r="D4" i="1"/>
  <c r="F63" i="8" l="1"/>
  <c r="G34" i="8"/>
  <c r="E3" i="8"/>
  <c r="F3" i="8" s="1"/>
  <c r="G3" i="8" s="1"/>
  <c r="H3" i="8" s="1"/>
  <c r="I3" i="8" s="1"/>
  <c r="J3" i="8" s="1"/>
  <c r="K3" i="8" s="1"/>
  <c r="L3" i="8" s="1"/>
  <c r="M3" i="8" s="1"/>
  <c r="N3" i="8" s="1"/>
  <c r="G63" i="8" l="1"/>
  <c r="H34" i="8"/>
  <c r="F53" i="8"/>
  <c r="G53" i="8" s="1"/>
  <c r="H53" i="8" s="1"/>
  <c r="I53" i="8" s="1"/>
  <c r="J53" i="8" s="1"/>
  <c r="K53" i="8" s="1"/>
  <c r="L53" i="8" s="1"/>
  <c r="M53" i="8" s="1"/>
  <c r="N53" i="8" s="1"/>
  <c r="O53" i="8" s="1"/>
  <c r="P53" i="8" s="1"/>
  <c r="Q53" i="8" s="1"/>
  <c r="R53" i="8" s="1"/>
  <c r="S53" i="8" s="1"/>
  <c r="T53" i="8" s="1"/>
  <c r="U53" i="8" s="1"/>
  <c r="O51" i="8"/>
  <c r="P51" i="8"/>
  <c r="Q51" i="8"/>
  <c r="R51" i="8"/>
  <c r="S51" i="8"/>
  <c r="T51" i="8"/>
  <c r="U51" i="8"/>
  <c r="F62" i="8"/>
  <c r="G62" i="8"/>
  <c r="H62" i="8"/>
  <c r="I62" i="8"/>
  <c r="J62" i="8"/>
  <c r="K62" i="8"/>
  <c r="L62" i="8"/>
  <c r="M62" i="8"/>
  <c r="N62" i="8"/>
  <c r="O62" i="8"/>
  <c r="P62" i="8"/>
  <c r="Q62" i="8"/>
  <c r="R62" i="8"/>
  <c r="S62" i="8"/>
  <c r="T62" i="8"/>
  <c r="U62" i="8"/>
  <c r="H63" i="8" l="1"/>
  <c r="I34" i="8"/>
  <c r="I63" i="8" l="1"/>
  <c r="J34" i="8"/>
  <c r="O57" i="8"/>
  <c r="P57" i="8"/>
  <c r="Q57" i="8"/>
  <c r="R57" i="8"/>
  <c r="S57" i="8"/>
  <c r="T57" i="8"/>
  <c r="U57" i="8"/>
  <c r="F56" i="8"/>
  <c r="H56" i="8"/>
  <c r="I56" i="8"/>
  <c r="J56" i="8"/>
  <c r="K56" i="8"/>
  <c r="L56" i="8"/>
  <c r="M56" i="8"/>
  <c r="N56" i="8"/>
  <c r="O56" i="8"/>
  <c r="P56" i="8"/>
  <c r="Q56" i="8"/>
  <c r="R56" i="8"/>
  <c r="S56" i="8"/>
  <c r="T56" i="8"/>
  <c r="U56" i="8"/>
  <c r="J63" i="8" l="1"/>
  <c r="K34" i="8"/>
  <c r="R63" i="8"/>
  <c r="R64" i="8" s="1"/>
  <c r="U63" i="8"/>
  <c r="U64" i="8" s="1"/>
  <c r="Q63" i="8"/>
  <c r="Q64" i="8" s="1"/>
  <c r="T63" i="8"/>
  <c r="T64" i="8" s="1"/>
  <c r="P63" i="8"/>
  <c r="P64" i="8" s="1"/>
  <c r="S63" i="8"/>
  <c r="S64" i="8" s="1"/>
  <c r="O63" i="8"/>
  <c r="O64" i="8" s="1"/>
  <c r="E7" i="8"/>
  <c r="K63" i="8" l="1"/>
  <c r="L34" i="8"/>
  <c r="D6" i="16"/>
  <c r="D5" i="16"/>
  <c r="F11" i="16"/>
  <c r="D8" i="16"/>
  <c r="D7" i="16"/>
  <c r="D4" i="16" s="1"/>
  <c r="D6" i="12"/>
  <c r="L63" i="8" l="1"/>
  <c r="E47" i="8"/>
  <c r="M34" i="8"/>
  <c r="D8" i="12"/>
  <c r="M63" i="8" l="1"/>
  <c r="N34" i="8"/>
  <c r="D7" i="12"/>
  <c r="D4" i="12" s="1"/>
  <c r="D5" i="12"/>
  <c r="N63" i="8" l="1"/>
  <c r="G29" i="11" l="1"/>
  <c r="G30" i="11"/>
  <c r="G31" i="11"/>
  <c r="G32" i="11"/>
  <c r="G33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B12" i="11" l="1"/>
  <c r="D12" i="11"/>
  <c r="E12" i="11"/>
  <c r="F11" i="12" l="1"/>
  <c r="F12" i="11" l="1"/>
  <c r="F9" i="8" l="1"/>
  <c r="G9" i="8"/>
  <c r="G43" i="8" s="1"/>
  <c r="H9" i="8"/>
  <c r="I9" i="8"/>
  <c r="I43" i="8" s="1"/>
  <c r="J9" i="8"/>
  <c r="J43" i="8" s="1"/>
  <c r="K9" i="8"/>
  <c r="K43" i="8" s="1"/>
  <c r="L9" i="8"/>
  <c r="L43" i="8" s="1"/>
  <c r="M9" i="8"/>
  <c r="M43" i="8" s="1"/>
  <c r="N9" i="8"/>
  <c r="N43" i="8" s="1"/>
  <c r="F8" i="8"/>
  <c r="G8" i="8"/>
  <c r="H8" i="8"/>
  <c r="I8" i="8"/>
  <c r="J8" i="8"/>
  <c r="K8" i="8"/>
  <c r="L8" i="8"/>
  <c r="M8" i="8"/>
  <c r="N8" i="8"/>
  <c r="E8" i="8"/>
  <c r="F7" i="8"/>
  <c r="G7" i="8"/>
  <c r="H7" i="8"/>
  <c r="I7" i="8"/>
  <c r="J7" i="8"/>
  <c r="K7" i="8"/>
  <c r="L7" i="8"/>
  <c r="M7" i="8"/>
  <c r="N7" i="8"/>
  <c r="F6" i="8"/>
  <c r="G6" i="8"/>
  <c r="H6" i="8"/>
  <c r="I6" i="8"/>
  <c r="J6" i="8"/>
  <c r="K6" i="8"/>
  <c r="L6" i="8"/>
  <c r="M6" i="8"/>
  <c r="N6" i="8"/>
  <c r="E6" i="8"/>
  <c r="D11" i="9"/>
  <c r="B12" i="9"/>
  <c r="D12" i="9" s="1"/>
  <c r="B13" i="9"/>
  <c r="B14" i="9"/>
  <c r="D14" i="9" s="1"/>
  <c r="B15" i="9"/>
  <c r="D15" i="9" s="1"/>
  <c r="B16" i="9"/>
  <c r="D16" i="9" s="1"/>
  <c r="B17" i="9"/>
  <c r="D10" i="9"/>
  <c r="D6" i="9"/>
  <c r="D7" i="9"/>
  <c r="D13" i="9"/>
  <c r="D5" i="9"/>
  <c r="D8" i="9"/>
  <c r="D9" i="9"/>
  <c r="D4" i="9"/>
  <c r="D17" i="9"/>
  <c r="D7" i="10"/>
  <c r="F7" i="10" s="1"/>
  <c r="D4" i="10"/>
  <c r="F4" i="10" s="1"/>
  <c r="D5" i="10"/>
  <c r="F5" i="10" s="1"/>
  <c r="D6" i="10"/>
  <c r="F6" i="10" s="1"/>
  <c r="D3" i="10"/>
  <c r="F3" i="10" s="1"/>
  <c r="A17" i="9"/>
  <c r="A5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4" i="9"/>
  <c r="B24" i="6"/>
  <c r="C27" i="6"/>
  <c r="F9" i="10" l="1"/>
  <c r="F58" i="8"/>
  <c r="H57" i="8"/>
  <c r="G57" i="8"/>
  <c r="K57" i="8"/>
  <c r="N64" i="8"/>
  <c r="N65" i="8" s="1"/>
  <c r="N66" i="8" s="1"/>
  <c r="N67" i="8" s="1"/>
  <c r="N47" i="8" s="1"/>
  <c r="J64" i="8"/>
  <c r="J65" i="8" s="1"/>
  <c r="J66" i="8" s="1"/>
  <c r="J67" i="8" s="1"/>
  <c r="J47" i="8" s="1"/>
  <c r="F64" i="8"/>
  <c r="F65" i="8" s="1"/>
  <c r="F66" i="8" s="1"/>
  <c r="F67" i="8" s="1"/>
  <c r="F47" i="8" s="1"/>
  <c r="L64" i="8"/>
  <c r="L65" i="8" s="1"/>
  <c r="L66" i="8" s="1"/>
  <c r="L67" i="8" s="1"/>
  <c r="L47" i="8" s="1"/>
  <c r="H64" i="8"/>
  <c r="H65" i="8" s="1"/>
  <c r="H66" i="8" s="1"/>
  <c r="H67" i="8" s="1"/>
  <c r="H47" i="8" s="1"/>
  <c r="K64" i="8"/>
  <c r="K65" i="8" s="1"/>
  <c r="K66" i="8" s="1"/>
  <c r="K67" i="8" s="1"/>
  <c r="K47" i="8" s="1"/>
  <c r="G64" i="8"/>
  <c r="G65" i="8" s="1"/>
  <c r="G66" i="8" s="1"/>
  <c r="G67" i="8" s="1"/>
  <c r="G47" i="8" s="1"/>
  <c r="K2" i="8"/>
  <c r="M64" i="8"/>
  <c r="M65" i="8" s="1"/>
  <c r="M66" i="8" s="1"/>
  <c r="M67" i="8" s="1"/>
  <c r="M47" i="8" s="1"/>
  <c r="I64" i="8"/>
  <c r="I65" i="8" s="1"/>
  <c r="I66" i="8" s="1"/>
  <c r="I67" i="8" s="1"/>
  <c r="I47" i="8" s="1"/>
  <c r="N57" i="8"/>
  <c r="J57" i="8"/>
  <c r="M57" i="8"/>
  <c r="I57" i="8"/>
  <c r="L57" i="8"/>
  <c r="E6" i="9"/>
  <c r="E3" i="9"/>
  <c r="E5" i="9"/>
  <c r="E17" i="6"/>
  <c r="E46" i="8" l="1"/>
  <c r="O52" i="8"/>
  <c r="S52" i="8"/>
  <c r="U52" i="8"/>
  <c r="P52" i="8"/>
  <c r="T52" i="8"/>
  <c r="Q52" i="8"/>
  <c r="R52" i="8"/>
  <c r="F59" i="8"/>
  <c r="E7" i="9"/>
  <c r="C3" i="4"/>
  <c r="G3" i="4" s="1"/>
  <c r="B3" i="4"/>
  <c r="D3" i="4" s="1"/>
  <c r="C3" i="3"/>
  <c r="B3" i="3"/>
  <c r="E3" i="3" s="1"/>
  <c r="D3" i="3"/>
  <c r="K18" i="6"/>
  <c r="J18" i="6"/>
  <c r="B17" i="5"/>
  <c r="H17" i="5" s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L39" i="1" s="1"/>
  <c r="D18" i="1"/>
  <c r="L40" i="1" s="1"/>
  <c r="K2" i="6"/>
  <c r="J2" i="6"/>
  <c r="L3" i="6" s="1"/>
  <c r="C22" i="6" s="1"/>
  <c r="D22" i="6" s="1"/>
  <c r="E22" i="6" s="1"/>
  <c r="F22" i="6" s="1"/>
  <c r="G22" i="6" s="1"/>
  <c r="H22" i="6" s="1"/>
  <c r="I22" i="6" s="1"/>
  <c r="J22" i="6" s="1"/>
  <c r="K22" i="6" s="1"/>
  <c r="L22" i="6" s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K17" i="5" s="1"/>
  <c r="C17" i="5"/>
  <c r="C3" i="5"/>
  <c r="B4" i="5"/>
  <c r="H4" i="5" s="1"/>
  <c r="B5" i="5"/>
  <c r="H5" i="5" s="1"/>
  <c r="B6" i="5"/>
  <c r="H6" i="5" s="1"/>
  <c r="B7" i="5"/>
  <c r="B8" i="5"/>
  <c r="B9" i="5"/>
  <c r="B10" i="5"/>
  <c r="B11" i="5"/>
  <c r="B12" i="5"/>
  <c r="H12" i="5" s="1"/>
  <c r="B13" i="5"/>
  <c r="B14" i="5"/>
  <c r="G14" i="5" s="1"/>
  <c r="B15" i="5"/>
  <c r="E15" i="5" s="1"/>
  <c r="B16" i="5"/>
  <c r="G16" i="5" s="1"/>
  <c r="B3" i="5"/>
  <c r="E3" i="5" s="1"/>
  <c r="C4" i="4"/>
  <c r="G4" i="4" s="1"/>
  <c r="C5" i="4"/>
  <c r="G5" i="4" s="1"/>
  <c r="C6" i="4"/>
  <c r="G6" i="4" s="1"/>
  <c r="C7" i="4"/>
  <c r="F7" i="4" s="1"/>
  <c r="C8" i="4"/>
  <c r="G8" i="4" s="1"/>
  <c r="C9" i="4"/>
  <c r="G9" i="4" s="1"/>
  <c r="C10" i="4"/>
  <c r="G10" i="4" s="1"/>
  <c r="C11" i="4"/>
  <c r="G11" i="4" s="1"/>
  <c r="C12" i="4"/>
  <c r="G12" i="4" s="1"/>
  <c r="C13" i="4"/>
  <c r="G13" i="4" s="1"/>
  <c r="C14" i="4"/>
  <c r="F14" i="4" s="1"/>
  <c r="C15" i="4"/>
  <c r="G15" i="4" s="1"/>
  <c r="C16" i="4"/>
  <c r="F16" i="4" s="1"/>
  <c r="C17" i="4"/>
  <c r="G17" i="4" s="1"/>
  <c r="B4" i="4"/>
  <c r="D4" i="4" s="1"/>
  <c r="B5" i="4"/>
  <c r="D5" i="4" s="1"/>
  <c r="B6" i="4"/>
  <c r="E6" i="4" s="1"/>
  <c r="B7" i="4"/>
  <c r="E7" i="4" s="1"/>
  <c r="B8" i="4"/>
  <c r="E8" i="4" s="1"/>
  <c r="B9" i="4"/>
  <c r="B10" i="4"/>
  <c r="D10" i="4" s="1"/>
  <c r="B11" i="4"/>
  <c r="B12" i="4"/>
  <c r="E12" i="4" s="1"/>
  <c r="B13" i="4"/>
  <c r="B14" i="4"/>
  <c r="E14" i="4" s="1"/>
  <c r="B15" i="4"/>
  <c r="B16" i="4"/>
  <c r="J16" i="4" s="1"/>
  <c r="C4" i="3"/>
  <c r="C5" i="3"/>
  <c r="G5" i="3" s="1"/>
  <c r="C6" i="3"/>
  <c r="F6" i="3" s="1"/>
  <c r="C7" i="3"/>
  <c r="G7" i="3" s="1"/>
  <c r="C8" i="3"/>
  <c r="F8" i="3" s="1"/>
  <c r="C9" i="3"/>
  <c r="F9" i="3" s="1"/>
  <c r="C10" i="3"/>
  <c r="C11" i="3"/>
  <c r="F11" i="3" s="1"/>
  <c r="C12" i="3"/>
  <c r="C13" i="3"/>
  <c r="G13" i="3" s="1"/>
  <c r="C14" i="3"/>
  <c r="G14" i="3" s="1"/>
  <c r="C15" i="3"/>
  <c r="F15" i="3" s="1"/>
  <c r="C16" i="3"/>
  <c r="G16" i="3" s="1"/>
  <c r="C17" i="3"/>
  <c r="G17" i="3" s="1"/>
  <c r="B4" i="3"/>
  <c r="E4" i="3" s="1"/>
  <c r="B5" i="3"/>
  <c r="E5" i="3" s="1"/>
  <c r="B6" i="3"/>
  <c r="D6" i="3" s="1"/>
  <c r="B7" i="3"/>
  <c r="E7" i="3" s="1"/>
  <c r="B8" i="3"/>
  <c r="B9" i="3"/>
  <c r="B10" i="3"/>
  <c r="D10" i="3" s="1"/>
  <c r="B11" i="3"/>
  <c r="E11" i="3" s="1"/>
  <c r="B12" i="3"/>
  <c r="E12" i="3" s="1"/>
  <c r="B13" i="3"/>
  <c r="E13" i="3" s="1"/>
  <c r="B14" i="3"/>
  <c r="D14" i="3" s="1"/>
  <c r="B15" i="3"/>
  <c r="B16" i="3"/>
  <c r="I16" i="3" s="1"/>
  <c r="B17" i="3"/>
  <c r="E17" i="3" s="1"/>
  <c r="D4" i="2"/>
  <c r="F4" i="2" s="1"/>
  <c r="D5" i="2"/>
  <c r="H5" i="2" s="1"/>
  <c r="D6" i="2"/>
  <c r="H6" i="2" s="1"/>
  <c r="D7" i="2"/>
  <c r="H7" i="2" s="1"/>
  <c r="D8" i="2"/>
  <c r="F8" i="2" s="1"/>
  <c r="D9" i="2"/>
  <c r="H9" i="2" s="1"/>
  <c r="D10" i="2"/>
  <c r="F10" i="2" s="1"/>
  <c r="D11" i="2"/>
  <c r="H11" i="2" s="1"/>
  <c r="D12" i="2"/>
  <c r="H12" i="2" s="1"/>
  <c r="D13" i="2"/>
  <c r="H13" i="2" s="1"/>
  <c r="D14" i="2"/>
  <c r="F14" i="2" s="1"/>
  <c r="D15" i="2"/>
  <c r="H15" i="2" s="1"/>
  <c r="D16" i="2"/>
  <c r="H16" i="2" s="1"/>
  <c r="D17" i="2"/>
  <c r="H17" i="2" s="1"/>
  <c r="D3" i="2"/>
  <c r="H3" i="2" s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I16" i="2" s="1"/>
  <c r="M37" i="2" s="1"/>
  <c r="C3" i="2"/>
  <c r="C5" i="1"/>
  <c r="F5" i="1" s="1"/>
  <c r="C6" i="1"/>
  <c r="F6" i="1" s="1"/>
  <c r="C7" i="1"/>
  <c r="F7" i="1" s="1"/>
  <c r="C8" i="1"/>
  <c r="C9" i="1"/>
  <c r="F9" i="1" s="1"/>
  <c r="C10" i="1"/>
  <c r="F10" i="1" s="1"/>
  <c r="C11" i="1"/>
  <c r="F11" i="1" s="1"/>
  <c r="C12" i="1"/>
  <c r="F12" i="1" s="1"/>
  <c r="C13" i="1"/>
  <c r="C14" i="1"/>
  <c r="C15" i="1"/>
  <c r="C16" i="1"/>
  <c r="F16" i="1" s="1"/>
  <c r="C17" i="1"/>
  <c r="F17" i="1" s="1"/>
  <c r="E49" i="8" l="1"/>
  <c r="E51" i="8" s="1"/>
  <c r="E52" i="8" s="1"/>
  <c r="H8" i="3"/>
  <c r="F46" i="8"/>
  <c r="G58" i="8"/>
  <c r="G59" i="8" s="1"/>
  <c r="E3" i="4"/>
  <c r="F8" i="5"/>
  <c r="I17" i="5"/>
  <c r="J16" i="3"/>
  <c r="D17" i="5"/>
  <c r="H17" i="1"/>
  <c r="I17" i="1" s="1"/>
  <c r="F17" i="5"/>
  <c r="G6" i="5"/>
  <c r="F17" i="2"/>
  <c r="E5" i="4"/>
  <c r="F15" i="4"/>
  <c r="E16" i="3"/>
  <c r="F17" i="3"/>
  <c r="G16" i="4"/>
  <c r="G5" i="1"/>
  <c r="E16" i="5"/>
  <c r="H16" i="5"/>
  <c r="D3" i="5"/>
  <c r="F6" i="5"/>
  <c r="G16" i="1"/>
  <c r="L38" i="1"/>
  <c r="G12" i="1"/>
  <c r="G8" i="1"/>
  <c r="E17" i="1"/>
  <c r="F16" i="2"/>
  <c r="G16" i="2" s="1"/>
  <c r="D17" i="3"/>
  <c r="D4" i="3"/>
  <c r="E6" i="3"/>
  <c r="F16" i="3"/>
  <c r="H16" i="3"/>
  <c r="H3" i="3"/>
  <c r="D16" i="5"/>
  <c r="E6" i="5"/>
  <c r="F16" i="5"/>
  <c r="G5" i="5"/>
  <c r="I16" i="5"/>
  <c r="M17" i="5" s="1"/>
  <c r="D6" i="4"/>
  <c r="E4" i="4"/>
  <c r="I16" i="4"/>
  <c r="G13" i="1"/>
  <c r="D5" i="3"/>
  <c r="D16" i="4"/>
  <c r="H16" i="4" s="1"/>
  <c r="E13" i="1"/>
  <c r="F5" i="5"/>
  <c r="G15" i="1"/>
  <c r="G11" i="1"/>
  <c r="G7" i="1"/>
  <c r="G18" i="1"/>
  <c r="D16" i="3"/>
  <c r="I17" i="3"/>
  <c r="J17" i="3" s="1"/>
  <c r="L17" i="5"/>
  <c r="E5" i="5"/>
  <c r="G17" i="5"/>
  <c r="G4" i="5"/>
  <c r="E16" i="4"/>
  <c r="F17" i="4"/>
  <c r="G9" i="1"/>
  <c r="H17" i="3"/>
  <c r="G4" i="2"/>
  <c r="H4" i="3"/>
  <c r="D4" i="5"/>
  <c r="G14" i="1"/>
  <c r="G10" i="1"/>
  <c r="G6" i="1"/>
  <c r="G17" i="1"/>
  <c r="E17" i="5"/>
  <c r="E4" i="5"/>
  <c r="F12" i="5"/>
  <c r="H10" i="3"/>
  <c r="E10" i="3"/>
  <c r="E10" i="4"/>
  <c r="D11" i="3"/>
  <c r="H12" i="3"/>
  <c r="F15" i="2"/>
  <c r="G15" i="2" s="1"/>
  <c r="G15" i="3"/>
  <c r="H15" i="3"/>
  <c r="E15" i="1"/>
  <c r="D15" i="3"/>
  <c r="G15" i="5"/>
  <c r="E16" i="1"/>
  <c r="E15" i="3"/>
  <c r="F15" i="5"/>
  <c r="D15" i="4"/>
  <c r="H15" i="4" s="1"/>
  <c r="E15" i="4"/>
  <c r="H15" i="5"/>
  <c r="D15" i="5"/>
  <c r="E14" i="5"/>
  <c r="H14" i="2"/>
  <c r="F14" i="3"/>
  <c r="G14" i="4"/>
  <c r="F15" i="1"/>
  <c r="E14" i="3"/>
  <c r="H14" i="5"/>
  <c r="G14" i="2"/>
  <c r="H14" i="3"/>
  <c r="D14" i="5"/>
  <c r="F14" i="5"/>
  <c r="D14" i="4"/>
  <c r="H14" i="4" s="1"/>
  <c r="F4" i="5"/>
  <c r="F3" i="3"/>
  <c r="G3" i="3"/>
  <c r="E6" i="1"/>
  <c r="E8" i="1"/>
  <c r="F12" i="3"/>
  <c r="F12" i="2"/>
  <c r="G12" i="2" s="1"/>
  <c r="G12" i="3"/>
  <c r="D11" i="5"/>
  <c r="G11" i="3"/>
  <c r="F11" i="4"/>
  <c r="F10" i="4"/>
  <c r="H10" i="4" s="1"/>
  <c r="E7" i="1"/>
  <c r="F5" i="4"/>
  <c r="H5" i="4" s="1"/>
  <c r="D13" i="3"/>
  <c r="F13" i="2"/>
  <c r="G13" i="2" s="1"/>
  <c r="D13" i="5"/>
  <c r="F13" i="4"/>
  <c r="F13" i="3"/>
  <c r="F12" i="4"/>
  <c r="H11" i="3"/>
  <c r="F11" i="2"/>
  <c r="G11" i="2" s="1"/>
  <c r="E12" i="1"/>
  <c r="G10" i="2"/>
  <c r="G10" i="3"/>
  <c r="H10" i="2"/>
  <c r="F10" i="3"/>
  <c r="H9" i="3"/>
  <c r="G7" i="4"/>
  <c r="H6" i="3"/>
  <c r="D5" i="5"/>
  <c r="F5" i="3"/>
  <c r="E5" i="1"/>
  <c r="H4" i="2"/>
  <c r="G13" i="5"/>
  <c r="H13" i="5"/>
  <c r="E14" i="1"/>
  <c r="F14" i="1"/>
  <c r="H13" i="3"/>
  <c r="E13" i="5"/>
  <c r="F13" i="5"/>
  <c r="D13" i="4"/>
  <c r="E13" i="4"/>
  <c r="F13" i="1"/>
  <c r="D12" i="3"/>
  <c r="D12" i="4"/>
  <c r="D12" i="5"/>
  <c r="E12" i="5"/>
  <c r="G12" i="5"/>
  <c r="E11" i="5"/>
  <c r="H11" i="5"/>
  <c r="D11" i="4"/>
  <c r="E11" i="4"/>
  <c r="F11" i="5"/>
  <c r="G11" i="5"/>
  <c r="D10" i="5"/>
  <c r="E11" i="1"/>
  <c r="F10" i="5"/>
  <c r="H10" i="5"/>
  <c r="E10" i="5"/>
  <c r="G10" i="5"/>
  <c r="D8" i="4"/>
  <c r="G8" i="5"/>
  <c r="H8" i="5"/>
  <c r="G8" i="2"/>
  <c r="D8" i="5"/>
  <c r="D8" i="3"/>
  <c r="C22" i="3"/>
  <c r="F6" i="4"/>
  <c r="F6" i="2"/>
  <c r="G6" i="2" s="1"/>
  <c r="D6" i="5"/>
  <c r="G6" i="3"/>
  <c r="H5" i="3"/>
  <c r="F5" i="2"/>
  <c r="G5" i="2" s="1"/>
  <c r="F4" i="3"/>
  <c r="G4" i="3"/>
  <c r="F4" i="4"/>
  <c r="H4" i="4" s="1"/>
  <c r="F3" i="2"/>
  <c r="G3" i="2" s="1"/>
  <c r="F3" i="4"/>
  <c r="H3" i="4" s="1"/>
  <c r="F9" i="2"/>
  <c r="G9" i="2" s="1"/>
  <c r="G9" i="3"/>
  <c r="F9" i="4"/>
  <c r="H8" i="2"/>
  <c r="G8" i="3"/>
  <c r="F8" i="4"/>
  <c r="F7" i="2"/>
  <c r="G7" i="2" s="1"/>
  <c r="F7" i="3"/>
  <c r="D7" i="5"/>
  <c r="D7" i="3"/>
  <c r="H7" i="3"/>
  <c r="E7" i="5"/>
  <c r="F7" i="5"/>
  <c r="G7" i="5"/>
  <c r="F8" i="1"/>
  <c r="H7" i="5"/>
  <c r="D7" i="4"/>
  <c r="H7" i="4" s="1"/>
  <c r="E8" i="5"/>
  <c r="E9" i="1"/>
  <c r="E8" i="3"/>
  <c r="E10" i="1"/>
  <c r="E9" i="3"/>
  <c r="D9" i="5"/>
  <c r="D9" i="3"/>
  <c r="F9" i="5"/>
  <c r="H9" i="5"/>
  <c r="E9" i="4"/>
  <c r="D9" i="4"/>
  <c r="E9" i="5"/>
  <c r="G9" i="5"/>
  <c r="C17" i="2"/>
  <c r="C18" i="1"/>
  <c r="E18" i="1" s="1"/>
  <c r="B17" i="4"/>
  <c r="G22" i="5"/>
  <c r="N4" i="5" s="1"/>
  <c r="K16" i="5" s="1"/>
  <c r="B22" i="5"/>
  <c r="F49" i="8" l="1"/>
  <c r="F51" i="8" s="1"/>
  <c r="F52" i="8" s="1"/>
  <c r="G46" i="8"/>
  <c r="H58" i="8"/>
  <c r="H59" i="8" s="1"/>
  <c r="H6" i="4"/>
  <c r="N39" i="1"/>
  <c r="C22" i="4"/>
  <c r="D17" i="4"/>
  <c r="H17" i="4" s="1"/>
  <c r="I17" i="4"/>
  <c r="J17" i="4"/>
  <c r="E17" i="4"/>
  <c r="D22" i="2"/>
  <c r="I17" i="2"/>
  <c r="M38" i="2" s="1"/>
  <c r="G17" i="2"/>
  <c r="H8" i="4"/>
  <c r="K13" i="5"/>
  <c r="K15" i="5"/>
  <c r="H12" i="4"/>
  <c r="H11" i="4"/>
  <c r="H13" i="4"/>
  <c r="K14" i="5"/>
  <c r="K11" i="5"/>
  <c r="K12" i="5"/>
  <c r="H9" i="4"/>
  <c r="K5" i="5"/>
  <c r="K9" i="5"/>
  <c r="K6" i="5"/>
  <c r="K10" i="5"/>
  <c r="K4" i="5"/>
  <c r="K7" i="5"/>
  <c r="K8" i="5"/>
  <c r="F18" i="1"/>
  <c r="G49" i="8" l="1"/>
  <c r="G51" i="8" s="1"/>
  <c r="G52" i="8" s="1"/>
  <c r="H46" i="8"/>
  <c r="H49" i="8" s="1"/>
  <c r="H51" i="8" s="1"/>
  <c r="H52" i="8" s="1"/>
  <c r="I58" i="8"/>
  <c r="I59" i="8" s="1"/>
  <c r="C4" i="1"/>
  <c r="J58" i="8" l="1"/>
  <c r="J59" i="8" s="1"/>
  <c r="I46" i="8"/>
  <c r="E4" i="1"/>
  <c r="J4" i="1"/>
  <c r="K26" i="1" s="1"/>
  <c r="L37" i="1" s="1"/>
  <c r="K24" i="2"/>
  <c r="I49" i="8" l="1"/>
  <c r="I51" i="8" s="1"/>
  <c r="I52" i="8" s="1"/>
  <c r="J46" i="8"/>
  <c r="J49" i="8" s="1"/>
  <c r="J51" i="8" s="1"/>
  <c r="J52" i="8" s="1"/>
  <c r="K58" i="8"/>
  <c r="K59" i="8" s="1"/>
  <c r="L29" i="1"/>
  <c r="L27" i="1"/>
  <c r="L34" i="1"/>
  <c r="L35" i="1"/>
  <c r="L36" i="1"/>
  <c r="L28" i="1"/>
  <c r="L30" i="1"/>
  <c r="L31" i="1"/>
  <c r="L32" i="1"/>
  <c r="L26" i="1"/>
  <c r="L33" i="1"/>
  <c r="C18" i="5"/>
  <c r="E22" i="5" s="1"/>
  <c r="B18" i="5"/>
  <c r="B23" i="5" s="1"/>
  <c r="H3" i="5"/>
  <c r="G3" i="5"/>
  <c r="G18" i="5" s="1"/>
  <c r="D23" i="5" s="1"/>
  <c r="F3" i="5"/>
  <c r="K46" i="8" l="1"/>
  <c r="K49" i="8" s="1"/>
  <c r="K51" i="8" s="1"/>
  <c r="K52" i="8" s="1"/>
  <c r="L58" i="8"/>
  <c r="L59" i="8" s="1"/>
  <c r="L41" i="1"/>
  <c r="F18" i="5"/>
  <c r="E24" i="5" s="1"/>
  <c r="E18" i="5"/>
  <c r="D22" i="5" s="1"/>
  <c r="D18" i="5"/>
  <c r="E23" i="5" s="1"/>
  <c r="H18" i="5"/>
  <c r="D24" i="5" s="1"/>
  <c r="C24" i="5"/>
  <c r="C22" i="5"/>
  <c r="M58" i="8" l="1"/>
  <c r="M59" i="8" s="1"/>
  <c r="L46" i="8"/>
  <c r="L49" i="8" s="1"/>
  <c r="L51" i="8" s="1"/>
  <c r="L52" i="8" s="1"/>
  <c r="K18" i="5"/>
  <c r="C23" i="5"/>
  <c r="B24" i="5"/>
  <c r="M46" i="8" l="1"/>
  <c r="M49" i="8" s="1"/>
  <c r="M51" i="8" s="1"/>
  <c r="M52" i="8" s="1"/>
  <c r="F2" i="8" s="1"/>
  <c r="N58" i="8"/>
  <c r="N59" i="8" s="1"/>
  <c r="B28" i="5" a="1"/>
  <c r="B29" i="5" s="1"/>
  <c r="N46" i="8" l="1"/>
  <c r="N49" i="8" s="1"/>
  <c r="N51" i="8" s="1"/>
  <c r="N52" i="8" s="1"/>
  <c r="O58" i="8"/>
  <c r="O59" i="8" s="1"/>
  <c r="C28" i="5"/>
  <c r="D28" i="5"/>
  <c r="C29" i="5"/>
  <c r="B28" i="5"/>
  <c r="B30" i="5"/>
  <c r="C30" i="5"/>
  <c r="D30" i="5"/>
  <c r="D29" i="5"/>
  <c r="C18" i="4"/>
  <c r="C24" i="4" s="1"/>
  <c r="B18" i="4"/>
  <c r="C23" i="4" s="1"/>
  <c r="G2" i="8" l="1"/>
  <c r="O46" i="8"/>
  <c r="P58" i="8"/>
  <c r="P59" i="8" s="1"/>
  <c r="C32" i="5" a="1"/>
  <c r="C32" i="5" s="1"/>
  <c r="D5" i="6" s="1"/>
  <c r="G18" i="4"/>
  <c r="C28" i="4" s="1"/>
  <c r="D28" i="4" s="1"/>
  <c r="F18" i="4"/>
  <c r="C27" i="4" s="1"/>
  <c r="D27" i="4" s="1"/>
  <c r="D24" i="4"/>
  <c r="D23" i="4"/>
  <c r="D18" i="4"/>
  <c r="C25" i="4" s="1"/>
  <c r="D25" i="4" s="1"/>
  <c r="H18" i="4"/>
  <c r="C29" i="4" s="1"/>
  <c r="D29" i="4" s="1"/>
  <c r="E18" i="4"/>
  <c r="C26" i="4" s="1"/>
  <c r="D26" i="4" s="1"/>
  <c r="P46" i="8" l="1"/>
  <c r="Q58" i="8"/>
  <c r="Q59" i="8" s="1"/>
  <c r="C34" i="5"/>
  <c r="C33" i="5"/>
  <c r="D4" i="6" s="1"/>
  <c r="C31" i="4"/>
  <c r="C32" i="4" s="1"/>
  <c r="C33" i="4"/>
  <c r="C34" i="4" s="1"/>
  <c r="F8" i="6" s="1"/>
  <c r="Q46" i="8" l="1"/>
  <c r="R58" i="8"/>
  <c r="R59" i="8" s="1"/>
  <c r="I14" i="5"/>
  <c r="M15" i="5" s="1"/>
  <c r="I15" i="5"/>
  <c r="I6" i="5"/>
  <c r="L7" i="5" s="1"/>
  <c r="D3" i="6"/>
  <c r="I10" i="5"/>
  <c r="M11" i="5" s="1"/>
  <c r="I8" i="5"/>
  <c r="L9" i="5" s="1"/>
  <c r="I7" i="5"/>
  <c r="L8" i="5" s="1"/>
  <c r="I3" i="5"/>
  <c r="L4" i="5" s="1"/>
  <c r="I13" i="5"/>
  <c r="I9" i="5"/>
  <c r="M10" i="5" s="1"/>
  <c r="I4" i="5"/>
  <c r="L5" i="5" s="1"/>
  <c r="I5" i="5"/>
  <c r="L6" i="5" s="1"/>
  <c r="I11" i="5"/>
  <c r="I12" i="5"/>
  <c r="F7" i="6"/>
  <c r="F4" i="6"/>
  <c r="R46" i="8" l="1"/>
  <c r="S58" i="8"/>
  <c r="S59" i="8" s="1"/>
  <c r="D10" i="6"/>
  <c r="M8" i="5"/>
  <c r="L15" i="5"/>
  <c r="M16" i="5"/>
  <c r="L16" i="5"/>
  <c r="M7" i="5"/>
  <c r="M9" i="5"/>
  <c r="L11" i="5"/>
  <c r="M14" i="5"/>
  <c r="L14" i="5"/>
  <c r="M13" i="5"/>
  <c r="L13" i="5"/>
  <c r="M12" i="5"/>
  <c r="L12" i="5"/>
  <c r="L10" i="5"/>
  <c r="M4" i="5"/>
  <c r="M6" i="5"/>
  <c r="M5" i="5"/>
  <c r="I18" i="5"/>
  <c r="C36" i="4"/>
  <c r="I15" i="4" s="1"/>
  <c r="J15" i="4" s="1"/>
  <c r="F3" i="6"/>
  <c r="C18" i="3"/>
  <c r="C24" i="3" s="1"/>
  <c r="B18" i="3"/>
  <c r="C23" i="3" s="1"/>
  <c r="G18" i="3"/>
  <c r="C27" i="3" s="1"/>
  <c r="E18" i="3"/>
  <c r="C26" i="3" s="1"/>
  <c r="S46" i="8" l="1"/>
  <c r="T58" i="8"/>
  <c r="T59" i="8" s="1"/>
  <c r="O5" i="6"/>
  <c r="I13" i="4"/>
  <c r="J13" i="4" s="1"/>
  <c r="I14" i="4"/>
  <c r="J14" i="4" s="1"/>
  <c r="M18" i="5"/>
  <c r="C36" i="5" s="1"/>
  <c r="C37" i="5" s="1"/>
  <c r="D8" i="6" s="1"/>
  <c r="L18" i="5"/>
  <c r="C38" i="5" s="1"/>
  <c r="D9" i="6" s="1"/>
  <c r="I11" i="4"/>
  <c r="J11" i="4" s="1"/>
  <c r="I12" i="4"/>
  <c r="J12" i="4" s="1"/>
  <c r="I9" i="4"/>
  <c r="J9" i="4" s="1"/>
  <c r="I10" i="4"/>
  <c r="J10" i="4" s="1"/>
  <c r="I5" i="4"/>
  <c r="J5" i="4" s="1"/>
  <c r="I6" i="4"/>
  <c r="J6" i="4" s="1"/>
  <c r="I3" i="4"/>
  <c r="J3" i="4" s="1"/>
  <c r="I7" i="4"/>
  <c r="J7" i="4" s="1"/>
  <c r="I4" i="4"/>
  <c r="J4" i="4" s="1"/>
  <c r="I8" i="4"/>
  <c r="J8" i="4" s="1"/>
  <c r="F6" i="6"/>
  <c r="F10" i="6" s="1"/>
  <c r="F18" i="3"/>
  <c r="D27" i="3"/>
  <c r="D26" i="3"/>
  <c r="D23" i="3"/>
  <c r="D18" i="3"/>
  <c r="C25" i="3" s="1"/>
  <c r="D25" i="3" s="1"/>
  <c r="H18" i="3"/>
  <c r="C28" i="3" s="1"/>
  <c r="D28" i="3" s="1"/>
  <c r="D24" i="3"/>
  <c r="D18" i="2"/>
  <c r="D24" i="2" s="1"/>
  <c r="F24" i="2" s="1"/>
  <c r="C18" i="2"/>
  <c r="D23" i="2" s="1"/>
  <c r="F23" i="2" s="1"/>
  <c r="J17" i="2"/>
  <c r="E17" i="2"/>
  <c r="J16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H18" i="2"/>
  <c r="D28" i="2" s="1"/>
  <c r="F28" i="2" s="1"/>
  <c r="E3" i="2"/>
  <c r="U58" i="8" l="1"/>
  <c r="U59" i="8" s="1"/>
  <c r="U46" i="8" s="1"/>
  <c r="T46" i="8"/>
  <c r="P5" i="6"/>
  <c r="Q5" i="6"/>
  <c r="O7" i="6"/>
  <c r="D7" i="6"/>
  <c r="C32" i="3"/>
  <c r="C34" i="3"/>
  <c r="C35" i="3" s="1"/>
  <c r="G8" i="6" s="1"/>
  <c r="J18" i="4"/>
  <c r="C35" i="4" s="1"/>
  <c r="F9" i="6" s="1"/>
  <c r="P7" i="6" s="1"/>
  <c r="I18" i="4"/>
  <c r="F18" i="2"/>
  <c r="D26" i="2" s="1"/>
  <c r="F26" i="2" s="1"/>
  <c r="G18" i="2"/>
  <c r="D27" i="2" s="1"/>
  <c r="F27" i="2" s="1"/>
  <c r="E18" i="2"/>
  <c r="D25" i="2" s="1"/>
  <c r="F25" i="2" s="1"/>
  <c r="Q7" i="6" l="1"/>
  <c r="C33" i="3"/>
  <c r="I3" i="3" s="1"/>
  <c r="J3" i="3" s="1"/>
  <c r="H22" i="2"/>
  <c r="G7" i="6"/>
  <c r="G4" i="6"/>
  <c r="D31" i="2"/>
  <c r="I15" i="3" l="1"/>
  <c r="J15" i="3" s="1"/>
  <c r="I14" i="3"/>
  <c r="J14" i="3" s="1"/>
  <c r="I12" i="3"/>
  <c r="J12" i="3" s="1"/>
  <c r="I13" i="3"/>
  <c r="J13" i="3" s="1"/>
  <c r="I11" i="3"/>
  <c r="J11" i="3" s="1"/>
  <c r="I10" i="3"/>
  <c r="J10" i="3" s="1"/>
  <c r="G3" i="6"/>
  <c r="G10" i="6" s="1"/>
  <c r="I9" i="3"/>
  <c r="J9" i="3" s="1"/>
  <c r="I8" i="3"/>
  <c r="J8" i="3" s="1"/>
  <c r="I7" i="3"/>
  <c r="J7" i="3" s="1"/>
  <c r="I5" i="3"/>
  <c r="J5" i="3" s="1"/>
  <c r="I4" i="3"/>
  <c r="J4" i="3" s="1"/>
  <c r="I6" i="3"/>
  <c r="J6" i="3" s="1"/>
  <c r="H23" i="2"/>
  <c r="E8" i="6" s="1"/>
  <c r="E7" i="6"/>
  <c r="D32" i="2"/>
  <c r="E4" i="6"/>
  <c r="O8" i="6" l="1"/>
  <c r="J18" i="3"/>
  <c r="C36" i="3" s="1"/>
  <c r="G9" i="6" s="1"/>
  <c r="Q8" i="6" s="1"/>
  <c r="I18" i="3"/>
  <c r="D34" i="2"/>
  <c r="I15" i="2" s="1"/>
  <c r="E3" i="6"/>
  <c r="P8" i="6" l="1"/>
  <c r="M36" i="2"/>
  <c r="J15" i="2"/>
  <c r="I13" i="2"/>
  <c r="M34" i="2" s="1"/>
  <c r="I14" i="2"/>
  <c r="I11" i="2"/>
  <c r="M32" i="2" s="1"/>
  <c r="I12" i="2"/>
  <c r="I9" i="2"/>
  <c r="M30" i="2" s="1"/>
  <c r="I10" i="2"/>
  <c r="I6" i="2"/>
  <c r="M27" i="2" s="1"/>
  <c r="I3" i="2"/>
  <c r="I7" i="2"/>
  <c r="M28" i="2" s="1"/>
  <c r="I4" i="2"/>
  <c r="M25" i="2" s="1"/>
  <c r="I8" i="2"/>
  <c r="M29" i="2" s="1"/>
  <c r="I5" i="2"/>
  <c r="M26" i="2" s="1"/>
  <c r="E6" i="6"/>
  <c r="E10" i="6" l="1"/>
  <c r="J23" i="6"/>
  <c r="H23" i="6"/>
  <c r="L23" i="6"/>
  <c r="G23" i="6"/>
  <c r="K23" i="6"/>
  <c r="F23" i="6"/>
  <c r="I23" i="6"/>
  <c r="O6" i="6"/>
  <c r="J9" i="2"/>
  <c r="M35" i="2"/>
  <c r="J14" i="2"/>
  <c r="J13" i="2"/>
  <c r="J11" i="2"/>
  <c r="M33" i="2"/>
  <c r="J12" i="2"/>
  <c r="M31" i="2"/>
  <c r="J10" i="2"/>
  <c r="J7" i="2"/>
  <c r="M24" i="2"/>
  <c r="J3" i="2"/>
  <c r="J8" i="2"/>
  <c r="J4" i="2"/>
  <c r="J5" i="2"/>
  <c r="J6" i="2"/>
  <c r="I18" i="2"/>
  <c r="D19" i="1"/>
  <c r="D25" i="1" s="1"/>
  <c r="C19" i="1"/>
  <c r="D26" i="1" s="1"/>
  <c r="M39" i="1"/>
  <c r="D30" i="1"/>
  <c r="G4" i="1"/>
  <c r="F4" i="1"/>
  <c r="J18" i="2" l="1"/>
  <c r="H24" i="2" s="1"/>
  <c r="E9" i="6" s="1"/>
  <c r="M39" i="2"/>
  <c r="G19" i="1"/>
  <c r="D28" i="1" s="1"/>
  <c r="E19" i="1"/>
  <c r="D29" i="1" s="1"/>
  <c r="F19" i="1"/>
  <c r="D27" i="1" s="1"/>
  <c r="P6" i="6" l="1"/>
  <c r="Q6" i="6"/>
  <c r="D31" i="1"/>
  <c r="C3" i="6" s="1"/>
  <c r="D32" i="1" l="1"/>
  <c r="H16" i="1" s="1"/>
  <c r="N38" i="1" s="1"/>
  <c r="I16" i="1" l="1"/>
  <c r="M38" i="1"/>
  <c r="C4" i="6"/>
  <c r="C10" i="6" s="1"/>
  <c r="O4" i="6" s="1"/>
  <c r="H15" i="1"/>
  <c r="N37" i="1" s="1"/>
  <c r="H13" i="1"/>
  <c r="H14" i="1"/>
  <c r="N36" i="1" s="1"/>
  <c r="H12" i="1"/>
  <c r="N34" i="1" s="1"/>
  <c r="H11" i="1"/>
  <c r="N33" i="1" s="1"/>
  <c r="H4" i="1"/>
  <c r="N26" i="1" s="1"/>
  <c r="H6" i="1"/>
  <c r="H18" i="1"/>
  <c r="N40" i="1" s="1"/>
  <c r="H9" i="1"/>
  <c r="N31" i="1" s="1"/>
  <c r="H7" i="1"/>
  <c r="H5" i="1"/>
  <c r="N27" i="1" s="1"/>
  <c r="H10" i="1"/>
  <c r="N32" i="1" s="1"/>
  <c r="H8" i="1"/>
  <c r="E23" i="6" l="1"/>
  <c r="D23" i="6"/>
  <c r="C23" i="6"/>
  <c r="I6" i="1"/>
  <c r="N28" i="1"/>
  <c r="I7" i="1"/>
  <c r="N29" i="1"/>
  <c r="I13" i="1"/>
  <c r="N35" i="1"/>
  <c r="I8" i="1"/>
  <c r="N30" i="1"/>
  <c r="I15" i="1"/>
  <c r="M37" i="1"/>
  <c r="M35" i="1"/>
  <c r="I14" i="1"/>
  <c r="M36" i="1"/>
  <c r="I12" i="1"/>
  <c r="M34" i="1"/>
  <c r="I11" i="1"/>
  <c r="M33" i="1"/>
  <c r="M28" i="1"/>
  <c r="M29" i="1"/>
  <c r="I4" i="1"/>
  <c r="M26" i="1"/>
  <c r="I18" i="1"/>
  <c r="M40" i="1"/>
  <c r="I5" i="1"/>
  <c r="M27" i="1"/>
  <c r="I10" i="1"/>
  <c r="M32" i="1"/>
  <c r="I9" i="1"/>
  <c r="M31" i="1"/>
  <c r="H19" i="1"/>
  <c r="M30" i="1"/>
  <c r="F12" i="6" l="1"/>
  <c r="N41" i="1"/>
  <c r="D35" i="1" s="1"/>
  <c r="I19" i="1"/>
  <c r="H24" i="1" s="1"/>
  <c r="C9" i="6" s="1"/>
  <c r="D19" i="6" s="1"/>
  <c r="M41" i="1"/>
  <c r="C32" i="6" l="1"/>
  <c r="J30" i="6"/>
  <c r="I32" i="6"/>
  <c r="J32" i="6"/>
  <c r="I30" i="6"/>
  <c r="D32" i="6"/>
  <c r="E30" i="6"/>
  <c r="K32" i="6"/>
  <c r="D30" i="6"/>
  <c r="F30" i="6"/>
  <c r="E32" i="6"/>
  <c r="K30" i="6"/>
  <c r="K24" i="6" s="1"/>
  <c r="H32" i="6"/>
  <c r="L30" i="6"/>
  <c r="G32" i="6"/>
  <c r="H30" i="6"/>
  <c r="L32" i="6"/>
  <c r="F32" i="6"/>
  <c r="G30" i="6"/>
  <c r="G24" i="6" s="1"/>
  <c r="C30" i="6"/>
  <c r="Q4" i="6"/>
  <c r="P4" i="6"/>
  <c r="E12" i="6" s="1"/>
  <c r="C12" i="6"/>
  <c r="G12" i="6"/>
  <c r="D34" i="1"/>
  <c r="C7" i="6" s="1"/>
  <c r="E35" i="1"/>
  <c r="C8" i="6" s="1"/>
  <c r="C11" i="6" s="1"/>
  <c r="D11" i="6" s="1"/>
  <c r="N42" i="1"/>
  <c r="L24" i="6" l="1"/>
  <c r="J24" i="6"/>
  <c r="E24" i="6"/>
  <c r="F24" i="6"/>
  <c r="D24" i="6"/>
  <c r="I24" i="6"/>
  <c r="C24" i="6"/>
  <c r="H24" i="6"/>
  <c r="D12" i="6"/>
  <c r="L21" i="6" l="1"/>
  <c r="E2" i="8" l="1"/>
  <c r="H2" i="8" l="1"/>
</calcChain>
</file>

<file path=xl/comments1.xml><?xml version="1.0" encoding="utf-8"?>
<comments xmlns="http://schemas.openxmlformats.org/spreadsheetml/2006/main">
  <authors>
    <author>Usuario</author>
  </authors>
  <commentList>
    <comment ref="A10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lo que se incrementa cada año
</t>
        </r>
      </text>
    </comment>
    <comment ref="E10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Esto lo obtenemos con el boton calcular</t>
        </r>
      </text>
    </comment>
    <comment ref="A11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Lo que se incrementa cada año</t>
        </r>
      </text>
    </comment>
    <comment ref="E11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Esto lo obtenemos del boton calcular</t>
        </r>
      </text>
    </comment>
    <comment ref="E14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Esto se obtiene de la hoja de pronosticos
</t>
        </r>
      </text>
    </comment>
    <comment ref="C34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La cuota patronal y los intereses nunca van a tener factura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Utilidad antes de impuestos</t>
        </r>
      </text>
    </comment>
    <comment ref="D43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suma de las inversiones que estan en S
y solo sumara los que tengan un porcentaje </t>
        </r>
      </text>
    </comment>
    <comment ref="D52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 una salida por eso es negativo, y porque no saabemos si en el futuro sera bueno o malo</t>
        </r>
      </text>
    </comment>
    <comment ref="D59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 = A - B - C</t>
        </r>
      </text>
    </comment>
    <comment ref="E65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De cada Q100 que vendo este porcentaje es lo que gano </t>
        </r>
      </text>
    </comment>
  </commentList>
</comments>
</file>

<file path=xl/comments2.xml><?xml version="1.0" encoding="utf-8"?>
<comments xmlns="http://schemas.openxmlformats.org/spreadsheetml/2006/main">
  <authors>
    <author>Usuario</author>
  </authors>
  <commentList>
    <comment ref="E7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Si la diferencia es menor igual al 5% utilice el metodod del promedio de lo contrario utilice pronostico </t>
        </r>
      </text>
    </comment>
  </commentList>
</comments>
</file>

<file path=xl/sharedStrings.xml><?xml version="1.0" encoding="utf-8"?>
<sst xmlns="http://schemas.openxmlformats.org/spreadsheetml/2006/main" count="461" uniqueCount="234">
  <si>
    <t>Modelo Lineal</t>
  </si>
  <si>
    <t>x</t>
  </si>
  <si>
    <t>y</t>
  </si>
  <si>
    <t>xy</t>
  </si>
  <si>
    <t>x^2</t>
  </si>
  <si>
    <t>y^2</t>
  </si>
  <si>
    <t>y'</t>
  </si>
  <si>
    <t>(y-y')^2</t>
  </si>
  <si>
    <t>n</t>
  </si>
  <si>
    <t>Sxy</t>
  </si>
  <si>
    <t xml:space="preserve">variación </t>
  </si>
  <si>
    <t>var_total</t>
  </si>
  <si>
    <t>var_No Explicada</t>
  </si>
  <si>
    <t xml:space="preserve">Var_Explicada </t>
  </si>
  <si>
    <t>∑Y</t>
  </si>
  <si>
    <t>Yp</t>
  </si>
  <si>
    <t>(Yr-Yp)^2</t>
  </si>
  <si>
    <t>(Yr-Yc)^2</t>
  </si>
  <si>
    <t>(Yc-Yp)^2</t>
  </si>
  <si>
    <t>∑X</t>
  </si>
  <si>
    <t>∑X^2</t>
  </si>
  <si>
    <t>∑Y^2</t>
  </si>
  <si>
    <t>∑XY</t>
  </si>
  <si>
    <t>a</t>
  </si>
  <si>
    <t>b</t>
  </si>
  <si>
    <t>r</t>
  </si>
  <si>
    <t>r^2</t>
  </si>
  <si>
    <t>X</t>
  </si>
  <si>
    <t>Y</t>
  </si>
  <si>
    <t>X^2</t>
  </si>
  <si>
    <t>Log Y</t>
  </si>
  <si>
    <t>X Log Y</t>
  </si>
  <si>
    <t>Log Y^2</t>
  </si>
  <si>
    <t>Y'</t>
  </si>
  <si>
    <t xml:space="preserve">Resumen </t>
  </si>
  <si>
    <t>∑</t>
  </si>
  <si>
    <t>Promedio</t>
  </si>
  <si>
    <t xml:space="preserve">n </t>
  </si>
  <si>
    <t xml:space="preserve">Variación </t>
  </si>
  <si>
    <t>var_Total</t>
  </si>
  <si>
    <t>Var_No Explicada</t>
  </si>
  <si>
    <t xml:space="preserve">var_Explicada </t>
  </si>
  <si>
    <t>(Y)^2</t>
  </si>
  <si>
    <t>∑Log Y</t>
  </si>
  <si>
    <t>∑XlogY</t>
  </si>
  <si>
    <t>∑Log Y^2</t>
  </si>
  <si>
    <t>e</t>
  </si>
  <si>
    <t>A</t>
  </si>
  <si>
    <t>Log X</t>
  </si>
  <si>
    <t>(Log x)^2</t>
  </si>
  <si>
    <t>Y^2</t>
  </si>
  <si>
    <t>(Log X)*Y</t>
  </si>
  <si>
    <t>(Y-Y')^2</t>
  </si>
  <si>
    <t>Resumen</t>
  </si>
  <si>
    <t>N</t>
  </si>
  <si>
    <t>∑LogX</t>
  </si>
  <si>
    <t>∑(LogX)^2</t>
  </si>
  <si>
    <t>∑(LogX)*Y</t>
  </si>
  <si>
    <t>(Log X) ^ 2</t>
  </si>
  <si>
    <t>(Log Y)^2</t>
  </si>
  <si>
    <t>LogXLogY</t>
  </si>
  <si>
    <t>∑LogY</t>
  </si>
  <si>
    <t>∑(LogY)^2</t>
  </si>
  <si>
    <t>∑(LogX*LogY)</t>
  </si>
  <si>
    <t>XY</t>
  </si>
  <si>
    <t>(X^2)*(Y)</t>
  </si>
  <si>
    <t>X^3</t>
  </si>
  <si>
    <t>X^4</t>
  </si>
  <si>
    <t>Variacion total</t>
  </si>
  <si>
    <t>Variacion no explicada</t>
  </si>
  <si>
    <t xml:space="preserve">Variacion explicada </t>
  </si>
  <si>
    <t>(Y-Yprom)^2</t>
  </si>
  <si>
    <t>(Y'-Yprom)^2</t>
  </si>
  <si>
    <t>(Yprom)</t>
  </si>
  <si>
    <t>c</t>
  </si>
  <si>
    <t xml:space="preserve">Inversa de la matriz </t>
  </si>
  <si>
    <t>Resultados</t>
  </si>
  <si>
    <t xml:space="preserve">conceptos </t>
  </si>
  <si>
    <t>Lineal</t>
  </si>
  <si>
    <t xml:space="preserve">Polinomial </t>
  </si>
  <si>
    <t>Exponencial</t>
  </si>
  <si>
    <t>Logaritmico</t>
  </si>
  <si>
    <t xml:space="preserve">Potencial </t>
  </si>
  <si>
    <t>Pronostico</t>
  </si>
  <si>
    <t>Para la Y calculada</t>
  </si>
  <si>
    <t>Modelo</t>
  </si>
  <si>
    <t>Limite</t>
  </si>
  <si>
    <t xml:space="preserve">Intervalo </t>
  </si>
  <si>
    <t xml:space="preserve">F.correcion </t>
  </si>
  <si>
    <t xml:space="preserve">Inferior </t>
  </si>
  <si>
    <t>Superior</t>
  </si>
  <si>
    <t xml:space="preserve">Puntual </t>
  </si>
  <si>
    <t xml:space="preserve">Pronostico </t>
  </si>
  <si>
    <t xml:space="preserve">Limite superior </t>
  </si>
  <si>
    <t xml:space="preserve">Metodo </t>
  </si>
  <si>
    <t xml:space="preserve">Limite inferior </t>
  </si>
  <si>
    <t xml:space="preserve">Exponencial </t>
  </si>
  <si>
    <t>Potencial</t>
  </si>
  <si>
    <t xml:space="preserve">Logoritmico </t>
  </si>
  <si>
    <t xml:space="preserve">Superior </t>
  </si>
  <si>
    <t>Puntual</t>
  </si>
  <si>
    <t>Ultimo dato</t>
  </si>
  <si>
    <t>Flujo de caja</t>
  </si>
  <si>
    <t xml:space="preserve">Escenario Puntual </t>
  </si>
  <si>
    <t>%</t>
  </si>
  <si>
    <t xml:space="preserve">Concepto </t>
  </si>
  <si>
    <t>Ft</t>
  </si>
  <si>
    <t>Van</t>
  </si>
  <si>
    <t xml:space="preserve">Tir </t>
  </si>
  <si>
    <t>Proyecto</t>
  </si>
  <si>
    <t xml:space="preserve">Inversion </t>
  </si>
  <si>
    <t>Patente</t>
  </si>
  <si>
    <t>Tmar</t>
  </si>
  <si>
    <t>Ingresos</t>
  </si>
  <si>
    <t>Costos</t>
  </si>
  <si>
    <t>M.P.</t>
  </si>
  <si>
    <t>M.O.D</t>
  </si>
  <si>
    <t>C.I.F</t>
  </si>
  <si>
    <t>UBRUTA</t>
  </si>
  <si>
    <t>ALQUILERES</t>
  </si>
  <si>
    <t>SUELDOS</t>
  </si>
  <si>
    <t xml:space="preserve">COMISIONES </t>
  </si>
  <si>
    <t>Metodo del Promedio</t>
  </si>
  <si>
    <t xml:space="preserve">Promedio </t>
  </si>
  <si>
    <t>Calcular de la Tmar</t>
  </si>
  <si>
    <t>Accionista</t>
  </si>
  <si>
    <t>Riesgo (i)</t>
  </si>
  <si>
    <t>Inflacion(f)</t>
  </si>
  <si>
    <t>%Participacion</t>
  </si>
  <si>
    <t>Tmar Ponderada</t>
  </si>
  <si>
    <t>Socio A</t>
  </si>
  <si>
    <t>Socio B</t>
  </si>
  <si>
    <t>Socio C</t>
  </si>
  <si>
    <t>Socio D</t>
  </si>
  <si>
    <t>Socio E</t>
  </si>
  <si>
    <t xml:space="preserve">Tmar Ponderada </t>
  </si>
  <si>
    <t>costos</t>
  </si>
  <si>
    <t xml:space="preserve">ingresos </t>
  </si>
  <si>
    <t>S</t>
  </si>
  <si>
    <t xml:space="preserve">Cuota Nivelada - Sistema Frances </t>
  </si>
  <si>
    <t>P</t>
  </si>
  <si>
    <t>M</t>
  </si>
  <si>
    <t>J</t>
  </si>
  <si>
    <t xml:space="preserve">Renta </t>
  </si>
  <si>
    <t>Pagos</t>
  </si>
  <si>
    <t xml:space="preserve">Factor </t>
  </si>
  <si>
    <t>Interes</t>
  </si>
  <si>
    <t>Capital obligatorio</t>
  </si>
  <si>
    <t>Capital voluntario</t>
  </si>
  <si>
    <t xml:space="preserve">Prestamo </t>
  </si>
  <si>
    <t>CUOTA NO NIVELADAS Ó SISTEMA ALEMÁN</t>
  </si>
  <si>
    <t>Renta</t>
  </si>
  <si>
    <t xml:space="preserve">Capital </t>
  </si>
  <si>
    <t>Amortizacion</t>
  </si>
  <si>
    <t xml:space="preserve">Pago </t>
  </si>
  <si>
    <t>Años</t>
  </si>
  <si>
    <t>Diferimientos de meses</t>
  </si>
  <si>
    <t xml:space="preserve">Interes </t>
  </si>
  <si>
    <t xml:space="preserve">Años </t>
  </si>
  <si>
    <t>Diferimiento</t>
  </si>
  <si>
    <t>Abono capital</t>
  </si>
  <si>
    <t xml:space="preserve">  </t>
  </si>
  <si>
    <t>Total</t>
  </si>
  <si>
    <t>CUOTA DECRECIENE BANCARIA</t>
  </si>
  <si>
    <t>CUOTA PATRONAL IGGSS</t>
  </si>
  <si>
    <t>INTERES PAGADOS</t>
  </si>
  <si>
    <t>MAQUINARIA</t>
  </si>
  <si>
    <t>UAI</t>
  </si>
  <si>
    <t>COMBUSTIBLE</t>
  </si>
  <si>
    <t>IMPUESTOS</t>
  </si>
  <si>
    <t xml:space="preserve">IVA </t>
  </si>
  <si>
    <t>ISR</t>
  </si>
  <si>
    <t>ISO</t>
  </si>
  <si>
    <t>VAN</t>
  </si>
  <si>
    <t>UNETA</t>
  </si>
  <si>
    <t xml:space="preserve">EFISCALES </t>
  </si>
  <si>
    <t>FEN</t>
  </si>
  <si>
    <t xml:space="preserve">Modulo de impuestos </t>
  </si>
  <si>
    <t>IVA</t>
  </si>
  <si>
    <t>Debito Fiscal</t>
  </si>
  <si>
    <t xml:space="preserve">Credito Fiscal </t>
  </si>
  <si>
    <t>Credito Fiscal Siguiente Periodo</t>
  </si>
  <si>
    <t xml:space="preserve">Iva por pagar </t>
  </si>
  <si>
    <t>CNETA</t>
  </si>
  <si>
    <t xml:space="preserve">ISR </t>
  </si>
  <si>
    <t>Costos &amp; Gastos Deducibles</t>
  </si>
  <si>
    <t xml:space="preserve">UAI en Operaciones </t>
  </si>
  <si>
    <t xml:space="preserve">% Rentabilidad </t>
  </si>
  <si>
    <t xml:space="preserve">Regimen </t>
  </si>
  <si>
    <t xml:space="preserve">ISR por pagar </t>
  </si>
  <si>
    <t>xxx</t>
  </si>
  <si>
    <t>B</t>
  </si>
  <si>
    <t>C</t>
  </si>
  <si>
    <t>D</t>
  </si>
  <si>
    <t>TIR</t>
  </si>
  <si>
    <t>ISR A ISO</t>
  </si>
  <si>
    <t xml:space="preserve">Iso por Pagar </t>
  </si>
  <si>
    <t>PayBack (Años)</t>
  </si>
  <si>
    <t>VEHICULOS</t>
  </si>
  <si>
    <t>Vida util</t>
  </si>
  <si>
    <t>EQUIPO DE COMPUTO</t>
  </si>
  <si>
    <t>HERRAMIENTAS</t>
  </si>
  <si>
    <t xml:space="preserve">PUBLICIDAD </t>
  </si>
  <si>
    <t>Capital</t>
  </si>
  <si>
    <t>Cuota Nivelada Bancaria</t>
  </si>
  <si>
    <t>Enero</t>
  </si>
  <si>
    <t>Febrero</t>
  </si>
  <si>
    <t xml:space="preserve">Marzo </t>
  </si>
  <si>
    <t xml:space="preserve">Abril </t>
  </si>
  <si>
    <t xml:space="preserve">Mayo </t>
  </si>
  <si>
    <t xml:space="preserve">Junio </t>
  </si>
  <si>
    <t xml:space="preserve">Julio </t>
  </si>
  <si>
    <t xml:space="preserve">Agosto </t>
  </si>
  <si>
    <t xml:space="preserve">Septiempre </t>
  </si>
  <si>
    <t xml:space="preserve">Octubre </t>
  </si>
  <si>
    <t xml:space="preserve">Noviembre </t>
  </si>
  <si>
    <t xml:space="preserve">Diciembre </t>
  </si>
  <si>
    <t>Socio F</t>
  </si>
  <si>
    <t>SERVICIOS UTILIZADOS</t>
  </si>
  <si>
    <t>SEGUROS PAGADOS</t>
  </si>
  <si>
    <t>ACCESORIOS DE OFICINA</t>
  </si>
  <si>
    <t xml:space="preserve">MANTENIMIENTO </t>
  </si>
  <si>
    <t>INSUMOS VARIOS</t>
  </si>
  <si>
    <t>MOBILIARIO Y EQUIPO</t>
  </si>
  <si>
    <t>DERECHOS DE LLAVE</t>
  </si>
  <si>
    <t>OTROS ACTIVOS</t>
  </si>
  <si>
    <t>GTS DE ADMINISTRACION</t>
  </si>
  <si>
    <t xml:space="preserve">Septiembre </t>
  </si>
  <si>
    <t>cantidad pago</t>
  </si>
  <si>
    <t>mes de pago</t>
  </si>
  <si>
    <t>pagos totales</t>
  </si>
  <si>
    <t xml:space="preserve">suma pagos iniciales </t>
  </si>
  <si>
    <t>pagos restantes</t>
  </si>
  <si>
    <t xml:space="preserve">pagos de doce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</si>
</sst>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7" formatCode="&quot;Q&quot;#,##0.00;\-&quot;Q&quot;#,##0.00"/>
    <numFmt numFmtId="8" formatCode="&quot;Q&quot;#,##0.00;[Red]\-&quot;Q&quot;#,##0.00"/>
    <numFmt numFmtId="44" formatCode="_-&quot;Q&quot;* #,##0.00_-;\-&quot;Q&quot;* #,##0.00_-;_-&quot;Q&quot;* &quot;-&quot;??_-;_-@_-"/>
    <numFmt numFmtId="43" formatCode="_-* #,##0.00_-;\-* #,##0.00_-;_-* &quot;-&quot;??_-;_-@_-"/>
    <numFmt numFmtId="164" formatCode="_-[$Q-100A]* #,##0.00_-;\-[$Q-100A]* #,##0.00_-;_-[$Q-100A]* &quot;-&quot;??_-;_-@_-"/>
    <numFmt numFmtId="165" formatCode="0.0000_ ;[Red]\-0.0000\ "/>
    <numFmt numFmtId="166" formatCode="0.0000"/>
    <numFmt numFmtId="167" formatCode="#,##0.0000;[Red]\-#,##0.0000"/>
    <numFmt numFmtId="168" formatCode="0.0"/>
    <numFmt numFmtId="169" formatCode="0.0%"/>
    <numFmt numFmtId="170" formatCode="_-* #,##0_-;\-* #,##0_-;_-* &quot;-&quot;??_-;_-@_-"/>
    <numFmt numFmtId="171" formatCode="&quot;Q&quot;#,##0.000000000000000000000;\-&quot;Q&quot;#,##0.000000000000000000000"/>
    <numFmt numFmtId="172" formatCode="_-&quot;Q&quot;* #,##0.000_-;\-&quot;Q&quot;* #,##0.000_-;_-&quot;Q&quot;* &quot;-&quot;??_-;_-@_-"/>
    <numFmt numFmtId="173" formatCode="0.00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5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0" fillId="3" borderId="16" xfId="0" applyFont="1" applyFill="1" applyBorder="1"/>
    <xf numFmtId="0" fontId="0" fillId="3" borderId="18" xfId="0" applyFont="1" applyFill="1" applyBorder="1"/>
    <xf numFmtId="0" fontId="0" fillId="0" borderId="12" xfId="0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7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3" borderId="17" xfId="0" applyFont="1" applyFill="1" applyBorder="1" applyAlignment="1">
      <alignment horizontal="center"/>
    </xf>
    <xf numFmtId="9" fontId="0" fillId="3" borderId="17" xfId="1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0" fillId="3" borderId="7" xfId="0" applyFill="1" applyBorder="1"/>
    <xf numFmtId="0" fontId="0" fillId="3" borderId="8" xfId="0" applyFill="1" applyBorder="1"/>
    <xf numFmtId="0" fontId="4" fillId="0" borderId="0" xfId="0" applyFont="1"/>
    <xf numFmtId="0" fontId="3" fillId="2" borderId="18" xfId="0" applyFont="1" applyFill="1" applyBorder="1" applyAlignment="1">
      <alignment horizontal="center"/>
    </xf>
    <xf numFmtId="0" fontId="0" fillId="3" borderId="9" xfId="0" applyFill="1" applyBorder="1"/>
    <xf numFmtId="0" fontId="0" fillId="3" borderId="1" xfId="0" applyFont="1" applyFill="1" applyBorder="1"/>
    <xf numFmtId="0" fontId="0" fillId="3" borderId="12" xfId="0" applyFont="1" applyFill="1" applyBorder="1"/>
    <xf numFmtId="0" fontId="0" fillId="3" borderId="2" xfId="0" applyFont="1" applyFill="1" applyBorder="1"/>
    <xf numFmtId="0" fontId="2" fillId="2" borderId="0" xfId="0" applyFont="1" applyFill="1" applyBorder="1" applyAlignment="1">
      <alignment horizontal="center"/>
    </xf>
    <xf numFmtId="0" fontId="0" fillId="3" borderId="0" xfId="0" applyFill="1"/>
    <xf numFmtId="0" fontId="3" fillId="2" borderId="3" xfId="0" applyFont="1" applyFill="1" applyBorder="1" applyAlignment="1">
      <alignment horizontal="center"/>
    </xf>
    <xf numFmtId="9" fontId="0" fillId="3" borderId="17" xfId="1" applyFont="1" applyFill="1" applyBorder="1"/>
    <xf numFmtId="0" fontId="2" fillId="2" borderId="0" xfId="0" applyFont="1" applyFill="1" applyBorder="1" applyAlignment="1">
      <alignment horizontal="center" wrapText="1"/>
    </xf>
    <xf numFmtId="0" fontId="0" fillId="2" borderId="0" xfId="0" applyFill="1"/>
    <xf numFmtId="0" fontId="0" fillId="7" borderId="4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3" borderId="5" xfId="0" applyFill="1" applyBorder="1"/>
    <xf numFmtId="0" fontId="0" fillId="3" borderId="10" xfId="0" applyFill="1" applyBorder="1"/>
    <xf numFmtId="0" fontId="0" fillId="3" borderId="12" xfId="0" applyFill="1" applyBorder="1"/>
    <xf numFmtId="0" fontId="3" fillId="2" borderId="12" xfId="0" applyFont="1" applyFill="1" applyBorder="1" applyAlignment="1">
      <alignment horizontal="center"/>
    </xf>
    <xf numFmtId="0" fontId="0" fillId="0" borderId="12" xfId="0" applyBorder="1"/>
    <xf numFmtId="0" fontId="2" fillId="2" borderId="4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10" fontId="0" fillId="3" borderId="17" xfId="1" applyNumberFormat="1" applyFont="1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10" fontId="0" fillId="3" borderId="7" xfId="0" applyNumberFormat="1" applyFill="1" applyBorder="1" applyAlignment="1">
      <alignment horizontal="center"/>
    </xf>
    <xf numFmtId="10" fontId="0" fillId="3" borderId="0" xfId="0" applyNumberFormat="1" applyFill="1" applyBorder="1" applyAlignment="1">
      <alignment horizontal="center"/>
    </xf>
    <xf numFmtId="10" fontId="0" fillId="3" borderId="8" xfId="0" applyNumberFormat="1" applyFill="1" applyBorder="1" applyAlignment="1">
      <alignment horizontal="center"/>
    </xf>
    <xf numFmtId="0" fontId="0" fillId="0" borderId="0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164" fontId="0" fillId="0" borderId="12" xfId="0" applyNumberFormat="1" applyBorder="1"/>
    <xf numFmtId="164" fontId="0" fillId="3" borderId="16" xfId="0" applyNumberFormat="1" applyFill="1" applyBorder="1" applyAlignment="1">
      <alignment horizontal="center"/>
    </xf>
    <xf numFmtId="164" fontId="0" fillId="3" borderId="17" xfId="0" applyNumberFormat="1" applyFill="1" applyBorder="1" applyAlignment="1">
      <alignment horizontal="center"/>
    </xf>
    <xf numFmtId="164" fontId="0" fillId="3" borderId="18" xfId="0" applyNumberForma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2" fillId="8" borderId="0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164" fontId="2" fillId="8" borderId="0" xfId="0" applyNumberFormat="1" applyFont="1" applyFill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5" fillId="3" borderId="1" xfId="0" applyFont="1" applyFill="1" applyBorder="1"/>
    <xf numFmtId="0" fontId="5" fillId="3" borderId="3" xfId="0" applyFont="1" applyFill="1" applyBorder="1"/>
    <xf numFmtId="0" fontId="5" fillId="3" borderId="2" xfId="0" applyFont="1" applyFill="1" applyBorder="1"/>
    <xf numFmtId="10" fontId="0" fillId="3" borderId="4" xfId="0" applyNumberFormat="1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0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0" fontId="2" fillId="2" borderId="0" xfId="0" applyFont="1" applyFill="1"/>
    <xf numFmtId="0" fontId="0" fillId="3" borderId="2" xfId="0" applyFill="1" applyBorder="1"/>
    <xf numFmtId="2" fontId="5" fillId="3" borderId="3" xfId="0" applyNumberFormat="1" applyFont="1" applyFill="1" applyBorder="1"/>
    <xf numFmtId="166" fontId="0" fillId="3" borderId="9" xfId="0" applyNumberFormat="1" applyFill="1" applyBorder="1"/>
    <xf numFmtId="0" fontId="2" fillId="0" borderId="0" xfId="0" applyFont="1"/>
    <xf numFmtId="10" fontId="0" fillId="3" borderId="12" xfId="1" applyNumberFormat="1" applyFont="1" applyFill="1" applyBorder="1"/>
    <xf numFmtId="0" fontId="0" fillId="4" borderId="5" xfId="0" applyFill="1" applyBorder="1" applyAlignment="1">
      <alignment horizontal="center"/>
    </xf>
    <xf numFmtId="167" fontId="0" fillId="3" borderId="4" xfId="0" applyNumberFormat="1" applyFill="1" applyBorder="1" applyAlignment="1">
      <alignment horizontal="center"/>
    </xf>
    <xf numFmtId="167" fontId="0" fillId="3" borderId="6" xfId="1" applyNumberFormat="1" applyFont="1" applyFill="1" applyBorder="1" applyAlignment="1">
      <alignment horizontal="center"/>
    </xf>
    <xf numFmtId="167" fontId="0" fillId="3" borderId="6" xfId="0" applyNumberFormat="1" applyFill="1" applyBorder="1" applyAlignment="1">
      <alignment horizontal="center"/>
    </xf>
    <xf numFmtId="167" fontId="0" fillId="3" borderId="5" xfId="0" applyNumberFormat="1" applyFill="1" applyBorder="1" applyAlignment="1">
      <alignment horizontal="center"/>
    </xf>
    <xf numFmtId="167" fontId="0" fillId="3" borderId="7" xfId="0" applyNumberFormat="1" applyFill="1" applyBorder="1" applyAlignment="1">
      <alignment horizontal="center"/>
    </xf>
    <xf numFmtId="167" fontId="0" fillId="3" borderId="0" xfId="0" applyNumberFormat="1" applyFill="1" applyBorder="1" applyAlignment="1">
      <alignment horizontal="center"/>
    </xf>
    <xf numFmtId="167" fontId="0" fillId="3" borderId="8" xfId="0" applyNumberFormat="1" applyFill="1" applyBorder="1" applyAlignment="1">
      <alignment horizontal="center"/>
    </xf>
    <xf numFmtId="9" fontId="0" fillId="3" borderId="1" xfId="1" applyFont="1" applyFill="1" applyBorder="1" applyAlignment="1">
      <alignment horizontal="center"/>
    </xf>
    <xf numFmtId="2" fontId="0" fillId="3" borderId="7" xfId="0" applyNumberFormat="1" applyFill="1" applyBorder="1" applyAlignment="1">
      <alignment horizontal="center"/>
    </xf>
    <xf numFmtId="0" fontId="2" fillId="2" borderId="4" xfId="0" applyFont="1" applyFill="1" applyBorder="1"/>
    <xf numFmtId="0" fontId="2" fillId="2" borderId="6" xfId="0" applyFont="1" applyFill="1" applyBorder="1"/>
    <xf numFmtId="0" fontId="2" fillId="2" borderId="5" xfId="0" applyFont="1" applyFill="1" applyBorder="1"/>
    <xf numFmtId="2" fontId="0" fillId="3" borderId="1" xfId="0" applyNumberFormat="1" applyFill="1" applyBorder="1"/>
    <xf numFmtId="9" fontId="2" fillId="2" borderId="9" xfId="0" applyNumberFormat="1" applyFont="1" applyFill="1" applyBorder="1"/>
    <xf numFmtId="2" fontId="0" fillId="3" borderId="4" xfId="0" applyNumberFormat="1" applyFill="1" applyBorder="1"/>
    <xf numFmtId="2" fontId="0" fillId="3" borderId="6" xfId="0" applyNumberFormat="1" applyFill="1" applyBorder="1"/>
    <xf numFmtId="2" fontId="0" fillId="3" borderId="5" xfId="0" applyNumberFormat="1" applyFill="1" applyBorder="1"/>
    <xf numFmtId="0" fontId="2" fillId="2" borderId="0" xfId="0" applyFont="1" applyFill="1" applyBorder="1"/>
    <xf numFmtId="2" fontId="0" fillId="3" borderId="9" xfId="0" applyNumberFormat="1" applyFill="1" applyBorder="1"/>
    <xf numFmtId="2" fontId="0" fillId="3" borderId="10" xfId="0" applyNumberFormat="1" applyFill="1" applyBorder="1"/>
    <xf numFmtId="2" fontId="0" fillId="3" borderId="11" xfId="0" applyNumberFormat="1" applyFill="1" applyBorder="1"/>
    <xf numFmtId="0" fontId="2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9" fontId="1" fillId="3" borderId="17" xfId="1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9" fontId="0" fillId="0" borderId="0" xfId="0" applyNumberForma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left"/>
    </xf>
    <xf numFmtId="2" fontId="2" fillId="0" borderId="0" xfId="0" applyNumberFormat="1" applyFont="1"/>
    <xf numFmtId="2" fontId="0" fillId="0" borderId="12" xfId="0" applyNumberFormat="1" applyBorder="1" applyAlignment="1">
      <alignment horizontal="center"/>
    </xf>
    <xf numFmtId="0" fontId="2" fillId="2" borderId="0" xfId="0" applyFont="1" applyFill="1" applyAlignment="1">
      <alignment horizontal="center"/>
    </xf>
    <xf numFmtId="168" fontId="0" fillId="3" borderId="6" xfId="0" applyNumberFormat="1" applyFill="1" applyBorder="1" applyAlignment="1">
      <alignment horizontal="center"/>
    </xf>
    <xf numFmtId="10" fontId="0" fillId="3" borderId="5" xfId="1" applyNumberFormat="1" applyFont="1" applyFill="1" applyBorder="1" applyAlignment="1">
      <alignment horizontal="center"/>
    </xf>
    <xf numFmtId="168" fontId="0" fillId="3" borderId="0" xfId="0" applyNumberFormat="1" applyFill="1" applyBorder="1" applyAlignment="1">
      <alignment horizontal="center"/>
    </xf>
    <xf numFmtId="10" fontId="0" fillId="3" borderId="8" xfId="1" applyNumberFormat="1" applyFont="1" applyFill="1" applyBorder="1" applyAlignment="1">
      <alignment horizontal="center"/>
    </xf>
    <xf numFmtId="10" fontId="0" fillId="3" borderId="10" xfId="1" applyNumberFormat="1" applyFont="1" applyFill="1" applyBorder="1" applyAlignment="1">
      <alignment horizontal="center"/>
    </xf>
    <xf numFmtId="10" fontId="8" fillId="3" borderId="16" xfId="0" applyNumberFormat="1" applyFont="1" applyFill="1" applyBorder="1"/>
    <xf numFmtId="0" fontId="6" fillId="3" borderId="17" xfId="0" applyFont="1" applyFill="1" applyBorder="1"/>
    <xf numFmtId="10" fontId="9" fillId="3" borderId="17" xfId="0" applyNumberFormat="1" applyFont="1" applyFill="1" applyBorder="1"/>
    <xf numFmtId="10" fontId="10" fillId="3" borderId="17" xfId="0" applyNumberFormat="1" applyFont="1" applyFill="1" applyBorder="1"/>
    <xf numFmtId="10" fontId="8" fillId="3" borderId="12" xfId="0" applyNumberFormat="1" applyFont="1" applyFill="1" applyBorder="1"/>
    <xf numFmtId="0" fontId="6" fillId="3" borderId="18" xfId="0" applyFont="1" applyFill="1" applyBorder="1"/>
    <xf numFmtId="0" fontId="2" fillId="2" borderId="1" xfId="0" applyFont="1" applyFill="1" applyBorder="1"/>
    <xf numFmtId="0" fontId="2" fillId="2" borderId="3" xfId="0" applyFont="1" applyFill="1" applyBorder="1"/>
    <xf numFmtId="0" fontId="2" fillId="2" borderId="2" xfId="0" applyFont="1" applyFill="1" applyBorder="1"/>
    <xf numFmtId="0" fontId="0" fillId="3" borderId="1" xfId="0" applyFill="1" applyBorder="1"/>
    <xf numFmtId="0" fontId="0" fillId="3" borderId="3" xfId="0" applyFill="1" applyBorder="1"/>
    <xf numFmtId="9" fontId="0" fillId="3" borderId="0" xfId="1" applyFont="1" applyFill="1"/>
    <xf numFmtId="169" fontId="0" fillId="3" borderId="0" xfId="1" applyNumberFormat="1" applyFont="1" applyFill="1"/>
    <xf numFmtId="10" fontId="0" fillId="3" borderId="0" xfId="0" applyNumberFormat="1" applyFill="1"/>
    <xf numFmtId="0" fontId="0" fillId="4" borderId="3" xfId="0" applyFill="1" applyBorder="1"/>
    <xf numFmtId="9" fontId="0" fillId="4" borderId="3" xfId="0" applyNumberFormat="1" applyFill="1" applyBorder="1"/>
    <xf numFmtId="10" fontId="0" fillId="4" borderId="2" xfId="0" applyNumberFormat="1" applyFill="1" applyBorder="1"/>
    <xf numFmtId="2" fontId="0" fillId="3" borderId="3" xfId="0" applyNumberFormat="1" applyFill="1" applyBorder="1"/>
    <xf numFmtId="2" fontId="0" fillId="3" borderId="2" xfId="0" applyNumberFormat="1" applyFill="1" applyBorder="1"/>
    <xf numFmtId="168" fontId="0" fillId="3" borderId="16" xfId="0" applyNumberFormat="1" applyFill="1" applyBorder="1" applyAlignment="1">
      <alignment horizontal="center"/>
    </xf>
    <xf numFmtId="168" fontId="0" fillId="3" borderId="17" xfId="0" applyNumberFormat="1" applyFill="1" applyBorder="1" applyAlignment="1">
      <alignment horizontal="center"/>
    </xf>
    <xf numFmtId="168" fontId="0" fillId="3" borderId="18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44" fontId="0" fillId="3" borderId="0" xfId="2" applyFont="1" applyFill="1"/>
    <xf numFmtId="9" fontId="0" fillId="3" borderId="19" xfId="1" applyFont="1" applyFill="1" applyBorder="1"/>
    <xf numFmtId="0" fontId="0" fillId="3" borderId="20" xfId="0" applyFill="1" applyBorder="1" applyAlignment="1">
      <alignment horizontal="center"/>
    </xf>
    <xf numFmtId="44" fontId="0" fillId="3" borderId="19" xfId="2" applyFont="1" applyFill="1" applyBorder="1"/>
    <xf numFmtId="44" fontId="0" fillId="3" borderId="0" xfId="0" applyNumberFormat="1" applyFill="1"/>
    <xf numFmtId="9" fontId="0" fillId="3" borderId="20" xfId="1" applyFont="1" applyFill="1" applyBorder="1"/>
    <xf numFmtId="0" fontId="0" fillId="3" borderId="20" xfId="0" applyFill="1" applyBorder="1"/>
    <xf numFmtId="44" fontId="0" fillId="3" borderId="20" xfId="0" applyNumberFormat="1" applyFill="1" applyBorder="1"/>
    <xf numFmtId="9" fontId="0" fillId="3" borderId="9" xfId="1" applyFont="1" applyFill="1" applyBorder="1"/>
    <xf numFmtId="0" fontId="0" fillId="3" borderId="11" xfId="0" applyFill="1" applyBorder="1"/>
    <xf numFmtId="0" fontId="0" fillId="3" borderId="21" xfId="0" applyFill="1" applyBorder="1" applyAlignment="1">
      <alignment horizontal="center"/>
    </xf>
    <xf numFmtId="44" fontId="0" fillId="3" borderId="11" xfId="0" applyNumberFormat="1" applyFill="1" applyBorder="1"/>
    <xf numFmtId="44" fontId="0" fillId="3" borderId="10" xfId="0" applyNumberFormat="1" applyFill="1" applyBorder="1"/>
    <xf numFmtId="44" fontId="0" fillId="3" borderId="0" xfId="2" applyFont="1" applyFill="1" applyAlignment="1"/>
    <xf numFmtId="44" fontId="0" fillId="3" borderId="20" xfId="2" applyFont="1" applyFill="1" applyBorder="1"/>
    <xf numFmtId="44" fontId="0" fillId="3" borderId="3" xfId="2" applyFont="1" applyFill="1" applyBorder="1"/>
    <xf numFmtId="0" fontId="0" fillId="3" borderId="0" xfId="0" applyFont="1" applyFill="1" applyBorder="1" applyAlignment="1">
      <alignment horizontal="center"/>
    </xf>
    <xf numFmtId="44" fontId="0" fillId="3" borderId="0" xfId="2" applyFont="1" applyFill="1" applyBorder="1"/>
    <xf numFmtId="0" fontId="0" fillId="3" borderId="0" xfId="0" applyFill="1" applyBorder="1"/>
    <xf numFmtId="44" fontId="0" fillId="3" borderId="16" xfId="2" applyFont="1" applyFill="1" applyBorder="1" applyAlignment="1">
      <alignment horizontal="center"/>
    </xf>
    <xf numFmtId="10" fontId="0" fillId="3" borderId="17" xfId="1" applyNumberFormat="1" applyFont="1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166" fontId="0" fillId="3" borderId="17" xfId="0" applyNumberFormat="1" applyFill="1" applyBorder="1" applyAlignment="1">
      <alignment horizontal="center"/>
    </xf>
    <xf numFmtId="0" fontId="0" fillId="3" borderId="4" xfId="0" applyFont="1" applyFill="1" applyBorder="1" applyAlignment="1">
      <alignment horizontal="center" vertical="center"/>
    </xf>
    <xf numFmtId="44" fontId="0" fillId="3" borderId="8" xfId="2" applyFont="1" applyFill="1" applyBorder="1" applyAlignment="1">
      <alignment horizontal="center"/>
    </xf>
    <xf numFmtId="44" fontId="0" fillId="3" borderId="0" xfId="2" applyFont="1" applyFill="1" applyAlignment="1">
      <alignment horizontal="center"/>
    </xf>
    <xf numFmtId="43" fontId="0" fillId="3" borderId="0" xfId="2" applyNumberFormat="1" applyFont="1" applyFill="1" applyBorder="1" applyAlignment="1">
      <alignment horizontal="center"/>
    </xf>
    <xf numFmtId="43" fontId="0" fillId="3" borderId="0" xfId="2" applyNumberFormat="1" applyFont="1" applyFill="1" applyBorder="1"/>
    <xf numFmtId="44" fontId="0" fillId="3" borderId="0" xfId="2" applyFont="1" applyFill="1" applyBorder="1" applyAlignment="1">
      <alignment horizontal="center"/>
    </xf>
    <xf numFmtId="0" fontId="2" fillId="9" borderId="3" xfId="0" applyFont="1" applyFill="1" applyBorder="1" applyAlignment="1">
      <alignment horizontal="center"/>
    </xf>
    <xf numFmtId="0" fontId="2" fillId="9" borderId="2" xfId="0" applyFont="1" applyFill="1" applyBorder="1" applyAlignment="1">
      <alignment horizontal="center"/>
    </xf>
    <xf numFmtId="43" fontId="0" fillId="3" borderId="7" xfId="2" applyNumberFormat="1" applyFont="1" applyFill="1" applyBorder="1" applyAlignment="1">
      <alignment horizontal="center"/>
    </xf>
    <xf numFmtId="0" fontId="0" fillId="3" borderId="7" xfId="0" applyFont="1" applyFill="1" applyBorder="1"/>
    <xf numFmtId="44" fontId="0" fillId="3" borderId="11" xfId="2" applyFont="1" applyFill="1" applyBorder="1" applyAlignment="1">
      <alignment horizontal="center"/>
    </xf>
    <xf numFmtId="44" fontId="0" fillId="3" borderId="10" xfId="2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7" fontId="0" fillId="3" borderId="0" xfId="2" applyNumberFormat="1" applyFont="1" applyFill="1" applyBorder="1"/>
    <xf numFmtId="7" fontId="0" fillId="3" borderId="8" xfId="2" applyNumberFormat="1" applyFont="1" applyFill="1" applyBorder="1" applyAlignment="1">
      <alignment horizontal="center"/>
    </xf>
    <xf numFmtId="7" fontId="0" fillId="3" borderId="0" xfId="2" applyNumberFormat="1" applyFont="1" applyFill="1" applyBorder="1" applyAlignment="1">
      <alignment horizontal="center"/>
    </xf>
    <xf numFmtId="170" fontId="0" fillId="3" borderId="7" xfId="2" applyNumberFormat="1" applyFont="1" applyFill="1" applyBorder="1" applyAlignment="1">
      <alignment horizontal="center"/>
    </xf>
    <xf numFmtId="170" fontId="0" fillId="3" borderId="9" xfId="2" applyNumberFormat="1" applyFont="1" applyFill="1" applyBorder="1" applyAlignment="1">
      <alignment horizontal="center"/>
    </xf>
    <xf numFmtId="170" fontId="0" fillId="3" borderId="0" xfId="2" applyNumberFormat="1" applyFont="1" applyFill="1" applyAlignment="1">
      <alignment horizontal="center"/>
    </xf>
    <xf numFmtId="170" fontId="0" fillId="3" borderId="0" xfId="2" applyNumberFormat="1" applyFont="1" applyFill="1"/>
    <xf numFmtId="170" fontId="0" fillId="3" borderId="0" xfId="0" applyNumberFormat="1" applyFill="1"/>
    <xf numFmtId="44" fontId="0" fillId="3" borderId="17" xfId="2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2" fillId="9" borderId="23" xfId="0" applyFont="1" applyFill="1" applyBorder="1" applyAlignment="1">
      <alignment horizontal="center"/>
    </xf>
    <xf numFmtId="0" fontId="2" fillId="9" borderId="24" xfId="0" applyFont="1" applyFill="1" applyBorder="1" applyAlignment="1">
      <alignment horizontal="center"/>
    </xf>
    <xf numFmtId="0" fontId="2" fillId="9" borderId="16" xfId="0" applyFont="1" applyFill="1" applyBorder="1"/>
    <xf numFmtId="0" fontId="2" fillId="9" borderId="17" xfId="0" applyFont="1" applyFill="1" applyBorder="1"/>
    <xf numFmtId="0" fontId="2" fillId="9" borderId="18" xfId="0" applyFont="1" applyFill="1" applyBorder="1"/>
    <xf numFmtId="7" fontId="0" fillId="0" borderId="0" xfId="0" applyNumberFormat="1"/>
    <xf numFmtId="0" fontId="2" fillId="2" borderId="1" xfId="0" applyFont="1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44" fontId="0" fillId="3" borderId="8" xfId="2" applyFont="1" applyFill="1" applyBorder="1"/>
    <xf numFmtId="44" fontId="0" fillId="3" borderId="11" xfId="2" applyFont="1" applyFill="1" applyBorder="1"/>
    <xf numFmtId="44" fontId="0" fillId="0" borderId="0" xfId="2" applyFont="1"/>
    <xf numFmtId="44" fontId="0" fillId="3" borderId="17" xfId="2" applyFont="1" applyFill="1" applyBorder="1"/>
    <xf numFmtId="44" fontId="0" fillId="3" borderId="18" xfId="2" applyFont="1" applyFill="1" applyBorder="1"/>
    <xf numFmtId="44" fontId="0" fillId="0" borderId="17" xfId="2" applyFont="1" applyBorder="1"/>
    <xf numFmtId="0" fontId="0" fillId="0" borderId="17" xfId="0" applyBorder="1"/>
    <xf numFmtId="0" fontId="0" fillId="0" borderId="18" xfId="0" applyBorder="1"/>
    <xf numFmtId="44" fontId="0" fillId="0" borderId="18" xfId="2" applyFont="1" applyBorder="1"/>
    <xf numFmtId="7" fontId="0" fillId="3" borderId="17" xfId="2" applyNumberFormat="1" applyFont="1" applyFill="1" applyBorder="1"/>
    <xf numFmtId="44" fontId="0" fillId="0" borderId="0" xfId="0" applyNumberFormat="1"/>
    <xf numFmtId="0" fontId="2" fillId="2" borderId="1" xfId="0" applyFont="1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44" fontId="0" fillId="3" borderId="0" xfId="0" applyNumberFormat="1" applyFont="1" applyFill="1" applyBorder="1" applyAlignment="1">
      <alignment horizontal="center" vertical="center"/>
    </xf>
    <xf numFmtId="44" fontId="0" fillId="3" borderId="5" xfId="0" applyNumberFormat="1" applyFont="1" applyFill="1" applyBorder="1" applyAlignment="1">
      <alignment horizontal="center" vertical="center"/>
    </xf>
    <xf numFmtId="0" fontId="0" fillId="3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11" xfId="0" applyBorder="1"/>
    <xf numFmtId="0" fontId="0" fillId="0" borderId="10" xfId="0" applyBorder="1"/>
    <xf numFmtId="44" fontId="0" fillId="3" borderId="6" xfId="2" applyFont="1" applyFill="1" applyBorder="1" applyAlignment="1">
      <alignment horizontal="center" vertical="center"/>
    </xf>
    <xf numFmtId="9" fontId="0" fillId="0" borderId="0" xfId="1" applyFont="1"/>
    <xf numFmtId="10" fontId="0" fillId="3" borderId="7" xfId="1" applyNumberFormat="1" applyFont="1" applyFill="1" applyBorder="1" applyAlignment="1">
      <alignment horizontal="center"/>
    </xf>
    <xf numFmtId="0" fontId="0" fillId="3" borderId="9" xfId="1" applyNumberFormat="1" applyFon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44" fontId="0" fillId="3" borderId="0" xfId="2" applyFont="1" applyFill="1" applyBorder="1" applyAlignment="1">
      <alignment horizontal="center" vertical="center"/>
    </xf>
    <xf numFmtId="44" fontId="0" fillId="0" borderId="0" xfId="2" applyFont="1" applyBorder="1"/>
    <xf numFmtId="7" fontId="0" fillId="3" borderId="0" xfId="0" applyNumberFormat="1" applyFont="1" applyFill="1" applyBorder="1" applyAlignment="1">
      <alignment horizontal="center" vertical="center"/>
    </xf>
    <xf numFmtId="7" fontId="0" fillId="3" borderId="8" xfId="0" applyNumberFormat="1" applyFont="1" applyFill="1" applyBorder="1" applyAlignment="1">
      <alignment horizontal="center" vertical="center"/>
    </xf>
    <xf numFmtId="7" fontId="0" fillId="3" borderId="0" xfId="0" applyNumberFormat="1" applyFill="1" applyBorder="1" applyAlignment="1">
      <alignment horizontal="center"/>
    </xf>
    <xf numFmtId="7" fontId="0" fillId="3" borderId="8" xfId="0" applyNumberFormat="1" applyFill="1" applyBorder="1" applyAlignment="1">
      <alignment horizontal="center"/>
    </xf>
    <xf numFmtId="44" fontId="0" fillId="0" borderId="0" xfId="2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9" borderId="1" xfId="0" applyFont="1" applyFill="1" applyBorder="1" applyAlignment="1"/>
    <xf numFmtId="44" fontId="0" fillId="3" borderId="6" xfId="2" applyFont="1" applyFill="1" applyBorder="1" applyAlignment="1">
      <alignment horizontal="center"/>
    </xf>
    <xf numFmtId="44" fontId="0" fillId="0" borderId="0" xfId="2" applyFont="1" applyAlignment="1">
      <alignment horizontal="center"/>
    </xf>
    <xf numFmtId="0" fontId="0" fillId="0" borderId="16" xfId="0" applyBorder="1" applyAlignment="1">
      <alignment horizontal="center"/>
    </xf>
    <xf numFmtId="7" fontId="0" fillId="3" borderId="5" xfId="2" applyNumberFormat="1" applyFont="1" applyFill="1" applyBorder="1" applyAlignment="1">
      <alignment horizontal="center"/>
    </xf>
    <xf numFmtId="8" fontId="0" fillId="3" borderId="17" xfId="2" applyNumberFormat="1" applyFont="1" applyFill="1" applyBorder="1" applyAlignment="1">
      <alignment horizontal="center"/>
    </xf>
    <xf numFmtId="44" fontId="0" fillId="0" borderId="11" xfId="2" applyFont="1" applyBorder="1"/>
    <xf numFmtId="7" fontId="0" fillId="3" borderId="16" xfId="0" applyNumberFormat="1" applyFill="1" applyBorder="1"/>
    <xf numFmtId="0" fontId="2" fillId="10" borderId="1" xfId="0" applyFont="1" applyFill="1" applyBorder="1" applyAlignment="1">
      <alignment horizontal="center"/>
    </xf>
    <xf numFmtId="44" fontId="0" fillId="3" borderId="2" xfId="2" applyFont="1" applyFill="1" applyBorder="1" applyAlignment="1">
      <alignment horizontal="center"/>
    </xf>
    <xf numFmtId="7" fontId="0" fillId="3" borderId="12" xfId="2" applyNumberFormat="1" applyFont="1" applyFill="1" applyBorder="1" applyAlignment="1">
      <alignment horizontal="center"/>
    </xf>
    <xf numFmtId="171" fontId="0" fillId="0" borderId="0" xfId="0" applyNumberFormat="1"/>
    <xf numFmtId="0" fontId="0" fillId="0" borderId="2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3" borderId="26" xfId="0" applyFill="1" applyBorder="1"/>
    <xf numFmtId="44" fontId="0" fillId="3" borderId="7" xfId="2" applyFont="1" applyFill="1" applyBorder="1"/>
    <xf numFmtId="0" fontId="0" fillId="0" borderId="7" xfId="0" applyBorder="1" applyAlignment="1">
      <alignment horizontal="center"/>
    </xf>
    <xf numFmtId="7" fontId="0" fillId="3" borderId="0" xfId="0" applyNumberFormat="1" applyFill="1"/>
    <xf numFmtId="0" fontId="2" fillId="3" borderId="0" xfId="0" applyFont="1" applyFill="1"/>
    <xf numFmtId="44" fontId="5" fillId="3" borderId="17" xfId="2" applyFont="1" applyFill="1" applyBorder="1"/>
    <xf numFmtId="44" fontId="5" fillId="3" borderId="18" xfId="2" applyFont="1" applyFill="1" applyBorder="1"/>
    <xf numFmtId="0" fontId="6" fillId="3" borderId="1" xfId="0" applyFont="1" applyFill="1" applyBorder="1"/>
    <xf numFmtId="0" fontId="6" fillId="3" borderId="0" xfId="0" applyFont="1" applyFill="1" applyBorder="1"/>
    <xf numFmtId="0" fontId="6" fillId="3" borderId="3" xfId="0" applyFont="1" applyFill="1" applyBorder="1"/>
    <xf numFmtId="0" fontId="15" fillId="3" borderId="0" xfId="0" applyFont="1" applyFill="1"/>
    <xf numFmtId="0" fontId="18" fillId="3" borderId="0" xfId="0" applyFont="1" applyFill="1"/>
    <xf numFmtId="0" fontId="15" fillId="3" borderId="20" xfId="0" applyFont="1" applyFill="1" applyBorder="1"/>
    <xf numFmtId="44" fontId="0" fillId="3" borderId="3" xfId="0" applyNumberFormat="1" applyFill="1" applyBorder="1"/>
    <xf numFmtId="0" fontId="0" fillId="3" borderId="21" xfId="0" applyFill="1" applyBorder="1"/>
    <xf numFmtId="10" fontId="5" fillId="3" borderId="0" xfId="1" applyNumberFormat="1" applyFont="1" applyFill="1"/>
    <xf numFmtId="0" fontId="6" fillId="3" borderId="12" xfId="0" applyFont="1" applyFill="1" applyBorder="1"/>
    <xf numFmtId="0" fontId="6" fillId="3" borderId="16" xfId="0" applyFont="1" applyFill="1" applyBorder="1"/>
    <xf numFmtId="44" fontId="0" fillId="3" borderId="12" xfId="0" applyNumberForma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10" fontId="0" fillId="3" borderId="12" xfId="0" applyNumberFormat="1" applyFill="1" applyBorder="1" applyAlignment="1">
      <alignment horizontal="center"/>
    </xf>
    <xf numFmtId="44" fontId="6" fillId="3" borderId="3" xfId="0" applyNumberFormat="1" applyFont="1" applyFill="1" applyBorder="1"/>
    <xf numFmtId="2" fontId="0" fillId="3" borderId="3" xfId="0" applyNumberFormat="1" applyFont="1" applyFill="1" applyBorder="1" applyAlignment="1">
      <alignment horizontal="center"/>
    </xf>
    <xf numFmtId="44" fontId="15" fillId="3" borderId="0" xfId="2" applyFont="1" applyFill="1"/>
    <xf numFmtId="44" fontId="15" fillId="3" borderId="20" xfId="2" applyFont="1" applyFill="1" applyBorder="1"/>
    <xf numFmtId="9" fontId="15" fillId="3" borderId="0" xfId="1" applyFont="1" applyFill="1"/>
    <xf numFmtId="9" fontId="15" fillId="3" borderId="20" xfId="1" applyFont="1" applyFill="1" applyBorder="1"/>
    <xf numFmtId="10" fontId="15" fillId="3" borderId="0" xfId="1" applyNumberFormat="1" applyFont="1" applyFill="1"/>
    <xf numFmtId="0" fontId="0" fillId="0" borderId="0" xfId="0" applyBorder="1" applyAlignment="1">
      <alignment horizontal="center"/>
    </xf>
    <xf numFmtId="44" fontId="0" fillId="3" borderId="0" xfId="2" applyNumberFormat="1" applyFont="1" applyFill="1"/>
    <xf numFmtId="0" fontId="0" fillId="0" borderId="0" xfId="0" applyAlignment="1">
      <alignment horizontal="center"/>
    </xf>
    <xf numFmtId="169" fontId="0" fillId="3" borderId="18" xfId="1" applyNumberFormat="1" applyFont="1" applyFill="1" applyBorder="1" applyAlignment="1">
      <alignment horizontal="center"/>
    </xf>
    <xf numFmtId="7" fontId="0" fillId="3" borderId="0" xfId="2" applyNumberFormat="1" applyFont="1" applyFill="1"/>
    <xf numFmtId="0" fontId="2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/>
    <xf numFmtId="44" fontId="0" fillId="0" borderId="0" xfId="2" applyFont="1" applyFill="1" applyBorder="1"/>
    <xf numFmtId="0" fontId="2" fillId="9" borderId="12" xfId="0" applyFont="1" applyFill="1" applyBorder="1" applyAlignment="1">
      <alignment horizontal="center"/>
    </xf>
    <xf numFmtId="44" fontId="0" fillId="0" borderId="12" xfId="2" applyFont="1" applyBorder="1"/>
    <xf numFmtId="7" fontId="0" fillId="0" borderId="12" xfId="2" applyNumberFormat="1" applyFont="1" applyBorder="1"/>
    <xf numFmtId="7" fontId="0" fillId="3" borderId="4" xfId="0" applyNumberFormat="1" applyFill="1" applyBorder="1"/>
    <xf numFmtId="7" fontId="0" fillId="3" borderId="7" xfId="2" applyNumberFormat="1" applyFont="1" applyFill="1" applyBorder="1"/>
    <xf numFmtId="44" fontId="0" fillId="3" borderId="4" xfId="2" applyFont="1" applyFill="1" applyBorder="1"/>
    <xf numFmtId="44" fontId="0" fillId="3" borderId="9" xfId="2" applyFont="1" applyFill="1" applyBorder="1"/>
    <xf numFmtId="44" fontId="0" fillId="3" borderId="16" xfId="2" applyFont="1" applyFill="1" applyBorder="1"/>
    <xf numFmtId="0" fontId="2" fillId="11" borderId="12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7" fontId="0" fillId="3" borderId="6" xfId="2" applyNumberFormat="1" applyFont="1" applyFill="1" applyBorder="1" applyAlignment="1">
      <alignment horizontal="center"/>
    </xf>
    <xf numFmtId="0" fontId="2" fillId="12" borderId="16" xfId="0" applyFont="1" applyFill="1" applyBorder="1" applyAlignment="1">
      <alignment horizontal="center"/>
    </xf>
    <xf numFmtId="0" fontId="2" fillId="12" borderId="12" xfId="0" applyFont="1" applyFill="1" applyBorder="1" applyAlignment="1">
      <alignment horizontal="center"/>
    </xf>
    <xf numFmtId="0" fontId="2" fillId="8" borderId="12" xfId="0" applyFont="1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172" fontId="0" fillId="3" borderId="12" xfId="0" applyNumberFormat="1" applyFill="1" applyBorder="1" applyAlignment="1">
      <alignment horizontal="center"/>
    </xf>
    <xf numFmtId="173" fontId="0" fillId="3" borderId="12" xfId="0" applyNumberFormat="1" applyFill="1" applyBorder="1" applyAlignment="1">
      <alignment horizontal="center"/>
    </xf>
    <xf numFmtId="169" fontId="15" fillId="3" borderId="0" xfId="1" applyNumberFormat="1" applyFont="1" applyFill="1"/>
    <xf numFmtId="0" fontId="0" fillId="0" borderId="0" xfId="0" applyAlignment="1">
      <alignment horizontal="center"/>
    </xf>
    <xf numFmtId="0" fontId="2" fillId="8" borderId="0" xfId="0" applyFont="1" applyFill="1" applyAlignment="1">
      <alignment horizontal="center"/>
    </xf>
    <xf numFmtId="7" fontId="0" fillId="3" borderId="6" xfId="0" applyNumberFormat="1" applyFill="1" applyBorder="1"/>
    <xf numFmtId="0" fontId="0" fillId="3" borderId="6" xfId="0" applyFill="1" applyBorder="1"/>
    <xf numFmtId="44" fontId="0" fillId="0" borderId="20" xfId="2" applyFont="1" applyBorder="1"/>
    <xf numFmtId="44" fontId="0" fillId="3" borderId="4" xfId="2" applyFont="1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0" xfId="0" applyFont="1"/>
    <xf numFmtId="0" fontId="2" fillId="2" borderId="6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0" fillId="3" borderId="0" xfId="0" applyFill="1" applyAlignment="1">
      <alignment horizontal="left"/>
    </xf>
    <xf numFmtId="0" fontId="12" fillId="0" borderId="0" xfId="0" applyFont="1" applyAlignment="1">
      <alignment horizontal="center" vertical="center"/>
    </xf>
    <xf numFmtId="0" fontId="0" fillId="0" borderId="0" xfId="0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0" xfId="0" applyAlignment="1">
      <alignment horizontal="center"/>
    </xf>
    <xf numFmtId="44" fontId="0" fillId="3" borderId="0" xfId="0" applyNumberFormat="1" applyFont="1" applyFill="1"/>
    <xf numFmtId="44" fontId="2" fillId="3" borderId="0" xfId="0" applyNumberFormat="1" applyFont="1" applyFill="1"/>
    <xf numFmtId="0" fontId="2" fillId="3" borderId="0" xfId="0" applyFont="1" applyFill="1" applyAlignment="1">
      <alignment horizontal="center"/>
    </xf>
    <xf numFmtId="7" fontId="2" fillId="3" borderId="0" xfId="0" applyNumberFormat="1" applyFont="1" applyFill="1"/>
    <xf numFmtId="0" fontId="0" fillId="9" borderId="18" xfId="0" applyFill="1" applyBorder="1" applyAlignment="1">
      <alignment horizontal="center"/>
    </xf>
    <xf numFmtId="7" fontId="0" fillId="3" borderId="4" xfId="2" applyNumberFormat="1" applyFont="1" applyFill="1" applyBorder="1"/>
    <xf numFmtId="44" fontId="1" fillId="3" borderId="17" xfId="2" applyFont="1" applyFill="1" applyBorder="1"/>
    <xf numFmtId="44" fontId="1" fillId="3" borderId="18" xfId="2" applyFont="1" applyFill="1" applyBorder="1"/>
    <xf numFmtId="7" fontId="1" fillId="3" borderId="17" xfId="2" applyNumberFormat="1" applyFont="1" applyFill="1" applyBorder="1"/>
    <xf numFmtId="7" fontId="1" fillId="3" borderId="16" xfId="2" applyNumberFormat="1" applyFont="1" applyFill="1" applyBorder="1"/>
  </cellXfs>
  <cellStyles count="3">
    <cellStyle name="Moneda" xfId="2" builtinId="4"/>
    <cellStyle name="Normal" xfId="0" builtinId="0"/>
    <cellStyle name="Porcentaje" xfId="1" builtinId="5"/>
  </cellStyles>
  <dxfs count="32"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numFmt numFmtId="2" formatCode="0.00"/>
    </dxf>
    <dxf>
      <font>
        <color rgb="FFFF0000"/>
      </font>
      <numFmt numFmtId="174" formatCode="0.00_ ;[Red]\-0.00\ "/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FF0000"/>
      </font>
      <numFmt numFmtId="12" formatCode="&quot;Q&quot;#,##0.00;[Red]\-&quot;Q&quot;#,##0.00"/>
    </dxf>
    <dxf>
      <font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00"/>
      <color rgb="FFFF0909"/>
      <color rgb="FFFC37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Lineal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MLineal!$D$3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MLineal!$C$4:$C$10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MLineal!$D$4:$D$10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095-4B52-B2A7-AD16D5CBE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160640"/>
        <c:axId val="365156328"/>
      </c:scatterChart>
      <c:valAx>
        <c:axId val="365160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5156328"/>
        <c:crosses val="autoZero"/>
        <c:crossBetween val="midCat"/>
      </c:valAx>
      <c:valAx>
        <c:axId val="36515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5160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Exponecial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MExponencial!$C$3:$C$9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MExponencial!$D$3:$D$9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5E6-4536-9201-D5C848A4A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161816"/>
        <c:axId val="365162208"/>
      </c:scatterChart>
      <c:valAx>
        <c:axId val="365161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5162208"/>
        <c:crosses val="autoZero"/>
        <c:crossBetween val="midCat"/>
      </c:valAx>
      <c:valAx>
        <c:axId val="36516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5161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Logaritmico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MLogaritmica!$C$2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MLogaritmica!$B$3:$B$9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MLogaritmica!$C$3:$C$9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CB-4FF6-A6D7-1F814C204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164168"/>
        <c:axId val="365164560"/>
      </c:scatterChart>
      <c:valAx>
        <c:axId val="365164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5164560"/>
        <c:crosses val="autoZero"/>
        <c:crossBetween val="midCat"/>
      </c:valAx>
      <c:valAx>
        <c:axId val="36516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5164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Potencial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MPontencial!$C$2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xVal>
            <c:numRef>
              <c:f>MPontencial!$B$3:$B$9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MPontencial!$C$3:$C$9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FD7-44E9-96B3-B61259A3D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164952"/>
        <c:axId val="365166912"/>
      </c:scatterChart>
      <c:valAx>
        <c:axId val="365164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5166912"/>
        <c:crosses val="autoZero"/>
        <c:crossBetween val="midCat"/>
      </c:valAx>
      <c:valAx>
        <c:axId val="36516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5164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Polinomial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MPolinimial!$C$2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MPolinimial!$B$3:$B$9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MPolinimial!$C$3:$C$9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84E-49E0-9595-88248A7B0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162600"/>
        <c:axId val="365153192"/>
      </c:scatterChart>
      <c:valAx>
        <c:axId val="36516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5153192"/>
        <c:crosses val="autoZero"/>
        <c:crossBetween val="midCat"/>
      </c:valAx>
      <c:valAx>
        <c:axId val="365153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5162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Lineal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MLineal!$D$3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MLineal!$C$4:$C$10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MLineal!$D$4:$D$10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957-4FBE-9962-DACEB59EA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208888"/>
        <c:axId val="465212024"/>
      </c:scatterChart>
      <c:valAx>
        <c:axId val="465208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65212024"/>
        <c:crosses val="autoZero"/>
        <c:crossBetween val="midCat"/>
      </c:valAx>
      <c:valAx>
        <c:axId val="465212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65208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Logaritmico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MLogaritmica!$C$2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MLogaritmica!$B$3:$B$9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MLogaritmica!$C$3:$C$9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C38-4C37-978F-41F23227D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206928"/>
        <c:axId val="465211632"/>
      </c:scatterChart>
      <c:valAx>
        <c:axId val="465206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65211632"/>
        <c:crosses val="autoZero"/>
        <c:crossBetween val="midCat"/>
      </c:valAx>
      <c:valAx>
        <c:axId val="46521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65206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Exponecial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MExponencial!$C$3:$C$9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MExponencial!$D$3:$D$9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F5D-4E7B-93EB-15955ABFD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210064"/>
        <c:axId val="465213200"/>
      </c:scatterChart>
      <c:valAx>
        <c:axId val="465210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65213200"/>
        <c:crosses val="autoZero"/>
        <c:crossBetween val="midCat"/>
      </c:valAx>
      <c:valAx>
        <c:axId val="46521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65210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Polinomial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MPolinimial!$C$2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MPolinimial!$B$3:$B$9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MPolinimial!$C$3:$C$9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387-45F7-9458-F6B846133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212416"/>
        <c:axId val="465210456"/>
      </c:scatterChart>
      <c:valAx>
        <c:axId val="46521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65210456"/>
        <c:crosses val="autoZero"/>
        <c:crossBetween val="midCat"/>
      </c:valAx>
      <c:valAx>
        <c:axId val="465210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6521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Potencial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MPontencial!$C$2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xVal>
            <c:numRef>
              <c:f>MPontencial!$B$3:$B$9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MPontencial!$C$3:$C$9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7EE-49F6-9396-C30C10595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210848"/>
        <c:axId val="465212808"/>
      </c:scatterChart>
      <c:valAx>
        <c:axId val="465210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65212808"/>
        <c:crosses val="autoZero"/>
        <c:crossBetween val="midCat"/>
      </c:valAx>
      <c:valAx>
        <c:axId val="465212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6521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563880</xdr:colOff>
      <xdr:row>2</xdr:row>
      <xdr:rowOff>76200</xdr:rowOff>
    </xdr:from>
    <xdr:to>
      <xdr:col>16</xdr:col>
      <xdr:colOff>381000</xdr:colOff>
      <xdr:row>17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289560</xdr:colOff>
      <xdr:row>1</xdr:row>
      <xdr:rowOff>114300</xdr:rowOff>
    </xdr:from>
    <xdr:to>
      <xdr:col>16</xdr:col>
      <xdr:colOff>106680</xdr:colOff>
      <xdr:row>16</xdr:row>
      <xdr:rowOff>114300</xdr:rowOff>
    </xdr:to>
    <xdr:graphicFrame macro="">
      <xdr:nvGraphicFramePr>
        <xdr:cNvPr id="4" name="Gráfico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640080</xdr:colOff>
      <xdr:row>19</xdr:row>
      <xdr:rowOff>15240</xdr:rowOff>
    </xdr:from>
    <xdr:to>
      <xdr:col>10</xdr:col>
      <xdr:colOff>457200</xdr:colOff>
      <xdr:row>34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228600</xdr:colOff>
      <xdr:row>0</xdr:row>
      <xdr:rowOff>152400</xdr:rowOff>
    </xdr:from>
    <xdr:to>
      <xdr:col>16</xdr:col>
      <xdr:colOff>45720</xdr:colOff>
      <xdr:row>15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266700</xdr:colOff>
      <xdr:row>0</xdr:row>
      <xdr:rowOff>144780</xdr:rowOff>
    </xdr:from>
    <xdr:to>
      <xdr:col>20</xdr:col>
      <xdr:colOff>83820</xdr:colOff>
      <xdr:row>14</xdr:row>
      <xdr:rowOff>144780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472440</xdr:colOff>
      <xdr:row>17</xdr:row>
      <xdr:rowOff>179070</xdr:rowOff>
    </xdr:from>
    <xdr:ext cx="65" cy="172227"/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6629400" y="347091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3</xdr:row>
          <xdr:rowOff>7620</xdr:rowOff>
        </xdr:from>
        <xdr:to>
          <xdr:col>2</xdr:col>
          <xdr:colOff>731520</xdr:colOff>
          <xdr:row>3</xdr:row>
          <xdr:rowOff>335280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42</xdr:row>
          <xdr:rowOff>0</xdr:rowOff>
        </xdr:from>
        <xdr:to>
          <xdr:col>2</xdr:col>
          <xdr:colOff>784860</xdr:colOff>
          <xdr:row>43</xdr:row>
          <xdr:rowOff>68580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0</xdr:row>
          <xdr:rowOff>152400</xdr:rowOff>
        </xdr:from>
        <xdr:to>
          <xdr:col>4</xdr:col>
          <xdr:colOff>1059180</xdr:colOff>
          <xdr:row>2</xdr:row>
          <xdr:rowOff>137160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0</xdr:row>
          <xdr:rowOff>152400</xdr:rowOff>
        </xdr:from>
        <xdr:to>
          <xdr:col>4</xdr:col>
          <xdr:colOff>1059180</xdr:colOff>
          <xdr:row>2</xdr:row>
          <xdr:rowOff>137160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68580</xdr:colOff>
          <xdr:row>9</xdr:row>
          <xdr:rowOff>137160</xdr:rowOff>
        </xdr:from>
        <xdr:to>
          <xdr:col>13</xdr:col>
          <xdr:colOff>746760</xdr:colOff>
          <xdr:row>11</xdr:row>
          <xdr:rowOff>7620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12</xdr:row>
          <xdr:rowOff>167640</xdr:rowOff>
        </xdr:from>
        <xdr:to>
          <xdr:col>13</xdr:col>
          <xdr:colOff>723900</xdr:colOff>
          <xdr:row>14</xdr:row>
          <xdr:rowOff>53340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0</xdr:row>
          <xdr:rowOff>152400</xdr:rowOff>
        </xdr:from>
        <xdr:to>
          <xdr:col>6</xdr:col>
          <xdr:colOff>30480</xdr:colOff>
          <xdr:row>2</xdr:row>
          <xdr:rowOff>99060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0</xdr:row>
          <xdr:rowOff>152400</xdr:rowOff>
        </xdr:from>
        <xdr:to>
          <xdr:col>6</xdr:col>
          <xdr:colOff>30480</xdr:colOff>
          <xdr:row>2</xdr:row>
          <xdr:rowOff>99060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</xdr:colOff>
          <xdr:row>8</xdr:row>
          <xdr:rowOff>144780</xdr:rowOff>
        </xdr:from>
        <xdr:to>
          <xdr:col>13</xdr:col>
          <xdr:colOff>716280</xdr:colOff>
          <xdr:row>10</xdr:row>
          <xdr:rowOff>7620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11</xdr:row>
          <xdr:rowOff>160020</xdr:rowOff>
        </xdr:from>
        <xdr:to>
          <xdr:col>13</xdr:col>
          <xdr:colOff>723900</xdr:colOff>
          <xdr:row>13</xdr:row>
          <xdr:rowOff>15240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91440</xdr:colOff>
      <xdr:row>4</xdr:row>
      <xdr:rowOff>38100</xdr:rowOff>
    </xdr:from>
    <xdr:to>
      <xdr:col>9</xdr:col>
      <xdr:colOff>129540</xdr:colOff>
      <xdr:row>10</xdr:row>
      <xdr:rowOff>121920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5638800" y="815340"/>
          <a:ext cx="1623060" cy="1181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Si la difenrencia es menor</a:t>
          </a:r>
          <a:r>
            <a:rPr lang="en-US" sz="1100" b="1" baseline="0"/>
            <a:t> igual al 5% utilice el metodo del promedio de lo contrario utilice pronostico </a:t>
          </a:r>
          <a:endParaRPr lang="en-US" sz="1100" b="1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1</xdr:row>
      <xdr:rowOff>129540</xdr:rowOff>
    </xdr:from>
    <xdr:to>
      <xdr:col>6</xdr:col>
      <xdr:colOff>121920</xdr:colOff>
      <xdr:row>16</xdr:row>
      <xdr:rowOff>129540</xdr:rowOff>
    </xdr:to>
    <xdr:graphicFrame macro="">
      <xdr:nvGraphicFramePr>
        <xdr:cNvPr id="8" name="Gráfico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175260</xdr:colOff>
      <xdr:row>1</xdr:row>
      <xdr:rowOff>129540</xdr:rowOff>
    </xdr:from>
    <xdr:to>
      <xdr:col>11</xdr:col>
      <xdr:colOff>784860</xdr:colOff>
      <xdr:row>16</xdr:row>
      <xdr:rowOff>129540</xdr:rowOff>
    </xdr:to>
    <xdr:graphicFrame macro="">
      <xdr:nvGraphicFramePr>
        <xdr:cNvPr id="10" name="Gráfico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114300</xdr:colOff>
      <xdr:row>17</xdr:row>
      <xdr:rowOff>38100</xdr:rowOff>
    </xdr:from>
    <xdr:to>
      <xdr:col>5</xdr:col>
      <xdr:colOff>723900</xdr:colOff>
      <xdr:row>32</xdr:row>
      <xdr:rowOff>38100</xdr:rowOff>
    </xdr:to>
    <xdr:graphicFrame macro="">
      <xdr:nvGraphicFramePr>
        <xdr:cNvPr id="13" name="Gráfico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144780</xdr:colOff>
      <xdr:row>17</xdr:row>
      <xdr:rowOff>53340</xdr:rowOff>
    </xdr:from>
    <xdr:to>
      <xdr:col>11</xdr:col>
      <xdr:colOff>754380</xdr:colOff>
      <xdr:row>32</xdr:row>
      <xdr:rowOff>53340</xdr:rowOff>
    </xdr:to>
    <xdr:graphicFrame macro="">
      <xdr:nvGraphicFramePr>
        <xdr:cNvPr id="15" name="Grá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220980</xdr:colOff>
      <xdr:row>33</xdr:row>
      <xdr:rowOff>38100</xdr:rowOff>
    </xdr:from>
    <xdr:to>
      <xdr:col>6</xdr:col>
      <xdr:colOff>38100</xdr:colOff>
      <xdr:row>48</xdr:row>
      <xdr:rowOff>38100</xdr:rowOff>
    </xdr:to>
    <xdr:graphicFrame macro="">
      <xdr:nvGraphicFramePr>
        <xdr:cNvPr id="16" name="Grá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C2:N42"/>
  <sheetViews>
    <sheetView workbookViewId="0">
      <selection activeCell="D5" sqref="D5"/>
    </sheetView>
  </sheetViews>
  <sheetFormatPr baseColWidth="10" defaultRowHeight="14.4" x14ac:dyDescent="0.3"/>
  <sheetData>
    <row r="2" spans="3:12" x14ac:dyDescent="0.3">
      <c r="C2" s="1" t="s">
        <v>0</v>
      </c>
      <c r="D2" s="1"/>
      <c r="E2" s="1"/>
      <c r="F2" s="1"/>
      <c r="G2" s="1"/>
      <c r="H2" s="1"/>
      <c r="I2" s="1"/>
      <c r="J2" s="1"/>
    </row>
    <row r="3" spans="3:12" x14ac:dyDescent="0.3">
      <c r="C3" s="68" t="s">
        <v>1</v>
      </c>
      <c r="D3" s="89" t="s">
        <v>2</v>
      </c>
      <c r="E3" s="88" t="s">
        <v>3</v>
      </c>
      <c r="F3" s="88" t="s">
        <v>4</v>
      </c>
      <c r="G3" s="88" t="s">
        <v>5</v>
      </c>
      <c r="H3" s="88" t="s">
        <v>6</v>
      </c>
      <c r="I3" s="88" t="s">
        <v>7</v>
      </c>
      <c r="J3" s="3" t="s">
        <v>8</v>
      </c>
      <c r="L3" s="87"/>
    </row>
    <row r="4" spans="3:12" x14ac:dyDescent="0.3">
      <c r="C4" s="5">
        <f>Pronosticos!J3</f>
        <v>1</v>
      </c>
      <c r="D4" s="6">
        <f>Pronosticos!K3</f>
        <v>10</v>
      </c>
      <c r="E4" s="7">
        <f>C4*D4</f>
        <v>10</v>
      </c>
      <c r="F4" s="7">
        <f>C4^2</f>
        <v>1</v>
      </c>
      <c r="G4" s="7">
        <f>D4^2</f>
        <v>100</v>
      </c>
      <c r="H4" s="7">
        <f>IF(C4&gt;0,C4*$D$31+$D$32,0)</f>
        <v>9.7142857142857153</v>
      </c>
      <c r="I4" s="6">
        <f>(D4-H4)^2</f>
        <v>8.1632653061223914E-2</v>
      </c>
      <c r="J4" s="6">
        <f>COUNTIF(C4:C18,"&gt;0")</f>
        <v>6</v>
      </c>
    </row>
    <row r="5" spans="3:12" x14ac:dyDescent="0.3">
      <c r="C5" s="8">
        <f>Pronosticos!J4</f>
        <v>2</v>
      </c>
      <c r="D5" s="9">
        <f>Pronosticos!K4</f>
        <v>12</v>
      </c>
      <c r="E5" s="10">
        <f t="shared" ref="E5:E18" si="0">C5*D5</f>
        <v>24</v>
      </c>
      <c r="F5" s="10">
        <f t="shared" ref="F5:F18" si="1">C5^2</f>
        <v>4</v>
      </c>
      <c r="G5" s="10">
        <f t="shared" ref="G5:G18" si="2">D5^2</f>
        <v>144</v>
      </c>
      <c r="H5" s="10">
        <f t="shared" ref="H5:H18" si="3">IF(C5&gt;0,C5*$D$31+$D$32,0)</f>
        <v>12.428571428571429</v>
      </c>
      <c r="I5" s="9">
        <f t="shared" ref="I5:I18" si="4">(D5-H5)^2</f>
        <v>0.18367346938775531</v>
      </c>
      <c r="J5" s="9"/>
    </row>
    <row r="6" spans="3:12" x14ac:dyDescent="0.3">
      <c r="C6" s="8">
        <f>Pronosticos!J5</f>
        <v>3</v>
      </c>
      <c r="D6" s="9">
        <f>Pronosticos!K5</f>
        <v>15</v>
      </c>
      <c r="E6" s="10">
        <f t="shared" si="0"/>
        <v>45</v>
      </c>
      <c r="F6" s="10">
        <f t="shared" si="1"/>
        <v>9</v>
      </c>
      <c r="G6" s="10">
        <f t="shared" si="2"/>
        <v>225</v>
      </c>
      <c r="H6" s="10">
        <f t="shared" si="3"/>
        <v>15.142857142857142</v>
      </c>
      <c r="I6" s="9">
        <f t="shared" si="4"/>
        <v>2.0408163265305979E-2</v>
      </c>
      <c r="J6" s="9"/>
    </row>
    <row r="7" spans="3:12" x14ac:dyDescent="0.3">
      <c r="C7" s="8">
        <f>Pronosticos!J6</f>
        <v>4</v>
      </c>
      <c r="D7" s="9">
        <f>Pronosticos!K6</f>
        <v>18</v>
      </c>
      <c r="E7" s="10">
        <f t="shared" si="0"/>
        <v>72</v>
      </c>
      <c r="F7" s="10">
        <f t="shared" si="1"/>
        <v>16</v>
      </c>
      <c r="G7" s="10">
        <f t="shared" si="2"/>
        <v>324</v>
      </c>
      <c r="H7" s="10">
        <f t="shared" si="3"/>
        <v>17.857142857142858</v>
      </c>
      <c r="I7" s="9">
        <f t="shared" si="4"/>
        <v>2.0408163265305979E-2</v>
      </c>
      <c r="J7" s="9"/>
    </row>
    <row r="8" spans="3:12" x14ac:dyDescent="0.3">
      <c r="C8" s="8">
        <f>Pronosticos!J7</f>
        <v>5</v>
      </c>
      <c r="D8" s="9">
        <f>Pronosticos!K7</f>
        <v>21</v>
      </c>
      <c r="E8" s="10">
        <f t="shared" si="0"/>
        <v>105</v>
      </c>
      <c r="F8" s="10">
        <f t="shared" si="1"/>
        <v>25</v>
      </c>
      <c r="G8" s="10">
        <f t="shared" si="2"/>
        <v>441</v>
      </c>
      <c r="H8" s="10">
        <f t="shared" si="3"/>
        <v>20.571428571428573</v>
      </c>
      <c r="I8" s="9">
        <f t="shared" si="4"/>
        <v>0.18367346938775381</v>
      </c>
      <c r="J8" s="9"/>
    </row>
    <row r="9" spans="3:12" x14ac:dyDescent="0.3">
      <c r="C9" s="8">
        <f>Pronosticos!J8</f>
        <v>6</v>
      </c>
      <c r="D9" s="9">
        <f>Pronosticos!K8</f>
        <v>23</v>
      </c>
      <c r="E9" s="10">
        <f t="shared" si="0"/>
        <v>138</v>
      </c>
      <c r="F9" s="10">
        <f t="shared" si="1"/>
        <v>36</v>
      </c>
      <c r="G9" s="10">
        <f t="shared" si="2"/>
        <v>529</v>
      </c>
      <c r="H9" s="10">
        <f t="shared" si="3"/>
        <v>23.285714285714285</v>
      </c>
      <c r="I9" s="9">
        <f t="shared" si="4"/>
        <v>8.1632653061223914E-2</v>
      </c>
      <c r="J9" s="9"/>
    </row>
    <row r="10" spans="3:12" x14ac:dyDescent="0.3">
      <c r="C10" s="8">
        <f>Pronosticos!J9</f>
        <v>0</v>
      </c>
      <c r="D10" s="9">
        <f>Pronosticos!K9</f>
        <v>0</v>
      </c>
      <c r="E10" s="10">
        <f t="shared" si="0"/>
        <v>0</v>
      </c>
      <c r="F10" s="10">
        <f t="shared" si="1"/>
        <v>0</v>
      </c>
      <c r="G10" s="10">
        <f t="shared" si="2"/>
        <v>0</v>
      </c>
      <c r="H10" s="10">
        <f t="shared" si="3"/>
        <v>0</v>
      </c>
      <c r="I10" s="9">
        <f t="shared" si="4"/>
        <v>0</v>
      </c>
      <c r="J10" s="9"/>
    </row>
    <row r="11" spans="3:12" x14ac:dyDescent="0.3">
      <c r="C11" s="8">
        <f>Pronosticos!J10</f>
        <v>0</v>
      </c>
      <c r="D11" s="9">
        <f>Pronosticos!K10</f>
        <v>0</v>
      </c>
      <c r="E11" s="10">
        <f t="shared" si="0"/>
        <v>0</v>
      </c>
      <c r="F11" s="10">
        <f t="shared" si="1"/>
        <v>0</v>
      </c>
      <c r="G11" s="10">
        <f>D11^2</f>
        <v>0</v>
      </c>
      <c r="H11" s="10">
        <f t="shared" si="3"/>
        <v>0</v>
      </c>
      <c r="I11" s="9">
        <f t="shared" si="4"/>
        <v>0</v>
      </c>
      <c r="J11" s="9"/>
    </row>
    <row r="12" spans="3:12" x14ac:dyDescent="0.3">
      <c r="C12" s="8">
        <f>Pronosticos!J11</f>
        <v>0</v>
      </c>
      <c r="D12" s="9">
        <f>Pronosticos!K11</f>
        <v>0</v>
      </c>
      <c r="E12" s="10">
        <f t="shared" si="0"/>
        <v>0</v>
      </c>
      <c r="F12" s="10">
        <f t="shared" si="1"/>
        <v>0</v>
      </c>
      <c r="G12" s="10">
        <f t="shared" si="2"/>
        <v>0</v>
      </c>
      <c r="H12" s="10">
        <f t="shared" si="3"/>
        <v>0</v>
      </c>
      <c r="I12" s="9">
        <f t="shared" si="4"/>
        <v>0</v>
      </c>
      <c r="J12" s="9"/>
    </row>
    <row r="13" spans="3:12" x14ac:dyDescent="0.3">
      <c r="C13" s="8">
        <f>Pronosticos!J12</f>
        <v>0</v>
      </c>
      <c r="D13" s="9">
        <f>Pronosticos!K12</f>
        <v>0</v>
      </c>
      <c r="E13" s="10">
        <f t="shared" si="0"/>
        <v>0</v>
      </c>
      <c r="F13" s="10">
        <f t="shared" si="1"/>
        <v>0</v>
      </c>
      <c r="G13" s="10">
        <f t="shared" si="2"/>
        <v>0</v>
      </c>
      <c r="H13" s="10">
        <f t="shared" si="3"/>
        <v>0</v>
      </c>
      <c r="I13" s="9">
        <f t="shared" si="4"/>
        <v>0</v>
      </c>
      <c r="J13" s="9"/>
    </row>
    <row r="14" spans="3:12" x14ac:dyDescent="0.3">
      <c r="C14" s="8">
        <f>Pronosticos!J13</f>
        <v>0</v>
      </c>
      <c r="D14" s="9">
        <f>Pronosticos!K13</f>
        <v>0</v>
      </c>
      <c r="E14" s="10">
        <f t="shared" si="0"/>
        <v>0</v>
      </c>
      <c r="F14" s="10">
        <f t="shared" si="1"/>
        <v>0</v>
      </c>
      <c r="G14" s="10">
        <f t="shared" si="2"/>
        <v>0</v>
      </c>
      <c r="H14" s="10">
        <f t="shared" si="3"/>
        <v>0</v>
      </c>
      <c r="I14" s="9">
        <f t="shared" si="4"/>
        <v>0</v>
      </c>
      <c r="J14" s="9"/>
    </row>
    <row r="15" spans="3:12" x14ac:dyDescent="0.3">
      <c r="C15" s="8">
        <f>Pronosticos!J14</f>
        <v>0</v>
      </c>
      <c r="D15" s="9">
        <f>Pronosticos!K14</f>
        <v>0</v>
      </c>
      <c r="E15" s="10">
        <f t="shared" si="0"/>
        <v>0</v>
      </c>
      <c r="F15" s="10">
        <f t="shared" si="1"/>
        <v>0</v>
      </c>
      <c r="G15" s="10">
        <f t="shared" si="2"/>
        <v>0</v>
      </c>
      <c r="H15" s="10">
        <f t="shared" si="3"/>
        <v>0</v>
      </c>
      <c r="I15" s="9">
        <f t="shared" si="4"/>
        <v>0</v>
      </c>
      <c r="J15" s="9"/>
    </row>
    <row r="16" spans="3:12" x14ac:dyDescent="0.3">
      <c r="C16" s="8">
        <f>Pronosticos!J15</f>
        <v>0</v>
      </c>
      <c r="D16" s="9">
        <f>Pronosticos!K15</f>
        <v>0</v>
      </c>
      <c r="E16" s="10">
        <f t="shared" si="0"/>
        <v>0</v>
      </c>
      <c r="F16" s="10">
        <f t="shared" si="1"/>
        <v>0</v>
      </c>
      <c r="G16" s="10">
        <f t="shared" si="2"/>
        <v>0</v>
      </c>
      <c r="H16" s="10">
        <f t="shared" si="3"/>
        <v>0</v>
      </c>
      <c r="I16" s="9">
        <f t="shared" si="4"/>
        <v>0</v>
      </c>
      <c r="J16" s="9"/>
    </row>
    <row r="17" spans="3:14" x14ac:dyDescent="0.3">
      <c r="C17" s="8">
        <f>Pronosticos!J16</f>
        <v>0</v>
      </c>
      <c r="D17" s="9">
        <f>Pronosticos!K16</f>
        <v>0</v>
      </c>
      <c r="E17" s="10">
        <f t="shared" si="0"/>
        <v>0</v>
      </c>
      <c r="F17" s="10">
        <f t="shared" si="1"/>
        <v>0</v>
      </c>
      <c r="G17" s="10">
        <f t="shared" si="2"/>
        <v>0</v>
      </c>
      <c r="H17" s="10">
        <f t="shared" si="3"/>
        <v>0</v>
      </c>
      <c r="I17" s="9">
        <f t="shared" si="4"/>
        <v>0</v>
      </c>
      <c r="J17" s="9"/>
    </row>
    <row r="18" spans="3:14" x14ac:dyDescent="0.3">
      <c r="C18" s="11">
        <f>Pronosticos!J17</f>
        <v>0</v>
      </c>
      <c r="D18" s="12">
        <f>Pronosticos!K17</f>
        <v>0</v>
      </c>
      <c r="E18" s="13">
        <f t="shared" si="0"/>
        <v>0</v>
      </c>
      <c r="F18" s="13">
        <f t="shared" si="1"/>
        <v>0</v>
      </c>
      <c r="G18" s="13">
        <f t="shared" si="2"/>
        <v>0</v>
      </c>
      <c r="H18" s="13">
        <f t="shared" si="3"/>
        <v>0</v>
      </c>
      <c r="I18" s="12">
        <f t="shared" si="4"/>
        <v>0</v>
      </c>
      <c r="J18" s="12"/>
    </row>
    <row r="19" spans="3:14" x14ac:dyDescent="0.3">
      <c r="C19" s="11">
        <f t="shared" ref="C19:I19" si="5">SUM(C4:C18)</f>
        <v>21</v>
      </c>
      <c r="D19" s="13">
        <f t="shared" si="5"/>
        <v>99</v>
      </c>
      <c r="E19" s="81">
        <f t="shared" si="5"/>
        <v>394</v>
      </c>
      <c r="F19" s="90">
        <f t="shared" si="5"/>
        <v>91</v>
      </c>
      <c r="G19" s="90">
        <f t="shared" si="5"/>
        <v>1763</v>
      </c>
      <c r="H19" s="90">
        <f t="shared" si="5"/>
        <v>99</v>
      </c>
      <c r="I19" s="82">
        <f t="shared" si="5"/>
        <v>0.57142857142856895</v>
      </c>
      <c r="J19" s="16"/>
    </row>
    <row r="23" spans="3:14" ht="15" thickBot="1" x14ac:dyDescent="0.35"/>
    <row r="24" spans="3:14" x14ac:dyDescent="0.3">
      <c r="G24" s="17" t="s">
        <v>9</v>
      </c>
      <c r="H24" s="18">
        <f>SQRT(I19/(J4-2))</f>
        <v>0.37796447300922642</v>
      </c>
      <c r="K24" s="19" t="s">
        <v>10</v>
      </c>
      <c r="L24" s="20" t="s">
        <v>11</v>
      </c>
      <c r="M24" s="20" t="s">
        <v>12</v>
      </c>
      <c r="N24" s="21" t="s">
        <v>13</v>
      </c>
    </row>
    <row r="25" spans="3:14" x14ac:dyDescent="0.3">
      <c r="C25" s="22" t="s">
        <v>14</v>
      </c>
      <c r="D25" s="23">
        <f>D19</f>
        <v>99</v>
      </c>
      <c r="K25" s="24" t="s">
        <v>15</v>
      </c>
      <c r="L25" s="74" t="s">
        <v>16</v>
      </c>
      <c r="M25" s="24" t="s">
        <v>17</v>
      </c>
      <c r="N25" s="114" t="s">
        <v>18</v>
      </c>
    </row>
    <row r="26" spans="3:14" x14ac:dyDescent="0.3">
      <c r="C26" s="25" t="s">
        <v>19</v>
      </c>
      <c r="D26" s="26">
        <f>C19</f>
        <v>21</v>
      </c>
      <c r="K26" s="8">
        <f>SUM(D4:D18)/$J$4</f>
        <v>16.5</v>
      </c>
      <c r="L26" s="23">
        <f>IF(D4&gt;0,(D4-$K$26)^2,0)</f>
        <v>42.25</v>
      </c>
      <c r="M26" s="7">
        <f>(D4-H4)^2</f>
        <v>8.1632653061223914E-2</v>
      </c>
      <c r="N26" s="23">
        <f>IF(H4&gt;0,(H4-$K$26)^2,0)</f>
        <v>46.045918367346928</v>
      </c>
    </row>
    <row r="27" spans="3:14" x14ac:dyDescent="0.3">
      <c r="C27" s="25" t="s">
        <v>20</v>
      </c>
      <c r="D27" s="26">
        <f>F19</f>
        <v>91</v>
      </c>
      <c r="K27" s="8"/>
      <c r="L27" s="26">
        <f t="shared" ref="L27:L40" si="6">IF(D5&gt;0,(D5-$K$26)^2,0)</f>
        <v>20.25</v>
      </c>
      <c r="M27" s="10">
        <f t="shared" ref="M27:M40" si="7">(D5-H5)^2</f>
        <v>0.18367346938775531</v>
      </c>
      <c r="N27" s="26">
        <f t="shared" ref="N27:N40" si="8">IF(H5&gt;0,(H5-$K$26)^2,0)</f>
        <v>16.576530612244895</v>
      </c>
    </row>
    <row r="28" spans="3:14" x14ac:dyDescent="0.3">
      <c r="C28" s="25" t="s">
        <v>21</v>
      </c>
      <c r="D28" s="26">
        <f>G19</f>
        <v>1763</v>
      </c>
      <c r="K28" s="8"/>
      <c r="L28" s="26">
        <f t="shared" si="6"/>
        <v>2.25</v>
      </c>
      <c r="M28" s="10">
        <f t="shared" si="7"/>
        <v>2.0408163265305979E-2</v>
      </c>
      <c r="N28" s="26">
        <f t="shared" si="8"/>
        <v>1.8418367346938789</v>
      </c>
    </row>
    <row r="29" spans="3:14" x14ac:dyDescent="0.3">
      <c r="C29" s="25" t="s">
        <v>22</v>
      </c>
      <c r="D29" s="26">
        <f>E19</f>
        <v>394</v>
      </c>
      <c r="K29" s="8"/>
      <c r="L29" s="26">
        <f t="shared" si="6"/>
        <v>2.25</v>
      </c>
      <c r="M29" s="10">
        <f t="shared" si="7"/>
        <v>2.0408163265305979E-2</v>
      </c>
      <c r="N29" s="26">
        <f t="shared" si="8"/>
        <v>1.8418367346938789</v>
      </c>
    </row>
    <row r="30" spans="3:14" x14ac:dyDescent="0.3">
      <c r="C30" s="25" t="s">
        <v>8</v>
      </c>
      <c r="D30" s="26">
        <f>J4</f>
        <v>6</v>
      </c>
      <c r="K30" s="8"/>
      <c r="L30" s="26">
        <f t="shared" si="6"/>
        <v>20.25</v>
      </c>
      <c r="M30" s="10">
        <f t="shared" si="7"/>
        <v>0.18367346938775381</v>
      </c>
      <c r="N30" s="26">
        <f t="shared" si="8"/>
        <v>16.576530612244909</v>
      </c>
    </row>
    <row r="31" spans="3:14" x14ac:dyDescent="0.3">
      <c r="C31" s="27" t="s">
        <v>23</v>
      </c>
      <c r="D31" s="26">
        <f>((D30*D29)-(D26*D25))/((D30*D27)-(D26^2))</f>
        <v>2.7142857142857144</v>
      </c>
      <c r="K31" s="8"/>
      <c r="L31" s="26">
        <f t="shared" si="6"/>
        <v>42.25</v>
      </c>
      <c r="M31" s="10">
        <f t="shared" si="7"/>
        <v>8.1632653061223914E-2</v>
      </c>
      <c r="N31" s="26">
        <f t="shared" si="8"/>
        <v>46.045918367346928</v>
      </c>
    </row>
    <row r="32" spans="3:14" x14ac:dyDescent="0.3">
      <c r="C32" s="28" t="s">
        <v>24</v>
      </c>
      <c r="D32" s="29">
        <f>(D25/D30)-((D31)*(D26/D30))</f>
        <v>7</v>
      </c>
      <c r="K32" s="8"/>
      <c r="L32" s="26">
        <f t="shared" si="6"/>
        <v>0</v>
      </c>
      <c r="M32" s="10">
        <f t="shared" si="7"/>
        <v>0</v>
      </c>
      <c r="N32" s="26">
        <f t="shared" si="8"/>
        <v>0</v>
      </c>
    </row>
    <row r="33" spans="3:14" x14ac:dyDescent="0.3">
      <c r="K33" s="8"/>
      <c r="L33" s="26">
        <f t="shared" si="6"/>
        <v>0</v>
      </c>
      <c r="M33" s="10">
        <f t="shared" si="7"/>
        <v>0</v>
      </c>
      <c r="N33" s="26">
        <f t="shared" si="8"/>
        <v>0</v>
      </c>
    </row>
    <row r="34" spans="3:14" x14ac:dyDescent="0.3">
      <c r="C34" s="30" t="s">
        <v>25</v>
      </c>
      <c r="D34" s="31">
        <f>SQRT(D35)</f>
        <v>0.9977912728415963</v>
      </c>
      <c r="K34" s="8"/>
      <c r="L34" s="26">
        <f t="shared" si="6"/>
        <v>0</v>
      </c>
      <c r="M34" s="10">
        <f t="shared" si="7"/>
        <v>0</v>
      </c>
      <c r="N34" s="26">
        <f t="shared" si="8"/>
        <v>0</v>
      </c>
    </row>
    <row r="35" spans="3:14" x14ac:dyDescent="0.3">
      <c r="C35" s="28" t="s">
        <v>26</v>
      </c>
      <c r="D35" s="32">
        <f>N41/L41</f>
        <v>0.99558742415885282</v>
      </c>
      <c r="E35" s="113">
        <f>D35</f>
        <v>0.99558742415885282</v>
      </c>
      <c r="K35" s="8"/>
      <c r="L35" s="26">
        <f t="shared" si="6"/>
        <v>0</v>
      </c>
      <c r="M35" s="10">
        <f t="shared" si="7"/>
        <v>0</v>
      </c>
      <c r="N35" s="26">
        <f t="shared" si="8"/>
        <v>0</v>
      </c>
    </row>
    <row r="36" spans="3:14" x14ac:dyDescent="0.3">
      <c r="C36" s="1"/>
      <c r="K36" s="8"/>
      <c r="L36" s="26">
        <f t="shared" si="6"/>
        <v>0</v>
      </c>
      <c r="M36" s="10">
        <f t="shared" si="7"/>
        <v>0</v>
      </c>
      <c r="N36" s="26">
        <f t="shared" si="8"/>
        <v>0</v>
      </c>
    </row>
    <row r="37" spans="3:14" x14ac:dyDescent="0.3">
      <c r="K37" s="8"/>
      <c r="L37" s="26">
        <f t="shared" si="6"/>
        <v>0</v>
      </c>
      <c r="M37" s="10">
        <f t="shared" si="7"/>
        <v>0</v>
      </c>
      <c r="N37" s="26">
        <f t="shared" si="8"/>
        <v>0</v>
      </c>
    </row>
    <row r="38" spans="3:14" x14ac:dyDescent="0.3">
      <c r="K38" s="8"/>
      <c r="L38" s="26">
        <f t="shared" si="6"/>
        <v>0</v>
      </c>
      <c r="M38" s="10">
        <f t="shared" si="7"/>
        <v>0</v>
      </c>
      <c r="N38" s="26">
        <f t="shared" si="8"/>
        <v>0</v>
      </c>
    </row>
    <row r="39" spans="3:14" x14ac:dyDescent="0.3">
      <c r="K39" s="8"/>
      <c r="L39" s="26">
        <f t="shared" si="6"/>
        <v>0</v>
      </c>
      <c r="M39" s="10">
        <f t="shared" si="7"/>
        <v>0</v>
      </c>
      <c r="N39" s="26">
        <f t="shared" si="8"/>
        <v>0</v>
      </c>
    </row>
    <row r="40" spans="3:14" x14ac:dyDescent="0.3">
      <c r="K40" s="11"/>
      <c r="L40" s="29">
        <f t="shared" si="6"/>
        <v>0</v>
      </c>
      <c r="M40" s="13">
        <f t="shared" si="7"/>
        <v>0</v>
      </c>
      <c r="N40" s="29">
        <f t="shared" si="8"/>
        <v>0</v>
      </c>
    </row>
    <row r="41" spans="3:14" x14ac:dyDescent="0.3">
      <c r="K41" s="33"/>
      <c r="L41" s="34">
        <f>SUM(L26:L40)</f>
        <v>129.5</v>
      </c>
      <c r="M41" s="33">
        <f>SUM(M26:M40)</f>
        <v>0.57142857142856895</v>
      </c>
      <c r="N41" s="82">
        <f>SUM(N26:N40)</f>
        <v>128.92857142857144</v>
      </c>
    </row>
    <row r="42" spans="3:14" x14ac:dyDescent="0.3">
      <c r="N42" s="34">
        <f>M41+N41</f>
        <v>129.5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2:N39"/>
  <sheetViews>
    <sheetView topLeftCell="G1" workbookViewId="0">
      <selection activeCell="F40" sqref="F40"/>
    </sheetView>
  </sheetViews>
  <sheetFormatPr baseColWidth="10" defaultRowHeight="14.4" x14ac:dyDescent="0.3"/>
  <sheetData>
    <row r="2" spans="3:10" x14ac:dyDescent="0.3">
      <c r="C2" s="68" t="s">
        <v>27</v>
      </c>
      <c r="D2" s="88" t="s">
        <v>28</v>
      </c>
      <c r="E2" s="88" t="s">
        <v>29</v>
      </c>
      <c r="F2" s="88" t="s">
        <v>30</v>
      </c>
      <c r="G2" s="88" t="s">
        <v>31</v>
      </c>
      <c r="H2" s="88" t="s">
        <v>32</v>
      </c>
      <c r="I2" s="88" t="s">
        <v>33</v>
      </c>
      <c r="J2" s="3" t="s">
        <v>7</v>
      </c>
    </row>
    <row r="3" spans="3:10" x14ac:dyDescent="0.3">
      <c r="C3" s="5">
        <f>Pronosticos!J3</f>
        <v>1</v>
      </c>
      <c r="D3" s="6">
        <f>Pronosticos!K3</f>
        <v>10</v>
      </c>
      <c r="E3" s="7">
        <f>C3^2</f>
        <v>1</v>
      </c>
      <c r="F3" s="7">
        <f>IF(D3&gt;0,LN(D3),0)</f>
        <v>2.3025850929940459</v>
      </c>
      <c r="G3" s="7">
        <f>C3*F3</f>
        <v>2.3025850929940459</v>
      </c>
      <c r="H3" s="7">
        <f>IF(D3,LN(D3)^2,)</f>
        <v>5.3018981104783993</v>
      </c>
      <c r="I3" s="23">
        <f>IF(C3&gt;0,$D$34*($D$33)^(C3*$D$31),0)</f>
        <v>10.283432036303044</v>
      </c>
      <c r="J3" s="63">
        <f>(D3-I3)^2</f>
        <v>8.0333719202889814E-2</v>
      </c>
    </row>
    <row r="4" spans="3:10" x14ac:dyDescent="0.3">
      <c r="C4" s="8">
        <f>Pronosticos!J4</f>
        <v>2</v>
      </c>
      <c r="D4" s="9">
        <f>Pronosticos!K4</f>
        <v>12</v>
      </c>
      <c r="E4" s="10">
        <f t="shared" ref="E4:E17" si="0">C4^2</f>
        <v>4</v>
      </c>
      <c r="F4" s="10">
        <f t="shared" ref="F4:F17" si="1">IF(D4&gt;0,LN(D4),0)</f>
        <v>2.4849066497880004</v>
      </c>
      <c r="G4" s="10">
        <f t="shared" ref="G4:G17" si="2">C4*F4</f>
        <v>4.9698132995760007</v>
      </c>
      <c r="H4" s="10">
        <f t="shared" ref="H4:H17" si="3">IF(D4,LN(D4)^2,)</f>
        <v>6.174761058160624</v>
      </c>
      <c r="I4" s="26">
        <f t="shared" ref="I4:I17" si="4">IF(C4&gt;0,$D$34*($D$33)^(C4*$D$31),0)</f>
        <v>12.215356908348463</v>
      </c>
      <c r="J4" s="47">
        <f t="shared" ref="J4:J17" si="5">(D4-I4)^2</f>
        <v>4.6378597973408292E-2</v>
      </c>
    </row>
    <row r="5" spans="3:10" x14ac:dyDescent="0.3">
      <c r="C5" s="8">
        <f>Pronosticos!J5</f>
        <v>3</v>
      </c>
      <c r="D5" s="9">
        <f>Pronosticos!K5</f>
        <v>15</v>
      </c>
      <c r="E5" s="10">
        <f t="shared" si="0"/>
        <v>9</v>
      </c>
      <c r="F5" s="10">
        <f t="shared" si="1"/>
        <v>2.7080502011022101</v>
      </c>
      <c r="G5" s="10">
        <f t="shared" si="2"/>
        <v>8.1241506033066297</v>
      </c>
      <c r="H5" s="10">
        <f t="shared" si="3"/>
        <v>7.3335358916897206</v>
      </c>
      <c r="I5" s="26">
        <f t="shared" si="4"/>
        <v>14.510228090346789</v>
      </c>
      <c r="J5" s="47">
        <f t="shared" si="5"/>
        <v>0.23987652348535279</v>
      </c>
    </row>
    <row r="6" spans="3:10" x14ac:dyDescent="0.3">
      <c r="C6" s="8">
        <f>Pronosticos!J6</f>
        <v>4</v>
      </c>
      <c r="D6" s="9">
        <f>Pronosticos!K6</f>
        <v>18</v>
      </c>
      <c r="E6" s="10">
        <f t="shared" si="0"/>
        <v>16</v>
      </c>
      <c r="F6" s="10">
        <f t="shared" si="1"/>
        <v>2.8903717578961645</v>
      </c>
      <c r="G6" s="10">
        <f t="shared" si="2"/>
        <v>11.561487031584658</v>
      </c>
      <c r="H6" s="10">
        <f t="shared" si="3"/>
        <v>8.354248898843764</v>
      </c>
      <c r="I6" s="26">
        <f t="shared" si="4"/>
        <v>17.236231475970463</v>
      </c>
      <c r="J6" s="47">
        <f t="shared" si="5"/>
        <v>0.5833423582982572</v>
      </c>
    </row>
    <row r="7" spans="3:10" x14ac:dyDescent="0.3">
      <c r="C7" s="8">
        <f>Pronosticos!J7</f>
        <v>5</v>
      </c>
      <c r="D7" s="9">
        <f>Pronosticos!K7</f>
        <v>21</v>
      </c>
      <c r="E7" s="10">
        <f t="shared" si="0"/>
        <v>25</v>
      </c>
      <c r="F7" s="10">
        <f t="shared" si="1"/>
        <v>3.044522437723423</v>
      </c>
      <c r="G7" s="10">
        <f t="shared" si="2"/>
        <v>15.222612188617115</v>
      </c>
      <c r="H7" s="10">
        <f t="shared" si="3"/>
        <v>9.2691168738013747</v>
      </c>
      <c r="I7" s="26">
        <f t="shared" si="4"/>
        <v>20.474362886885164</v>
      </c>
      <c r="J7" s="47">
        <f t="shared" si="5"/>
        <v>0.27629437468369922</v>
      </c>
    </row>
    <row r="8" spans="3:10" x14ac:dyDescent="0.3">
      <c r="C8" s="8">
        <f>Pronosticos!J8</f>
        <v>6</v>
      </c>
      <c r="D8" s="9">
        <f>Pronosticos!K8</f>
        <v>23</v>
      </c>
      <c r="E8" s="10">
        <f t="shared" si="0"/>
        <v>36</v>
      </c>
      <c r="F8" s="10">
        <f t="shared" si="1"/>
        <v>3.1354942159291497</v>
      </c>
      <c r="G8" s="10">
        <f t="shared" si="2"/>
        <v>18.812965295574898</v>
      </c>
      <c r="H8" s="10">
        <f t="shared" si="3"/>
        <v>9.8313239781251536</v>
      </c>
      <c r="I8" s="26">
        <f t="shared" si="4"/>
        <v>24.320834644642542</v>
      </c>
      <c r="J8" s="47">
        <f t="shared" si="5"/>
        <v>1.7446041584879892</v>
      </c>
    </row>
    <row r="9" spans="3:10" x14ac:dyDescent="0.3">
      <c r="C9" s="8">
        <f>Pronosticos!J9</f>
        <v>0</v>
      </c>
      <c r="D9" s="9">
        <f>Pronosticos!K9</f>
        <v>0</v>
      </c>
      <c r="E9" s="10">
        <f t="shared" si="0"/>
        <v>0</v>
      </c>
      <c r="F9" s="10">
        <f t="shared" si="1"/>
        <v>0</v>
      </c>
      <c r="G9" s="10">
        <f t="shared" si="2"/>
        <v>0</v>
      </c>
      <c r="H9" s="10">
        <f t="shared" si="3"/>
        <v>0</v>
      </c>
      <c r="I9" s="26">
        <f t="shared" si="4"/>
        <v>0</v>
      </c>
      <c r="J9" s="47">
        <f t="shared" si="5"/>
        <v>0</v>
      </c>
    </row>
    <row r="10" spans="3:10" x14ac:dyDescent="0.3">
      <c r="C10" s="8">
        <f>Pronosticos!J10</f>
        <v>0</v>
      </c>
      <c r="D10" s="9">
        <f>Pronosticos!K10</f>
        <v>0</v>
      </c>
      <c r="E10" s="10">
        <f t="shared" si="0"/>
        <v>0</v>
      </c>
      <c r="F10" s="10">
        <f t="shared" si="1"/>
        <v>0</v>
      </c>
      <c r="G10" s="10">
        <f t="shared" si="2"/>
        <v>0</v>
      </c>
      <c r="H10" s="10">
        <f t="shared" si="3"/>
        <v>0</v>
      </c>
      <c r="I10" s="26">
        <f t="shared" si="4"/>
        <v>0</v>
      </c>
      <c r="J10" s="47">
        <f t="shared" si="5"/>
        <v>0</v>
      </c>
    </row>
    <row r="11" spans="3:10" x14ac:dyDescent="0.3">
      <c r="C11" s="8">
        <f>Pronosticos!J11</f>
        <v>0</v>
      </c>
      <c r="D11" s="9">
        <f>Pronosticos!K11</f>
        <v>0</v>
      </c>
      <c r="E11" s="10">
        <f t="shared" si="0"/>
        <v>0</v>
      </c>
      <c r="F11" s="10">
        <f t="shared" si="1"/>
        <v>0</v>
      </c>
      <c r="G11" s="10">
        <f t="shared" si="2"/>
        <v>0</v>
      </c>
      <c r="H11" s="10">
        <f t="shared" si="3"/>
        <v>0</v>
      </c>
      <c r="I11" s="26">
        <f t="shared" si="4"/>
        <v>0</v>
      </c>
      <c r="J11" s="47">
        <f t="shared" si="5"/>
        <v>0</v>
      </c>
    </row>
    <row r="12" spans="3:10" x14ac:dyDescent="0.3">
      <c r="C12" s="8">
        <f>Pronosticos!J12</f>
        <v>0</v>
      </c>
      <c r="D12" s="9">
        <f>Pronosticos!K12</f>
        <v>0</v>
      </c>
      <c r="E12" s="10">
        <f t="shared" si="0"/>
        <v>0</v>
      </c>
      <c r="F12" s="10">
        <f t="shared" si="1"/>
        <v>0</v>
      </c>
      <c r="G12" s="10">
        <f t="shared" si="2"/>
        <v>0</v>
      </c>
      <c r="H12" s="10">
        <f t="shared" si="3"/>
        <v>0</v>
      </c>
      <c r="I12" s="26">
        <f t="shared" si="4"/>
        <v>0</v>
      </c>
      <c r="J12" s="47">
        <f t="shared" si="5"/>
        <v>0</v>
      </c>
    </row>
    <row r="13" spans="3:10" x14ac:dyDescent="0.3">
      <c r="C13" s="8">
        <f>Pronosticos!J13</f>
        <v>0</v>
      </c>
      <c r="D13" s="9">
        <f>Pronosticos!K13</f>
        <v>0</v>
      </c>
      <c r="E13" s="10">
        <f t="shared" si="0"/>
        <v>0</v>
      </c>
      <c r="F13" s="10">
        <f t="shared" si="1"/>
        <v>0</v>
      </c>
      <c r="G13" s="10">
        <f t="shared" si="2"/>
        <v>0</v>
      </c>
      <c r="H13" s="10">
        <f t="shared" si="3"/>
        <v>0</v>
      </c>
      <c r="I13" s="26">
        <f t="shared" si="4"/>
        <v>0</v>
      </c>
      <c r="J13" s="47">
        <f t="shared" si="5"/>
        <v>0</v>
      </c>
    </row>
    <row r="14" spans="3:10" x14ac:dyDescent="0.3">
      <c r="C14" s="8">
        <f>Pronosticos!J14</f>
        <v>0</v>
      </c>
      <c r="D14" s="9">
        <f>Pronosticos!K14</f>
        <v>0</v>
      </c>
      <c r="E14" s="10">
        <f t="shared" si="0"/>
        <v>0</v>
      </c>
      <c r="F14" s="10">
        <f t="shared" si="1"/>
        <v>0</v>
      </c>
      <c r="G14" s="10">
        <f t="shared" si="2"/>
        <v>0</v>
      </c>
      <c r="H14" s="10">
        <f t="shared" si="3"/>
        <v>0</v>
      </c>
      <c r="I14" s="26">
        <f t="shared" si="4"/>
        <v>0</v>
      </c>
      <c r="J14" s="47">
        <f t="shared" si="5"/>
        <v>0</v>
      </c>
    </row>
    <row r="15" spans="3:10" x14ac:dyDescent="0.3">
      <c r="C15" s="8">
        <f>Pronosticos!J15</f>
        <v>0</v>
      </c>
      <c r="D15" s="9">
        <f>Pronosticos!K15</f>
        <v>0</v>
      </c>
      <c r="E15" s="10">
        <f t="shared" si="0"/>
        <v>0</v>
      </c>
      <c r="F15" s="10">
        <f t="shared" si="1"/>
        <v>0</v>
      </c>
      <c r="G15" s="10">
        <f t="shared" si="2"/>
        <v>0</v>
      </c>
      <c r="H15" s="10">
        <f t="shared" si="3"/>
        <v>0</v>
      </c>
      <c r="I15" s="26">
        <f t="shared" si="4"/>
        <v>0</v>
      </c>
      <c r="J15" s="47">
        <f t="shared" si="5"/>
        <v>0</v>
      </c>
    </row>
    <row r="16" spans="3:10" x14ac:dyDescent="0.3">
      <c r="C16" s="8">
        <f>Pronosticos!J16</f>
        <v>0</v>
      </c>
      <c r="D16" s="9">
        <f>Pronosticos!K16</f>
        <v>0</v>
      </c>
      <c r="E16" s="10">
        <f t="shared" si="0"/>
        <v>0</v>
      </c>
      <c r="F16" s="10">
        <f t="shared" si="1"/>
        <v>0</v>
      </c>
      <c r="G16" s="10">
        <f t="shared" si="2"/>
        <v>0</v>
      </c>
      <c r="H16" s="10">
        <f t="shared" si="3"/>
        <v>0</v>
      </c>
      <c r="I16" s="26">
        <f t="shared" si="4"/>
        <v>0</v>
      </c>
      <c r="J16" s="47">
        <f t="shared" si="5"/>
        <v>0</v>
      </c>
    </row>
    <row r="17" spans="3:14" x14ac:dyDescent="0.3">
      <c r="C17" s="11">
        <f>Pronosticos!J17</f>
        <v>0</v>
      </c>
      <c r="D17" s="12">
        <f>Pronosticos!K17</f>
        <v>0</v>
      </c>
      <c r="E17" s="13">
        <f t="shared" si="0"/>
        <v>0</v>
      </c>
      <c r="F17" s="13">
        <f t="shared" si="1"/>
        <v>0</v>
      </c>
      <c r="G17" s="13">
        <f t="shared" si="2"/>
        <v>0</v>
      </c>
      <c r="H17" s="13">
        <f t="shared" si="3"/>
        <v>0</v>
      </c>
      <c r="I17" s="29">
        <f t="shared" si="4"/>
        <v>0</v>
      </c>
      <c r="J17" s="64">
        <f t="shared" si="5"/>
        <v>0</v>
      </c>
    </row>
    <row r="18" spans="3:14" x14ac:dyDescent="0.3">
      <c r="C18" s="11">
        <f t="shared" ref="C18:J18" si="6">SUM(C3:C17)</f>
        <v>21</v>
      </c>
      <c r="D18" s="12">
        <f t="shared" si="6"/>
        <v>99</v>
      </c>
      <c r="E18" s="13">
        <f t="shared" si="6"/>
        <v>91</v>
      </c>
      <c r="F18" s="13">
        <f t="shared" si="6"/>
        <v>16.565930355432993</v>
      </c>
      <c r="G18" s="13">
        <f t="shared" si="6"/>
        <v>60.993613511653344</v>
      </c>
      <c r="H18" s="13">
        <f t="shared" si="6"/>
        <v>46.264884811099037</v>
      </c>
      <c r="I18" s="13">
        <f t="shared" si="6"/>
        <v>99.04044604249647</v>
      </c>
      <c r="J18" s="16">
        <f t="shared" si="6"/>
        <v>2.9708297321315964</v>
      </c>
    </row>
    <row r="21" spans="3:14" x14ac:dyDescent="0.3">
      <c r="C21" s="72" t="s">
        <v>34</v>
      </c>
      <c r="D21" s="56" t="s">
        <v>35</v>
      </c>
      <c r="E21" s="4"/>
      <c r="F21" s="73" t="s">
        <v>36</v>
      </c>
    </row>
    <row r="22" spans="3:14" x14ac:dyDescent="0.3">
      <c r="C22" s="38" t="s">
        <v>37</v>
      </c>
      <c r="D22" s="26">
        <f>COUNTIF(C3:C17,"&gt;0")</f>
        <v>6</v>
      </c>
      <c r="E22" s="39"/>
      <c r="F22" s="23"/>
      <c r="G22" s="30" t="s">
        <v>25</v>
      </c>
      <c r="H22" s="23">
        <f>(F27-(F23*F26))/SQRT((F25-(F23^2))*(F28-(F26^2)))</f>
        <v>0.99252727866208501</v>
      </c>
      <c r="K22" s="2" t="s">
        <v>38</v>
      </c>
      <c r="L22" s="4" t="s">
        <v>39</v>
      </c>
      <c r="M22" s="4" t="s">
        <v>40</v>
      </c>
      <c r="N22" s="3" t="s">
        <v>41</v>
      </c>
    </row>
    <row r="23" spans="3:14" x14ac:dyDescent="0.3">
      <c r="C23" s="40" t="s">
        <v>19</v>
      </c>
      <c r="D23" s="26">
        <f>C18</f>
        <v>21</v>
      </c>
      <c r="E23" s="39"/>
      <c r="F23" s="26">
        <f>D23/$D$22</f>
        <v>3.5</v>
      </c>
      <c r="G23" s="27" t="s">
        <v>26</v>
      </c>
      <c r="H23" s="41">
        <f>(H22^2)</f>
        <v>0.98511039888836416</v>
      </c>
      <c r="K23" s="42" t="s">
        <v>42</v>
      </c>
      <c r="L23" s="43" t="s">
        <v>16</v>
      </c>
      <c r="M23" s="43" t="s">
        <v>17</v>
      </c>
      <c r="N23" s="44" t="s">
        <v>18</v>
      </c>
    </row>
    <row r="24" spans="3:14" x14ac:dyDescent="0.3">
      <c r="C24" s="40" t="s">
        <v>14</v>
      </c>
      <c r="D24" s="26">
        <f>D18</f>
        <v>99</v>
      </c>
      <c r="E24" s="39"/>
      <c r="F24" s="26">
        <f t="shared" ref="F24:F28" si="7">D24/$D$22</f>
        <v>16.5</v>
      </c>
      <c r="G24" s="28" t="s">
        <v>9</v>
      </c>
      <c r="H24" s="29">
        <f>SQRT(J18/(D22-2))</f>
        <v>0.86180475342904617</v>
      </c>
      <c r="K24" s="8">
        <f>AVERAGE(D3:D9)</f>
        <v>14.142857142857142</v>
      </c>
      <c r="L24" s="26"/>
      <c r="M24" s="26">
        <f>(D3-I3)^2</f>
        <v>8.0333719202889814E-2</v>
      </c>
      <c r="N24" s="9"/>
    </row>
    <row r="25" spans="3:14" x14ac:dyDescent="0.3">
      <c r="C25" s="40" t="s">
        <v>20</v>
      </c>
      <c r="D25" s="26">
        <f>E18</f>
        <v>91</v>
      </c>
      <c r="E25" s="39"/>
      <c r="F25" s="26">
        <f t="shared" si="7"/>
        <v>15.166666666666666</v>
      </c>
      <c r="K25" s="8"/>
      <c r="L25" s="26"/>
      <c r="M25" s="26">
        <f t="shared" ref="M25:M38" si="8">(D4-I4)^2</f>
        <v>4.6378597973408292E-2</v>
      </c>
      <c r="N25" s="9"/>
    </row>
    <row r="26" spans="3:14" x14ac:dyDescent="0.3">
      <c r="C26" s="40" t="s">
        <v>43</v>
      </c>
      <c r="D26" s="26">
        <f>F18</f>
        <v>16.565930355432993</v>
      </c>
      <c r="E26" s="39"/>
      <c r="F26" s="26">
        <f t="shared" si="7"/>
        <v>2.7609883925721657</v>
      </c>
      <c r="K26" s="8"/>
      <c r="L26" s="26"/>
      <c r="M26" s="26">
        <f t="shared" si="8"/>
        <v>0.23987652348535279</v>
      </c>
      <c r="N26" s="9"/>
    </row>
    <row r="27" spans="3:14" x14ac:dyDescent="0.3">
      <c r="C27" s="40" t="s">
        <v>44</v>
      </c>
      <c r="D27" s="26">
        <f>G18</f>
        <v>60.993613511653344</v>
      </c>
      <c r="E27" s="39"/>
      <c r="F27" s="26">
        <f t="shared" si="7"/>
        <v>10.165602251942223</v>
      </c>
      <c r="K27" s="8"/>
      <c r="L27" s="26"/>
      <c r="M27" s="26">
        <f t="shared" si="8"/>
        <v>0.5833423582982572</v>
      </c>
      <c r="N27" s="9"/>
    </row>
    <row r="28" spans="3:14" x14ac:dyDescent="0.3">
      <c r="C28" s="45" t="s">
        <v>45</v>
      </c>
      <c r="D28" s="29">
        <f>H18</f>
        <v>46.264884811099037</v>
      </c>
      <c r="E28" s="39"/>
      <c r="F28" s="29">
        <f t="shared" si="7"/>
        <v>7.7108141351831732</v>
      </c>
      <c r="K28" s="46"/>
      <c r="L28" s="36"/>
      <c r="M28" s="26">
        <f t="shared" si="8"/>
        <v>0.27629437468369922</v>
      </c>
      <c r="N28" s="47"/>
    </row>
    <row r="29" spans="3:14" x14ac:dyDescent="0.3">
      <c r="C29" s="48"/>
      <c r="K29" s="46"/>
      <c r="L29" s="36"/>
      <c r="M29" s="26">
        <f t="shared" si="8"/>
        <v>1.7446041584879892</v>
      </c>
      <c r="N29" s="47"/>
    </row>
    <row r="30" spans="3:14" x14ac:dyDescent="0.3">
      <c r="C30" s="48"/>
      <c r="K30" s="46"/>
      <c r="L30" s="36"/>
      <c r="M30" s="26">
        <f t="shared" si="8"/>
        <v>0</v>
      </c>
      <c r="N30" s="47"/>
    </row>
    <row r="31" spans="3:14" x14ac:dyDescent="0.3">
      <c r="C31" s="22" t="s">
        <v>24</v>
      </c>
      <c r="D31" s="23">
        <f>(F27-(F23*F26))/((F25)-(F23)^2)</f>
        <v>0.17216327243644933</v>
      </c>
      <c r="K31" s="46"/>
      <c r="L31" s="36"/>
      <c r="M31" s="26">
        <f t="shared" si="8"/>
        <v>0</v>
      </c>
      <c r="N31" s="47"/>
    </row>
    <row r="32" spans="3:14" x14ac:dyDescent="0.3">
      <c r="C32" s="25" t="s">
        <v>23</v>
      </c>
      <c r="D32" s="26">
        <f>F26-(D31*F23)</f>
        <v>2.1584169390445931</v>
      </c>
      <c r="K32" s="46"/>
      <c r="L32" s="36"/>
      <c r="M32" s="26">
        <f t="shared" si="8"/>
        <v>0</v>
      </c>
      <c r="N32" s="47"/>
    </row>
    <row r="33" spans="3:14" x14ac:dyDescent="0.3">
      <c r="C33" s="25" t="s">
        <v>46</v>
      </c>
      <c r="D33" s="26">
        <v>2.7182279999999999</v>
      </c>
      <c r="K33" s="46"/>
      <c r="L33" s="36"/>
      <c r="M33" s="26">
        <f t="shared" si="8"/>
        <v>0</v>
      </c>
      <c r="N33" s="47"/>
    </row>
    <row r="34" spans="3:14" x14ac:dyDescent="0.3">
      <c r="C34" s="49" t="s">
        <v>47</v>
      </c>
      <c r="D34" s="29">
        <f>D33^D32</f>
        <v>8.6570515490211104</v>
      </c>
      <c r="K34" s="46"/>
      <c r="L34" s="36"/>
      <c r="M34" s="26">
        <f t="shared" si="8"/>
        <v>0</v>
      </c>
      <c r="N34" s="47"/>
    </row>
    <row r="35" spans="3:14" x14ac:dyDescent="0.3">
      <c r="K35" s="46"/>
      <c r="L35" s="36"/>
      <c r="M35" s="26">
        <f t="shared" si="8"/>
        <v>0</v>
      </c>
      <c r="N35" s="47"/>
    </row>
    <row r="36" spans="3:14" x14ac:dyDescent="0.3">
      <c r="K36" s="46"/>
      <c r="L36" s="36"/>
      <c r="M36" s="26">
        <f t="shared" si="8"/>
        <v>0</v>
      </c>
      <c r="N36" s="47"/>
    </row>
    <row r="37" spans="3:14" x14ac:dyDescent="0.3">
      <c r="K37" s="46"/>
      <c r="L37" s="36"/>
      <c r="M37" s="26">
        <f t="shared" si="8"/>
        <v>0</v>
      </c>
      <c r="N37" s="47"/>
    </row>
    <row r="38" spans="3:14" x14ac:dyDescent="0.3">
      <c r="K38" s="50"/>
      <c r="L38" s="36"/>
      <c r="M38" s="26">
        <f t="shared" si="8"/>
        <v>0</v>
      </c>
      <c r="N38" s="47"/>
    </row>
    <row r="39" spans="3:14" x14ac:dyDescent="0.3">
      <c r="K39" s="51"/>
      <c r="L39" s="52"/>
      <c r="M39" s="52">
        <f>SUM(M24:M38)</f>
        <v>2.9708297321315964</v>
      </c>
      <c r="N39" s="53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J36"/>
  <sheetViews>
    <sheetView topLeftCell="C7" workbookViewId="0">
      <selection activeCell="I4" sqref="I4"/>
    </sheetView>
  </sheetViews>
  <sheetFormatPr baseColWidth="10" defaultRowHeight="14.4" x14ac:dyDescent="0.3"/>
  <sheetData>
    <row r="2" spans="2:10" x14ac:dyDescent="0.3">
      <c r="B2" s="68" t="s">
        <v>1</v>
      </c>
      <c r="C2" s="88" t="s">
        <v>2</v>
      </c>
      <c r="D2" s="88" t="s">
        <v>48</v>
      </c>
      <c r="E2" s="88" t="s">
        <v>49</v>
      </c>
      <c r="F2" s="88" t="s">
        <v>28</v>
      </c>
      <c r="G2" s="88" t="s">
        <v>50</v>
      </c>
      <c r="H2" s="89" t="s">
        <v>51</v>
      </c>
      <c r="I2" s="54" t="s">
        <v>33</v>
      </c>
      <c r="J2" s="54" t="s">
        <v>52</v>
      </c>
    </row>
    <row r="3" spans="2:10" x14ac:dyDescent="0.3">
      <c r="B3" s="5">
        <f>Pronosticos!J3</f>
        <v>1</v>
      </c>
      <c r="C3" s="7">
        <f>Pronosticos!K3</f>
        <v>10</v>
      </c>
      <c r="D3" s="5">
        <f>IF(B3&gt;0,LN(B3),0)</f>
        <v>0</v>
      </c>
      <c r="E3" s="7">
        <f>IF(B3&gt;0,LN(B3)^2,0)</f>
        <v>0</v>
      </c>
      <c r="F3" s="7">
        <f>C3</f>
        <v>10</v>
      </c>
      <c r="G3" s="7">
        <f>C3^2</f>
        <v>100</v>
      </c>
      <c r="H3" s="7">
        <f>IF(B3&gt;0,LN(B3)*C3,0)</f>
        <v>0</v>
      </c>
      <c r="I3" s="5">
        <f>IF(B3&gt;0,($C$32*D3)+$C$33,0)</f>
        <v>8.4082148599356081</v>
      </c>
      <c r="J3" s="23">
        <f>(C3-I3)^2</f>
        <v>2.5337799321298156</v>
      </c>
    </row>
    <row r="4" spans="2:10" x14ac:dyDescent="0.3">
      <c r="B4" s="8">
        <f>Pronosticos!J4</f>
        <v>2</v>
      </c>
      <c r="C4" s="10">
        <f>Pronosticos!K4</f>
        <v>12</v>
      </c>
      <c r="D4" s="8">
        <f t="shared" ref="D4:D17" si="0">IF(B4&gt;0,LN(B4),0)</f>
        <v>0.69314718055994529</v>
      </c>
      <c r="E4" s="10">
        <f t="shared" ref="E4:E17" si="1">IF(B4&gt;0,LN(B4)^2,0)</f>
        <v>0.48045301391820139</v>
      </c>
      <c r="F4" s="10">
        <f t="shared" ref="F4:F17" si="2">C4</f>
        <v>12</v>
      </c>
      <c r="G4" s="10">
        <f t="shared" ref="G4:G17" si="3">C4^2</f>
        <v>144</v>
      </c>
      <c r="H4" s="10">
        <f t="shared" ref="H4:H17" si="4">IF(B4&gt;0,LN(B4)*C4,0)</f>
        <v>8.317766166719343</v>
      </c>
      <c r="I4" s="8">
        <f t="shared" ref="I4:I17" si="5">IF(B4&gt;0,($C$32*D4)+$C$33,0)</f>
        <v>13.523202454840551</v>
      </c>
      <c r="J4" s="26">
        <f t="shared" ref="J4:J17" si="6">(C4-I4)^2</f>
        <v>2.3201457184322791</v>
      </c>
    </row>
    <row r="5" spans="2:10" x14ac:dyDescent="0.3">
      <c r="B5" s="8">
        <f>Pronosticos!J5</f>
        <v>3</v>
      </c>
      <c r="C5" s="10">
        <f>Pronosticos!K5</f>
        <v>15</v>
      </c>
      <c r="D5" s="8">
        <f t="shared" si="0"/>
        <v>1.0986122886681098</v>
      </c>
      <c r="E5" s="10">
        <f t="shared" si="1"/>
        <v>1.2069489608125821</v>
      </c>
      <c r="F5" s="10">
        <f t="shared" si="2"/>
        <v>15</v>
      </c>
      <c r="G5" s="10">
        <f t="shared" si="3"/>
        <v>225</v>
      </c>
      <c r="H5" s="10">
        <f t="shared" si="4"/>
        <v>16.479184330021646</v>
      </c>
      <c r="I5" s="8">
        <f t="shared" si="5"/>
        <v>16.515278389513838</v>
      </c>
      <c r="J5" s="26">
        <f t="shared" si="6"/>
        <v>2.2960685977276518</v>
      </c>
    </row>
    <row r="6" spans="2:10" x14ac:dyDescent="0.3">
      <c r="B6" s="8">
        <f>Pronosticos!J6</f>
        <v>4</v>
      </c>
      <c r="C6" s="10">
        <f>Pronosticos!K6</f>
        <v>18</v>
      </c>
      <c r="D6" s="8">
        <f t="shared" si="0"/>
        <v>1.3862943611198906</v>
      </c>
      <c r="E6" s="10">
        <f t="shared" si="1"/>
        <v>1.9218120556728056</v>
      </c>
      <c r="F6" s="10">
        <f t="shared" si="2"/>
        <v>18</v>
      </c>
      <c r="G6" s="10">
        <f t="shared" si="3"/>
        <v>324</v>
      </c>
      <c r="H6" s="10">
        <f t="shared" si="4"/>
        <v>24.953298500158031</v>
      </c>
      <c r="I6" s="8">
        <f t="shared" si="5"/>
        <v>18.638190049745493</v>
      </c>
      <c r="J6" s="26">
        <f t="shared" si="6"/>
        <v>0.40728653959415467</v>
      </c>
    </row>
    <row r="7" spans="2:10" x14ac:dyDescent="0.3">
      <c r="B7" s="8">
        <f>Pronosticos!J7</f>
        <v>5</v>
      </c>
      <c r="C7" s="10">
        <f>Pronosticos!K7</f>
        <v>21</v>
      </c>
      <c r="D7" s="8">
        <f t="shared" si="0"/>
        <v>1.6094379124341003</v>
      </c>
      <c r="E7" s="10">
        <f t="shared" si="1"/>
        <v>2.5902903939802346</v>
      </c>
      <c r="F7" s="10">
        <f t="shared" si="2"/>
        <v>21</v>
      </c>
      <c r="G7" s="10">
        <f t="shared" si="3"/>
        <v>441</v>
      </c>
      <c r="H7" s="10">
        <f t="shared" si="4"/>
        <v>33.798196161116103</v>
      </c>
      <c r="I7" s="8">
        <f t="shared" si="5"/>
        <v>20.284848261545733</v>
      </c>
      <c r="J7" s="26">
        <f t="shared" si="6"/>
        <v>0.51144200901416059</v>
      </c>
    </row>
    <row r="8" spans="2:10" x14ac:dyDescent="0.3">
      <c r="B8" s="8">
        <f>Pronosticos!J8</f>
        <v>6</v>
      </c>
      <c r="C8" s="10">
        <f>Pronosticos!K8</f>
        <v>23</v>
      </c>
      <c r="D8" s="8">
        <f t="shared" si="0"/>
        <v>1.791759469228055</v>
      </c>
      <c r="E8" s="10">
        <f t="shared" si="1"/>
        <v>3.2104019955684011</v>
      </c>
      <c r="F8" s="10">
        <f t="shared" si="2"/>
        <v>23</v>
      </c>
      <c r="G8" s="10">
        <f t="shared" si="3"/>
        <v>529</v>
      </c>
      <c r="H8" s="10">
        <f t="shared" si="4"/>
        <v>41.210467792245261</v>
      </c>
      <c r="I8" s="8">
        <f t="shared" si="5"/>
        <v>21.630265984418777</v>
      </c>
      <c r="J8" s="26">
        <f t="shared" si="6"/>
        <v>1.8761712734402614</v>
      </c>
    </row>
    <row r="9" spans="2:10" x14ac:dyDescent="0.3">
      <c r="B9" s="8">
        <f>Pronosticos!J9</f>
        <v>0</v>
      </c>
      <c r="C9" s="10">
        <f>Pronosticos!K9</f>
        <v>0</v>
      </c>
      <c r="D9" s="8">
        <f t="shared" si="0"/>
        <v>0</v>
      </c>
      <c r="E9" s="10">
        <f t="shared" si="1"/>
        <v>0</v>
      </c>
      <c r="F9" s="10">
        <f t="shared" si="2"/>
        <v>0</v>
      </c>
      <c r="G9" s="10">
        <f t="shared" si="3"/>
        <v>0</v>
      </c>
      <c r="H9" s="10">
        <f t="shared" si="4"/>
        <v>0</v>
      </c>
      <c r="I9" s="8">
        <f t="shared" si="5"/>
        <v>0</v>
      </c>
      <c r="J9" s="26">
        <f t="shared" si="6"/>
        <v>0</v>
      </c>
    </row>
    <row r="10" spans="2:10" x14ac:dyDescent="0.3">
      <c r="B10" s="8">
        <f>Pronosticos!J10</f>
        <v>0</v>
      </c>
      <c r="C10" s="10">
        <f>Pronosticos!K10</f>
        <v>0</v>
      </c>
      <c r="D10" s="8">
        <f t="shared" si="0"/>
        <v>0</v>
      </c>
      <c r="E10" s="10">
        <f t="shared" si="1"/>
        <v>0</v>
      </c>
      <c r="F10" s="10">
        <f t="shared" si="2"/>
        <v>0</v>
      </c>
      <c r="G10" s="10">
        <f t="shared" si="3"/>
        <v>0</v>
      </c>
      <c r="H10" s="10">
        <f t="shared" si="4"/>
        <v>0</v>
      </c>
      <c r="I10" s="8">
        <f t="shared" si="5"/>
        <v>0</v>
      </c>
      <c r="J10" s="26">
        <f t="shared" si="6"/>
        <v>0</v>
      </c>
    </row>
    <row r="11" spans="2:10" x14ac:dyDescent="0.3">
      <c r="B11" s="8">
        <f>Pronosticos!J11</f>
        <v>0</v>
      </c>
      <c r="C11" s="10">
        <f>Pronosticos!K11</f>
        <v>0</v>
      </c>
      <c r="D11" s="8">
        <f t="shared" si="0"/>
        <v>0</v>
      </c>
      <c r="E11" s="10">
        <f t="shared" si="1"/>
        <v>0</v>
      </c>
      <c r="F11" s="10">
        <f t="shared" si="2"/>
        <v>0</v>
      </c>
      <c r="G11" s="10">
        <f t="shared" si="3"/>
        <v>0</v>
      </c>
      <c r="H11" s="10">
        <f t="shared" si="4"/>
        <v>0</v>
      </c>
      <c r="I11" s="8">
        <f t="shared" si="5"/>
        <v>0</v>
      </c>
      <c r="J11" s="26">
        <f t="shared" si="6"/>
        <v>0</v>
      </c>
    </row>
    <row r="12" spans="2:10" x14ac:dyDescent="0.3">
      <c r="B12" s="8">
        <f>Pronosticos!J12</f>
        <v>0</v>
      </c>
      <c r="C12" s="10">
        <f>Pronosticos!K12</f>
        <v>0</v>
      </c>
      <c r="D12" s="8">
        <f t="shared" si="0"/>
        <v>0</v>
      </c>
      <c r="E12" s="10">
        <f t="shared" si="1"/>
        <v>0</v>
      </c>
      <c r="F12" s="10">
        <f t="shared" si="2"/>
        <v>0</v>
      </c>
      <c r="G12" s="10">
        <f t="shared" si="3"/>
        <v>0</v>
      </c>
      <c r="H12" s="10">
        <f t="shared" si="4"/>
        <v>0</v>
      </c>
      <c r="I12" s="8">
        <f t="shared" si="5"/>
        <v>0</v>
      </c>
      <c r="J12" s="26">
        <f t="shared" si="6"/>
        <v>0</v>
      </c>
    </row>
    <row r="13" spans="2:10" x14ac:dyDescent="0.3">
      <c r="B13" s="8">
        <f>Pronosticos!J13</f>
        <v>0</v>
      </c>
      <c r="C13" s="10">
        <f>Pronosticos!K13</f>
        <v>0</v>
      </c>
      <c r="D13" s="8">
        <f t="shared" si="0"/>
        <v>0</v>
      </c>
      <c r="E13" s="10">
        <f t="shared" si="1"/>
        <v>0</v>
      </c>
      <c r="F13" s="10">
        <f t="shared" si="2"/>
        <v>0</v>
      </c>
      <c r="G13" s="10">
        <f t="shared" si="3"/>
        <v>0</v>
      </c>
      <c r="H13" s="10">
        <f t="shared" si="4"/>
        <v>0</v>
      </c>
      <c r="I13" s="8">
        <f t="shared" si="5"/>
        <v>0</v>
      </c>
      <c r="J13" s="26">
        <f t="shared" si="6"/>
        <v>0</v>
      </c>
    </row>
    <row r="14" spans="2:10" x14ac:dyDescent="0.3">
      <c r="B14" s="8">
        <f>Pronosticos!J14</f>
        <v>0</v>
      </c>
      <c r="C14" s="10">
        <f>Pronosticos!K14</f>
        <v>0</v>
      </c>
      <c r="D14" s="8">
        <f t="shared" si="0"/>
        <v>0</v>
      </c>
      <c r="E14" s="10">
        <f t="shared" si="1"/>
        <v>0</v>
      </c>
      <c r="F14" s="10">
        <f t="shared" si="2"/>
        <v>0</v>
      </c>
      <c r="G14" s="10">
        <f t="shared" si="3"/>
        <v>0</v>
      </c>
      <c r="H14" s="10">
        <f t="shared" si="4"/>
        <v>0</v>
      </c>
      <c r="I14" s="8">
        <f t="shared" si="5"/>
        <v>0</v>
      </c>
      <c r="J14" s="26">
        <f t="shared" si="6"/>
        <v>0</v>
      </c>
    </row>
    <row r="15" spans="2:10" x14ac:dyDescent="0.3">
      <c r="B15" s="8">
        <f>Pronosticos!J15</f>
        <v>0</v>
      </c>
      <c r="C15" s="10">
        <f>Pronosticos!K15</f>
        <v>0</v>
      </c>
      <c r="D15" s="8">
        <f t="shared" si="0"/>
        <v>0</v>
      </c>
      <c r="E15" s="10">
        <f t="shared" si="1"/>
        <v>0</v>
      </c>
      <c r="F15" s="10">
        <f t="shared" si="2"/>
        <v>0</v>
      </c>
      <c r="G15" s="10">
        <f t="shared" si="3"/>
        <v>0</v>
      </c>
      <c r="H15" s="10">
        <f t="shared" si="4"/>
        <v>0</v>
      </c>
      <c r="I15" s="8">
        <f t="shared" si="5"/>
        <v>0</v>
      </c>
      <c r="J15" s="26">
        <f t="shared" si="6"/>
        <v>0</v>
      </c>
    </row>
    <row r="16" spans="2:10" x14ac:dyDescent="0.3">
      <c r="B16" s="8">
        <f>Pronosticos!J16</f>
        <v>0</v>
      </c>
      <c r="C16" s="10">
        <f>Pronosticos!K16</f>
        <v>0</v>
      </c>
      <c r="D16" s="8">
        <f t="shared" si="0"/>
        <v>0</v>
      </c>
      <c r="E16" s="10">
        <f t="shared" si="1"/>
        <v>0</v>
      </c>
      <c r="F16" s="10">
        <f t="shared" si="2"/>
        <v>0</v>
      </c>
      <c r="G16" s="10">
        <f t="shared" si="3"/>
        <v>0</v>
      </c>
      <c r="H16" s="10">
        <f t="shared" si="4"/>
        <v>0</v>
      </c>
      <c r="I16" s="8">
        <f t="shared" si="5"/>
        <v>0</v>
      </c>
      <c r="J16" s="26">
        <f t="shared" si="6"/>
        <v>0</v>
      </c>
    </row>
    <row r="17" spans="2:10" x14ac:dyDescent="0.3">
      <c r="B17" s="11">
        <f>Pronosticos!J17</f>
        <v>0</v>
      </c>
      <c r="C17" s="13">
        <f>Pronosticos!K17</f>
        <v>0</v>
      </c>
      <c r="D17" s="11">
        <f t="shared" si="0"/>
        <v>0</v>
      </c>
      <c r="E17" s="13">
        <f t="shared" si="1"/>
        <v>0</v>
      </c>
      <c r="F17" s="13">
        <f t="shared" si="2"/>
        <v>0</v>
      </c>
      <c r="G17" s="13">
        <f t="shared" si="3"/>
        <v>0</v>
      </c>
      <c r="H17" s="13">
        <f t="shared" si="4"/>
        <v>0</v>
      </c>
      <c r="I17" s="11">
        <f t="shared" si="5"/>
        <v>0</v>
      </c>
      <c r="J17" s="29">
        <f t="shared" si="6"/>
        <v>0</v>
      </c>
    </row>
    <row r="18" spans="2:10" x14ac:dyDescent="0.3">
      <c r="B18" s="11">
        <f>SUM(B3:B17)</f>
        <v>21</v>
      </c>
      <c r="C18" s="12">
        <f>SUM(C3:C17)</f>
        <v>99</v>
      </c>
      <c r="D18" s="13">
        <f t="shared" ref="D18:J18" si="7">SUM(D3:D17)</f>
        <v>6.5792512120101012</v>
      </c>
      <c r="E18" s="13">
        <f t="shared" si="7"/>
        <v>9.4099064199522253</v>
      </c>
      <c r="F18" s="13">
        <f t="shared" si="7"/>
        <v>99</v>
      </c>
      <c r="G18" s="13">
        <f t="shared" si="7"/>
        <v>1763</v>
      </c>
      <c r="H18" s="12">
        <f t="shared" si="7"/>
        <v>124.75891295026037</v>
      </c>
      <c r="I18" s="12">
        <f t="shared" si="7"/>
        <v>99</v>
      </c>
      <c r="J18" s="12">
        <f t="shared" si="7"/>
        <v>9.9448940703383233</v>
      </c>
    </row>
    <row r="19" spans="2:10" x14ac:dyDescent="0.3">
      <c r="B19" s="55"/>
      <c r="C19" s="55"/>
      <c r="D19" s="55"/>
      <c r="E19" s="55"/>
      <c r="F19" s="55"/>
      <c r="G19" s="55"/>
      <c r="H19" s="55"/>
    </row>
    <row r="21" spans="2:10" x14ac:dyDescent="0.3">
      <c r="B21" s="2" t="s">
        <v>53</v>
      </c>
      <c r="C21" s="56" t="s">
        <v>35</v>
      </c>
      <c r="D21" s="3" t="s">
        <v>36</v>
      </c>
    </row>
    <row r="22" spans="2:10" x14ac:dyDescent="0.3">
      <c r="B22" s="23" t="s">
        <v>54</v>
      </c>
      <c r="C22" s="23">
        <f>COUNTIF(B3:B17,"&gt;0")</f>
        <v>6</v>
      </c>
      <c r="D22" s="23"/>
    </row>
    <row r="23" spans="2:10" x14ac:dyDescent="0.3">
      <c r="B23" s="40" t="s">
        <v>19</v>
      </c>
      <c r="C23" s="26">
        <f>B18</f>
        <v>21</v>
      </c>
      <c r="D23" s="26">
        <f>C23/$C$22</f>
        <v>3.5</v>
      </c>
    </row>
    <row r="24" spans="2:10" x14ac:dyDescent="0.3">
      <c r="B24" s="40" t="s">
        <v>14</v>
      </c>
      <c r="C24" s="26">
        <f>C18</f>
        <v>99</v>
      </c>
      <c r="D24" s="26">
        <f>C24/$C$22</f>
        <v>16.5</v>
      </c>
    </row>
    <row r="25" spans="2:10" x14ac:dyDescent="0.3">
      <c r="B25" s="40" t="s">
        <v>55</v>
      </c>
      <c r="C25" s="26">
        <f>D18</f>
        <v>6.5792512120101012</v>
      </c>
      <c r="D25" s="26">
        <f t="shared" ref="D25:D28" si="8">C25/$C$22</f>
        <v>1.0965418686683501</v>
      </c>
    </row>
    <row r="26" spans="2:10" x14ac:dyDescent="0.3">
      <c r="B26" s="40" t="s">
        <v>56</v>
      </c>
      <c r="C26" s="26">
        <f>E18</f>
        <v>9.4099064199522253</v>
      </c>
      <c r="D26" s="26">
        <f t="shared" si="8"/>
        <v>1.5683177366587042</v>
      </c>
    </row>
    <row r="27" spans="2:10" x14ac:dyDescent="0.3">
      <c r="B27" s="40" t="s">
        <v>21</v>
      </c>
      <c r="C27" s="26">
        <f>G18</f>
        <v>1763</v>
      </c>
      <c r="D27" s="26">
        <f t="shared" si="8"/>
        <v>293.83333333333331</v>
      </c>
    </row>
    <row r="28" spans="2:10" x14ac:dyDescent="0.3">
      <c r="B28" s="45" t="s">
        <v>57</v>
      </c>
      <c r="C28" s="29">
        <f>H18</f>
        <v>124.75891295026037</v>
      </c>
      <c r="D28" s="29">
        <f t="shared" si="8"/>
        <v>20.793152158376728</v>
      </c>
    </row>
    <row r="32" spans="2:10" x14ac:dyDescent="0.3">
      <c r="B32" s="30" t="s">
        <v>24</v>
      </c>
      <c r="C32" s="23">
        <f>((D28)-(D25*D24))/(D26-(D25)^2)</f>
        <v>7.3793672373779264</v>
      </c>
    </row>
    <row r="33" spans="2:3" x14ac:dyDescent="0.3">
      <c r="B33" s="27" t="s">
        <v>23</v>
      </c>
      <c r="C33" s="26">
        <f>D24-(C32*D25)</f>
        <v>8.4082148599356081</v>
      </c>
    </row>
    <row r="34" spans="2:3" x14ac:dyDescent="0.3">
      <c r="B34" s="27" t="s">
        <v>25</v>
      </c>
      <c r="C34" s="26">
        <f>((D28)-(D25*D24))/SQRT((D26-(D25)^2)*(D27-(D24^2)))</f>
        <v>0.96083580865530593</v>
      </c>
    </row>
    <row r="35" spans="2:3" x14ac:dyDescent="0.3">
      <c r="B35" s="27" t="s">
        <v>26</v>
      </c>
      <c r="C35" s="41">
        <f>C34^2</f>
        <v>0.92320545119429565</v>
      </c>
    </row>
    <row r="36" spans="2:3" x14ac:dyDescent="0.3">
      <c r="B36" s="28" t="s">
        <v>9</v>
      </c>
      <c r="C36" s="37">
        <f>SQRT((J18)/(C22-2))</f>
        <v>1.5767763054994772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J36"/>
  <sheetViews>
    <sheetView topLeftCell="A19" workbookViewId="0">
      <selection activeCell="L16" sqref="L16"/>
    </sheetView>
  </sheetViews>
  <sheetFormatPr baseColWidth="10" defaultRowHeight="14.4" x14ac:dyDescent="0.3"/>
  <sheetData>
    <row r="2" spans="2:10" x14ac:dyDescent="0.3">
      <c r="B2" s="2" t="s">
        <v>1</v>
      </c>
      <c r="C2" s="3" t="s">
        <v>2</v>
      </c>
      <c r="D2" s="4" t="s">
        <v>48</v>
      </c>
      <c r="E2" s="4" t="s">
        <v>58</v>
      </c>
      <c r="F2" s="4" t="s">
        <v>30</v>
      </c>
      <c r="G2" s="4" t="s">
        <v>59</v>
      </c>
      <c r="H2" s="3" t="s">
        <v>60</v>
      </c>
      <c r="I2" s="30" t="s">
        <v>33</v>
      </c>
      <c r="J2" s="30" t="s">
        <v>52</v>
      </c>
    </row>
    <row r="3" spans="2:10" x14ac:dyDescent="0.3">
      <c r="B3" s="8">
        <f>Pronosticos!J3</f>
        <v>1</v>
      </c>
      <c r="C3" s="9">
        <f>Pronosticos!K3</f>
        <v>10</v>
      </c>
      <c r="D3" s="10">
        <f>IF(B3&gt;0,LN(B3),0)</f>
        <v>0</v>
      </c>
      <c r="E3" s="10">
        <f>IF(B3&gt;0,LN(B3)^2,0)</f>
        <v>0</v>
      </c>
      <c r="F3" s="10">
        <f>IF(C3&gt;0,LN(C3),0)</f>
        <v>2.3025850929940459</v>
      </c>
      <c r="G3" s="10">
        <f>IF(C3&gt;0,LN(C3)^2,0)</f>
        <v>5.3018981104783993</v>
      </c>
      <c r="H3" s="10">
        <f>D3*F3</f>
        <v>0</v>
      </c>
      <c r="I3" s="23">
        <f>IF(B3&gt;0,$C$36*(B3^$C$31),0)</f>
        <v>9.3275148115776076</v>
      </c>
      <c r="J3" s="9">
        <f>IF(B3&gt;0,(C3-I3)^2,0)</f>
        <v>0.45223632864750057</v>
      </c>
    </row>
    <row r="4" spans="2:10" x14ac:dyDescent="0.3">
      <c r="B4" s="8">
        <f>Pronosticos!J4</f>
        <v>2</v>
      </c>
      <c r="C4" s="9">
        <f>Pronosticos!K4</f>
        <v>12</v>
      </c>
      <c r="D4" s="10">
        <f t="shared" ref="D4:D17" si="0">IF(B4&gt;0,LN(B4),0)</f>
        <v>0.69314718055994529</v>
      </c>
      <c r="E4" s="10">
        <f t="shared" ref="E4:E17" si="1">IF(B4&gt;0,LN(B4)^2,0)</f>
        <v>0.48045301391820139</v>
      </c>
      <c r="F4" s="10">
        <f t="shared" ref="F4:F17" si="2">IF(C4&gt;0,LN(C4),0)</f>
        <v>2.4849066497880004</v>
      </c>
      <c r="G4" s="10">
        <f t="shared" ref="G4:G17" si="3">IF(C4&gt;0,LN(C4)^2,0)</f>
        <v>6.174761058160624</v>
      </c>
      <c r="H4" s="10">
        <f t="shared" ref="H4:H17" si="4">D4*F4</f>
        <v>1.7224060382552118</v>
      </c>
      <c r="I4" s="26">
        <f t="shared" ref="I4:I17" si="5">IF(B4&gt;0,$C$36*(B4^$C$31),0)</f>
        <v>13.023312526878138</v>
      </c>
      <c r="J4" s="9">
        <f t="shared" ref="J4:J17" si="6">IF(B4&gt;0,(C4-I4)^2,0)</f>
        <v>1.0471685276657203</v>
      </c>
    </row>
    <row r="5" spans="2:10" x14ac:dyDescent="0.3">
      <c r="B5" s="8">
        <f>Pronosticos!J5</f>
        <v>3</v>
      </c>
      <c r="C5" s="9">
        <f>Pronosticos!K5</f>
        <v>15</v>
      </c>
      <c r="D5" s="10">
        <f t="shared" si="0"/>
        <v>1.0986122886681098</v>
      </c>
      <c r="E5" s="10">
        <f t="shared" si="1"/>
        <v>1.2069489608125821</v>
      </c>
      <c r="F5" s="10">
        <f t="shared" si="2"/>
        <v>2.7080502011022101</v>
      </c>
      <c r="G5" s="10">
        <f t="shared" si="3"/>
        <v>7.3335358916897206</v>
      </c>
      <c r="H5" s="10">
        <f t="shared" si="4"/>
        <v>2.975097229261034</v>
      </c>
      <c r="I5" s="26">
        <f t="shared" si="5"/>
        <v>15.831242573105422</v>
      </c>
      <c r="J5" s="9">
        <f t="shared" si="6"/>
        <v>0.69096421534292329</v>
      </c>
    </row>
    <row r="6" spans="2:10" x14ac:dyDescent="0.3">
      <c r="B6" s="8">
        <f>Pronosticos!J6</f>
        <v>4</v>
      </c>
      <c r="C6" s="9">
        <f>Pronosticos!K6</f>
        <v>18</v>
      </c>
      <c r="D6" s="10">
        <f t="shared" si="0"/>
        <v>1.3862943611198906</v>
      </c>
      <c r="E6" s="10">
        <f t="shared" si="1"/>
        <v>1.9218120556728056</v>
      </c>
      <c r="F6" s="10">
        <f t="shared" si="2"/>
        <v>2.8903717578961645</v>
      </c>
      <c r="G6" s="10">
        <f t="shared" si="3"/>
        <v>8.354248898843764</v>
      </c>
      <c r="H6" s="10">
        <f t="shared" si="4"/>
        <v>4.0069060695116381</v>
      </c>
      <c r="I6" s="26">
        <f t="shared" si="5"/>
        <v>18.183478943632426</v>
      </c>
      <c r="J6" s="9">
        <f t="shared" si="6"/>
        <v>3.3664522756471124E-2</v>
      </c>
    </row>
    <row r="7" spans="2:10" x14ac:dyDescent="0.3">
      <c r="B7" s="8">
        <f>Pronosticos!J7</f>
        <v>5</v>
      </c>
      <c r="C7" s="9">
        <f>Pronosticos!K7</f>
        <v>21</v>
      </c>
      <c r="D7" s="10">
        <f t="shared" si="0"/>
        <v>1.6094379124341003</v>
      </c>
      <c r="E7" s="10">
        <f t="shared" si="1"/>
        <v>2.5902903939802346</v>
      </c>
      <c r="F7" s="10">
        <f t="shared" si="2"/>
        <v>3.044522437723423</v>
      </c>
      <c r="G7" s="10">
        <f t="shared" si="3"/>
        <v>9.2691168738013747</v>
      </c>
      <c r="H7" s="10">
        <f t="shared" si="4"/>
        <v>4.8999698365283644</v>
      </c>
      <c r="I7" s="26">
        <f t="shared" si="5"/>
        <v>20.246139778122931</v>
      </c>
      <c r="J7" s="9">
        <f t="shared" si="6"/>
        <v>0.56830523412854395</v>
      </c>
    </row>
    <row r="8" spans="2:10" x14ac:dyDescent="0.3">
      <c r="B8" s="8">
        <f>Pronosticos!J8</f>
        <v>6</v>
      </c>
      <c r="C8" s="9">
        <f>Pronosticos!K8</f>
        <v>23</v>
      </c>
      <c r="D8" s="10">
        <f t="shared" si="0"/>
        <v>1.791759469228055</v>
      </c>
      <c r="E8" s="10">
        <f t="shared" si="1"/>
        <v>3.2104019955684011</v>
      </c>
      <c r="F8" s="10">
        <f t="shared" si="2"/>
        <v>3.1354942159291497</v>
      </c>
      <c r="G8" s="10">
        <f t="shared" si="3"/>
        <v>9.8313239781251536</v>
      </c>
      <c r="H8" s="10">
        <f t="shared" si="4"/>
        <v>5.6180514521008496</v>
      </c>
      <c r="I8" s="26">
        <f t="shared" si="5"/>
        <v>22.103982023428049</v>
      </c>
      <c r="J8" s="9">
        <f t="shared" si="6"/>
        <v>0.80284821434009324</v>
      </c>
    </row>
    <row r="9" spans="2:10" x14ac:dyDescent="0.3">
      <c r="B9" s="8">
        <f>Pronosticos!J9</f>
        <v>0</v>
      </c>
      <c r="C9" s="9">
        <f>Pronosticos!K9</f>
        <v>0</v>
      </c>
      <c r="D9" s="10">
        <f t="shared" si="0"/>
        <v>0</v>
      </c>
      <c r="E9" s="10">
        <f t="shared" si="1"/>
        <v>0</v>
      </c>
      <c r="F9" s="10">
        <f t="shared" si="2"/>
        <v>0</v>
      </c>
      <c r="G9" s="10">
        <f t="shared" si="3"/>
        <v>0</v>
      </c>
      <c r="H9" s="10">
        <f t="shared" si="4"/>
        <v>0</v>
      </c>
      <c r="I9" s="26">
        <f t="shared" si="5"/>
        <v>0</v>
      </c>
      <c r="J9" s="9">
        <f t="shared" si="6"/>
        <v>0</v>
      </c>
    </row>
    <row r="10" spans="2:10" x14ac:dyDescent="0.3">
      <c r="B10" s="8">
        <f>Pronosticos!J10</f>
        <v>0</v>
      </c>
      <c r="C10" s="9">
        <f>Pronosticos!K10</f>
        <v>0</v>
      </c>
      <c r="D10" s="10">
        <f t="shared" si="0"/>
        <v>0</v>
      </c>
      <c r="E10" s="10">
        <f t="shared" si="1"/>
        <v>0</v>
      </c>
      <c r="F10" s="10">
        <f t="shared" si="2"/>
        <v>0</v>
      </c>
      <c r="G10" s="10">
        <f t="shared" si="3"/>
        <v>0</v>
      </c>
      <c r="H10" s="10">
        <f t="shared" si="4"/>
        <v>0</v>
      </c>
      <c r="I10" s="26">
        <f t="shared" si="5"/>
        <v>0</v>
      </c>
      <c r="J10" s="9">
        <f t="shared" si="6"/>
        <v>0</v>
      </c>
    </row>
    <row r="11" spans="2:10" x14ac:dyDescent="0.3">
      <c r="B11" s="8">
        <f>Pronosticos!J11</f>
        <v>0</v>
      </c>
      <c r="C11" s="9">
        <f>Pronosticos!K11</f>
        <v>0</v>
      </c>
      <c r="D11" s="10">
        <f t="shared" si="0"/>
        <v>0</v>
      </c>
      <c r="E11" s="10">
        <f t="shared" si="1"/>
        <v>0</v>
      </c>
      <c r="F11" s="10">
        <f t="shared" si="2"/>
        <v>0</v>
      </c>
      <c r="G11" s="10">
        <f t="shared" si="3"/>
        <v>0</v>
      </c>
      <c r="H11" s="10">
        <f t="shared" si="4"/>
        <v>0</v>
      </c>
      <c r="I11" s="26">
        <f t="shared" si="5"/>
        <v>0</v>
      </c>
      <c r="J11" s="9">
        <f t="shared" si="6"/>
        <v>0</v>
      </c>
    </row>
    <row r="12" spans="2:10" x14ac:dyDescent="0.3">
      <c r="B12" s="8">
        <f>Pronosticos!J12</f>
        <v>0</v>
      </c>
      <c r="C12" s="9">
        <f>Pronosticos!K12</f>
        <v>0</v>
      </c>
      <c r="D12" s="10">
        <f t="shared" si="0"/>
        <v>0</v>
      </c>
      <c r="E12" s="10">
        <f t="shared" si="1"/>
        <v>0</v>
      </c>
      <c r="F12" s="10">
        <f t="shared" si="2"/>
        <v>0</v>
      </c>
      <c r="G12" s="10">
        <f t="shared" si="3"/>
        <v>0</v>
      </c>
      <c r="H12" s="10">
        <f t="shared" si="4"/>
        <v>0</v>
      </c>
      <c r="I12" s="26">
        <f t="shared" si="5"/>
        <v>0</v>
      </c>
      <c r="J12" s="9">
        <f t="shared" si="6"/>
        <v>0</v>
      </c>
    </row>
    <row r="13" spans="2:10" x14ac:dyDescent="0.3">
      <c r="B13" s="8">
        <f>Pronosticos!J13</f>
        <v>0</v>
      </c>
      <c r="C13" s="9">
        <f>Pronosticos!K13</f>
        <v>0</v>
      </c>
      <c r="D13" s="10">
        <f t="shared" si="0"/>
        <v>0</v>
      </c>
      <c r="E13" s="10">
        <f t="shared" si="1"/>
        <v>0</v>
      </c>
      <c r="F13" s="10">
        <f t="shared" si="2"/>
        <v>0</v>
      </c>
      <c r="G13" s="10">
        <f t="shared" si="3"/>
        <v>0</v>
      </c>
      <c r="H13" s="10">
        <f t="shared" si="4"/>
        <v>0</v>
      </c>
      <c r="I13" s="26">
        <f t="shared" si="5"/>
        <v>0</v>
      </c>
      <c r="J13" s="9">
        <f t="shared" si="6"/>
        <v>0</v>
      </c>
    </row>
    <row r="14" spans="2:10" x14ac:dyDescent="0.3">
      <c r="B14" s="8">
        <f>Pronosticos!J14</f>
        <v>0</v>
      </c>
      <c r="C14" s="9">
        <f>Pronosticos!K14</f>
        <v>0</v>
      </c>
      <c r="D14" s="10">
        <f t="shared" si="0"/>
        <v>0</v>
      </c>
      <c r="E14" s="10">
        <f t="shared" si="1"/>
        <v>0</v>
      </c>
      <c r="F14" s="10">
        <f t="shared" si="2"/>
        <v>0</v>
      </c>
      <c r="G14" s="10">
        <f t="shared" si="3"/>
        <v>0</v>
      </c>
      <c r="H14" s="10">
        <f t="shared" si="4"/>
        <v>0</v>
      </c>
      <c r="I14" s="26">
        <f t="shared" si="5"/>
        <v>0</v>
      </c>
      <c r="J14" s="9">
        <f t="shared" si="6"/>
        <v>0</v>
      </c>
    </row>
    <row r="15" spans="2:10" x14ac:dyDescent="0.3">
      <c r="B15" s="8">
        <f>Pronosticos!J15</f>
        <v>0</v>
      </c>
      <c r="C15" s="9">
        <f>Pronosticos!K15</f>
        <v>0</v>
      </c>
      <c r="D15" s="10">
        <f t="shared" si="0"/>
        <v>0</v>
      </c>
      <c r="E15" s="10">
        <f t="shared" si="1"/>
        <v>0</v>
      </c>
      <c r="F15" s="10">
        <f t="shared" si="2"/>
        <v>0</v>
      </c>
      <c r="G15" s="10">
        <f t="shared" si="3"/>
        <v>0</v>
      </c>
      <c r="H15" s="10">
        <f t="shared" si="4"/>
        <v>0</v>
      </c>
      <c r="I15" s="26">
        <f t="shared" si="5"/>
        <v>0</v>
      </c>
      <c r="J15" s="9">
        <f t="shared" si="6"/>
        <v>0</v>
      </c>
    </row>
    <row r="16" spans="2:10" x14ac:dyDescent="0.3">
      <c r="B16" s="8">
        <f>Pronosticos!J16</f>
        <v>0</v>
      </c>
      <c r="C16" s="9">
        <f>Pronosticos!K16</f>
        <v>0</v>
      </c>
      <c r="D16" s="10">
        <f t="shared" si="0"/>
        <v>0</v>
      </c>
      <c r="E16" s="10">
        <f t="shared" si="1"/>
        <v>0</v>
      </c>
      <c r="F16" s="10">
        <f t="shared" si="2"/>
        <v>0</v>
      </c>
      <c r="G16" s="10">
        <f t="shared" si="3"/>
        <v>0</v>
      </c>
      <c r="H16" s="10">
        <f t="shared" si="4"/>
        <v>0</v>
      </c>
      <c r="I16" s="26">
        <f t="shared" si="5"/>
        <v>0</v>
      </c>
      <c r="J16" s="9">
        <f t="shared" si="6"/>
        <v>0</v>
      </c>
    </row>
    <row r="17" spans="2:10" x14ac:dyDescent="0.3">
      <c r="B17" s="8">
        <f>Pronosticos!J17</f>
        <v>0</v>
      </c>
      <c r="C17" s="9">
        <f>Pronosticos!K17</f>
        <v>0</v>
      </c>
      <c r="D17" s="10">
        <f t="shared" si="0"/>
        <v>0</v>
      </c>
      <c r="E17" s="10">
        <f t="shared" si="1"/>
        <v>0</v>
      </c>
      <c r="F17" s="10">
        <f t="shared" si="2"/>
        <v>0</v>
      </c>
      <c r="G17" s="10">
        <f t="shared" si="3"/>
        <v>0</v>
      </c>
      <c r="H17" s="10">
        <f t="shared" si="4"/>
        <v>0</v>
      </c>
      <c r="I17" s="29">
        <f t="shared" si="5"/>
        <v>0</v>
      </c>
      <c r="J17" s="9">
        <f t="shared" si="6"/>
        <v>0</v>
      </c>
    </row>
    <row r="18" spans="2:10" x14ac:dyDescent="0.3">
      <c r="B18" s="14">
        <f>SUM(B3:B17)</f>
        <v>21</v>
      </c>
      <c r="C18" s="16">
        <f t="shared" ref="C18:J18" si="7">SUM(C3:C17)</f>
        <v>99</v>
      </c>
      <c r="D18" s="14">
        <f t="shared" si="7"/>
        <v>6.5792512120101012</v>
      </c>
      <c r="E18" s="15">
        <f t="shared" si="7"/>
        <v>9.4099064199522253</v>
      </c>
      <c r="F18" s="15">
        <f t="shared" si="7"/>
        <v>16.565930355432993</v>
      </c>
      <c r="G18" s="15">
        <f t="shared" si="7"/>
        <v>46.264884811099037</v>
      </c>
      <c r="H18" s="15">
        <f t="shared" si="7"/>
        <v>19.222430625657097</v>
      </c>
      <c r="I18" s="13">
        <f t="shared" si="7"/>
        <v>98.715670656744578</v>
      </c>
      <c r="J18" s="16">
        <f t="shared" si="7"/>
        <v>3.5951870428812525</v>
      </c>
    </row>
    <row r="21" spans="2:10" x14ac:dyDescent="0.3">
      <c r="B21" s="2" t="s">
        <v>34</v>
      </c>
      <c r="C21" s="56" t="s">
        <v>35</v>
      </c>
      <c r="D21" s="3" t="s">
        <v>36</v>
      </c>
    </row>
    <row r="22" spans="2:10" x14ac:dyDescent="0.3">
      <c r="B22" s="23" t="s">
        <v>54</v>
      </c>
      <c r="C22" s="23">
        <f>COUNTIF(B3:B17,"&gt;0")</f>
        <v>6</v>
      </c>
      <c r="D22" s="23"/>
    </row>
    <row r="23" spans="2:10" x14ac:dyDescent="0.3">
      <c r="B23" s="40" t="s">
        <v>19</v>
      </c>
      <c r="C23" s="26">
        <f>B18</f>
        <v>21</v>
      </c>
      <c r="D23" s="26">
        <f>C23/$C$22</f>
        <v>3.5</v>
      </c>
    </row>
    <row r="24" spans="2:10" x14ac:dyDescent="0.3">
      <c r="B24" s="40" t="s">
        <v>14</v>
      </c>
      <c r="C24" s="26">
        <f>C18</f>
        <v>99</v>
      </c>
      <c r="D24" s="26">
        <f t="shared" ref="D24:D29" si="8">C24/$C$22</f>
        <v>16.5</v>
      </c>
    </row>
    <row r="25" spans="2:10" x14ac:dyDescent="0.3">
      <c r="B25" s="40" t="s">
        <v>55</v>
      </c>
      <c r="C25" s="26">
        <f>D18</f>
        <v>6.5792512120101012</v>
      </c>
      <c r="D25" s="26">
        <f t="shared" si="8"/>
        <v>1.0965418686683501</v>
      </c>
    </row>
    <row r="26" spans="2:10" x14ac:dyDescent="0.3">
      <c r="B26" s="40" t="s">
        <v>56</v>
      </c>
      <c r="C26" s="26">
        <f>E18</f>
        <v>9.4099064199522253</v>
      </c>
      <c r="D26" s="26">
        <f t="shared" si="8"/>
        <v>1.5683177366587042</v>
      </c>
    </row>
    <row r="27" spans="2:10" x14ac:dyDescent="0.3">
      <c r="B27" s="40" t="s">
        <v>61</v>
      </c>
      <c r="C27" s="26">
        <f>F18</f>
        <v>16.565930355432993</v>
      </c>
      <c r="D27" s="26">
        <f t="shared" si="8"/>
        <v>2.7609883925721657</v>
      </c>
    </row>
    <row r="28" spans="2:10" x14ac:dyDescent="0.3">
      <c r="B28" s="40" t="s">
        <v>62</v>
      </c>
      <c r="C28" s="26">
        <f>G18</f>
        <v>46.264884811099037</v>
      </c>
      <c r="D28" s="26">
        <f t="shared" si="8"/>
        <v>7.7108141351831732</v>
      </c>
    </row>
    <row r="29" spans="2:10" x14ac:dyDescent="0.3">
      <c r="B29" s="45" t="s">
        <v>63</v>
      </c>
      <c r="C29" s="29">
        <f>H18</f>
        <v>19.222430625657097</v>
      </c>
      <c r="D29" s="29">
        <f t="shared" si="8"/>
        <v>3.2037384376095162</v>
      </c>
    </row>
    <row r="31" spans="2:10" x14ac:dyDescent="0.3">
      <c r="B31" s="22" t="s">
        <v>24</v>
      </c>
      <c r="C31" s="35">
        <f>((D29)-(D25*D27))/((D26)-(D25^2))</f>
        <v>0.48153179883069258</v>
      </c>
    </row>
    <row r="32" spans="2:10" x14ac:dyDescent="0.3">
      <c r="B32" s="25" t="s">
        <v>23</v>
      </c>
      <c r="C32" s="36">
        <f>D27-(C31*D25)</f>
        <v>2.2329686140591258</v>
      </c>
    </row>
    <row r="33" spans="2:3" x14ac:dyDescent="0.3">
      <c r="B33" s="25" t="s">
        <v>25</v>
      </c>
      <c r="C33" s="36">
        <f>((D29)-(D25*D27))/SQRT(((D26)-(D25^2))*(D28-(D27^2)))</f>
        <v>0.98327009496767692</v>
      </c>
    </row>
    <row r="34" spans="2:3" x14ac:dyDescent="0.3">
      <c r="B34" s="25" t="s">
        <v>26</v>
      </c>
      <c r="C34" s="57">
        <f>C33^2</f>
        <v>0.96682007965774441</v>
      </c>
    </row>
    <row r="35" spans="2:3" x14ac:dyDescent="0.3">
      <c r="B35" s="25" t="s">
        <v>9</v>
      </c>
      <c r="C35" s="36">
        <f>SQRT(J18/(C22-2))</f>
        <v>0.9480489231681628</v>
      </c>
    </row>
    <row r="36" spans="2:3" x14ac:dyDescent="0.3">
      <c r="B36" s="49" t="s">
        <v>47</v>
      </c>
      <c r="C36" s="37">
        <f>EXP(C32)</f>
        <v>9.3275148115776076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N38"/>
  <sheetViews>
    <sheetView topLeftCell="A4" workbookViewId="0">
      <selection activeCell="F28" sqref="F28"/>
    </sheetView>
  </sheetViews>
  <sheetFormatPr baseColWidth="10" defaultRowHeight="14.4" x14ac:dyDescent="0.3"/>
  <sheetData>
    <row r="2" spans="2:14" ht="28.8" x14ac:dyDescent="0.3">
      <c r="B2" s="2" t="s">
        <v>27</v>
      </c>
      <c r="C2" s="3" t="s">
        <v>28</v>
      </c>
      <c r="D2" s="88" t="s">
        <v>64</v>
      </c>
      <c r="E2" s="88" t="s">
        <v>29</v>
      </c>
      <c r="F2" s="88" t="s">
        <v>65</v>
      </c>
      <c r="G2" s="88" t="s">
        <v>66</v>
      </c>
      <c r="H2" s="89" t="s">
        <v>67</v>
      </c>
      <c r="I2" s="30" t="s">
        <v>33</v>
      </c>
      <c r="K2" s="54" t="s">
        <v>68</v>
      </c>
      <c r="L2" s="58" t="s">
        <v>69</v>
      </c>
      <c r="M2" s="58" t="s">
        <v>70</v>
      </c>
      <c r="N2" s="59"/>
    </row>
    <row r="3" spans="2:14" x14ac:dyDescent="0.3">
      <c r="B3" s="8">
        <f>Pronosticos!J3</f>
        <v>1</v>
      </c>
      <c r="C3" s="10">
        <f>Pronosticos!K3</f>
        <v>10</v>
      </c>
      <c r="D3" s="5">
        <f>B3*C3</f>
        <v>10</v>
      </c>
      <c r="E3" s="7">
        <f>B3^2</f>
        <v>1</v>
      </c>
      <c r="F3" s="7">
        <f>(B3^2)*C3</f>
        <v>10</v>
      </c>
      <c r="G3" s="7">
        <f>B3^3</f>
        <v>1</v>
      </c>
      <c r="H3" s="6">
        <f>B3^4</f>
        <v>1</v>
      </c>
      <c r="I3" s="9">
        <f>IF(B3&gt;0,($C$34*(E3))+($C$33*B3)+$C$32,0)</f>
        <v>9.7142857142856656</v>
      </c>
      <c r="K3" s="60" t="s">
        <v>71</v>
      </c>
      <c r="L3" s="61" t="s">
        <v>52</v>
      </c>
      <c r="M3" s="61" t="s">
        <v>72</v>
      </c>
      <c r="N3" s="62" t="s">
        <v>73</v>
      </c>
    </row>
    <row r="4" spans="2:14" x14ac:dyDescent="0.3">
      <c r="B4" s="8">
        <f>Pronosticos!J4</f>
        <v>2</v>
      </c>
      <c r="C4" s="10">
        <f>Pronosticos!K4</f>
        <v>12</v>
      </c>
      <c r="D4" s="8">
        <f t="shared" ref="D4:D17" si="0">B4*C4</f>
        <v>24</v>
      </c>
      <c r="E4" s="10">
        <f t="shared" ref="E4:E17" si="1">B4^2</f>
        <v>4</v>
      </c>
      <c r="F4" s="10">
        <f t="shared" ref="F4:F17" si="2">(B4^2)*C4</f>
        <v>48</v>
      </c>
      <c r="G4" s="10">
        <f t="shared" ref="G4:G17" si="3">B4^3</f>
        <v>8</v>
      </c>
      <c r="H4" s="9">
        <f t="shared" ref="H4:H17" si="4">B4^4</f>
        <v>16</v>
      </c>
      <c r="I4" s="9">
        <f t="shared" ref="I4:I17" si="5">IF(B4&gt;0,($C$34*(E4))+($C$33*B4)+$C$32,0)</f>
        <v>12.428571428571274</v>
      </c>
      <c r="K4" s="5">
        <f>IF(C3&gt;0,(C3-$N$4)^2,0)</f>
        <v>42.25</v>
      </c>
      <c r="L4" s="7">
        <f>IF(C3&gt;0,(C3-I3)^2,0)</f>
        <v>8.1632653061252336E-2</v>
      </c>
      <c r="M4" s="6">
        <f>IF(I3&gt;0,(I3-$N$4)^2,0)</f>
        <v>46.045918367347603</v>
      </c>
      <c r="N4" s="63">
        <f>SUM(C3:C17)/G22</f>
        <v>16.5</v>
      </c>
    </row>
    <row r="5" spans="2:14" x14ac:dyDescent="0.3">
      <c r="B5" s="8">
        <f>Pronosticos!J5</f>
        <v>3</v>
      </c>
      <c r="C5" s="10">
        <f>Pronosticos!K5</f>
        <v>15</v>
      </c>
      <c r="D5" s="8">
        <f t="shared" si="0"/>
        <v>45</v>
      </c>
      <c r="E5" s="10">
        <f t="shared" si="1"/>
        <v>9</v>
      </c>
      <c r="F5" s="10">
        <f t="shared" si="2"/>
        <v>135</v>
      </c>
      <c r="G5" s="10">
        <f t="shared" si="3"/>
        <v>27</v>
      </c>
      <c r="H5" s="9">
        <f t="shared" si="4"/>
        <v>81</v>
      </c>
      <c r="I5" s="9">
        <f t="shared" si="5"/>
        <v>15.142857142856883</v>
      </c>
      <c r="K5" s="8">
        <f t="shared" ref="K5:K17" si="6">IF(C4&gt;0,(C4-$N$4)^2,0)</f>
        <v>20.25</v>
      </c>
      <c r="L5" s="10">
        <f t="shared" ref="L5:L17" si="7">IF(C4&gt;0,(C4-I4)^2,0)</f>
        <v>0.18367346938762286</v>
      </c>
      <c r="M5" s="9">
        <f t="shared" ref="M5:M17" si="8">IF(I4&gt;0,(I4-$N$4)^2,0)</f>
        <v>16.576530612246156</v>
      </c>
      <c r="N5" s="47"/>
    </row>
    <row r="6" spans="2:14" x14ac:dyDescent="0.3">
      <c r="B6" s="8">
        <f>Pronosticos!J6</f>
        <v>4</v>
      </c>
      <c r="C6" s="10">
        <f>Pronosticos!K6</f>
        <v>18</v>
      </c>
      <c r="D6" s="8">
        <f t="shared" si="0"/>
        <v>72</v>
      </c>
      <c r="E6" s="10">
        <f t="shared" si="1"/>
        <v>16</v>
      </c>
      <c r="F6" s="10">
        <f t="shared" si="2"/>
        <v>288</v>
      </c>
      <c r="G6" s="10">
        <f t="shared" si="3"/>
        <v>64</v>
      </c>
      <c r="H6" s="9">
        <f t="shared" si="4"/>
        <v>256</v>
      </c>
      <c r="I6" s="9">
        <f t="shared" si="5"/>
        <v>17.857142857142492</v>
      </c>
      <c r="K6" s="8">
        <f t="shared" si="6"/>
        <v>2.25</v>
      </c>
      <c r="L6" s="10">
        <f t="shared" si="7"/>
        <v>2.0408163265231878E-2</v>
      </c>
      <c r="M6" s="9">
        <f t="shared" si="8"/>
        <v>1.841836734694583</v>
      </c>
      <c r="N6" s="47"/>
    </row>
    <row r="7" spans="2:14" x14ac:dyDescent="0.3">
      <c r="B7" s="8">
        <f>Pronosticos!J7</f>
        <v>5</v>
      </c>
      <c r="C7" s="10">
        <f>Pronosticos!K7</f>
        <v>21</v>
      </c>
      <c r="D7" s="8">
        <f t="shared" si="0"/>
        <v>105</v>
      </c>
      <c r="E7" s="10">
        <f t="shared" si="1"/>
        <v>25</v>
      </c>
      <c r="F7" s="10">
        <f t="shared" si="2"/>
        <v>525</v>
      </c>
      <c r="G7" s="10">
        <f t="shared" si="3"/>
        <v>125</v>
      </c>
      <c r="H7" s="9">
        <f t="shared" si="4"/>
        <v>625</v>
      </c>
      <c r="I7" s="9">
        <f t="shared" si="5"/>
        <v>20.5714285714281</v>
      </c>
      <c r="K7" s="8">
        <f t="shared" si="6"/>
        <v>2.25</v>
      </c>
      <c r="L7" s="10">
        <f t="shared" si="7"/>
        <v>2.040816326541053E-2</v>
      </c>
      <c r="M7" s="9">
        <f t="shared" si="8"/>
        <v>1.8418367346928857</v>
      </c>
      <c r="N7" s="47"/>
    </row>
    <row r="8" spans="2:14" x14ac:dyDescent="0.3">
      <c r="B8" s="8">
        <f>Pronosticos!J8</f>
        <v>6</v>
      </c>
      <c r="C8" s="10">
        <f>Pronosticos!K8</f>
        <v>23</v>
      </c>
      <c r="D8" s="8">
        <f t="shared" si="0"/>
        <v>138</v>
      </c>
      <c r="E8" s="10">
        <f t="shared" si="1"/>
        <v>36</v>
      </c>
      <c r="F8" s="10">
        <f t="shared" si="2"/>
        <v>828</v>
      </c>
      <c r="G8" s="10">
        <f t="shared" si="3"/>
        <v>216</v>
      </c>
      <c r="H8" s="9">
        <f t="shared" si="4"/>
        <v>1296</v>
      </c>
      <c r="I8" s="9">
        <f t="shared" si="5"/>
        <v>23.285714285713709</v>
      </c>
      <c r="K8" s="8">
        <f t="shared" si="6"/>
        <v>20.25</v>
      </c>
      <c r="L8" s="10">
        <f t="shared" si="7"/>
        <v>0.18367346938815882</v>
      </c>
      <c r="M8" s="9">
        <f t="shared" si="8"/>
        <v>16.576530612241061</v>
      </c>
      <c r="N8" s="47"/>
    </row>
    <row r="9" spans="2:14" x14ac:dyDescent="0.3">
      <c r="B9" s="8">
        <f>Pronosticos!J9</f>
        <v>0</v>
      </c>
      <c r="C9" s="10">
        <f>Pronosticos!K9</f>
        <v>0</v>
      </c>
      <c r="D9" s="8">
        <f t="shared" si="0"/>
        <v>0</v>
      </c>
      <c r="E9" s="10">
        <f t="shared" si="1"/>
        <v>0</v>
      </c>
      <c r="F9" s="10">
        <f t="shared" si="2"/>
        <v>0</v>
      </c>
      <c r="G9" s="10">
        <f t="shared" si="3"/>
        <v>0</v>
      </c>
      <c r="H9" s="9">
        <f t="shared" si="4"/>
        <v>0</v>
      </c>
      <c r="I9" s="9">
        <f t="shared" si="5"/>
        <v>0</v>
      </c>
      <c r="K9" s="8">
        <f t="shared" si="6"/>
        <v>42.25</v>
      </c>
      <c r="L9" s="10">
        <f t="shared" si="7"/>
        <v>8.1632653060895025E-2</v>
      </c>
      <c r="M9" s="9">
        <f t="shared" si="8"/>
        <v>46.045918367339112</v>
      </c>
      <c r="N9" s="47"/>
    </row>
    <row r="10" spans="2:14" x14ac:dyDescent="0.3">
      <c r="B10" s="8">
        <f>Pronosticos!J10</f>
        <v>0</v>
      </c>
      <c r="C10" s="10">
        <f>Pronosticos!K10</f>
        <v>0</v>
      </c>
      <c r="D10" s="8">
        <f t="shared" si="0"/>
        <v>0</v>
      </c>
      <c r="E10" s="10">
        <f t="shared" si="1"/>
        <v>0</v>
      </c>
      <c r="F10" s="10">
        <f t="shared" si="2"/>
        <v>0</v>
      </c>
      <c r="G10" s="10">
        <f t="shared" si="3"/>
        <v>0</v>
      </c>
      <c r="H10" s="9">
        <f t="shared" si="4"/>
        <v>0</v>
      </c>
      <c r="I10" s="9">
        <f t="shared" si="5"/>
        <v>0</v>
      </c>
      <c r="K10" s="8">
        <f t="shared" si="6"/>
        <v>0</v>
      </c>
      <c r="L10" s="10">
        <f t="shared" si="7"/>
        <v>0</v>
      </c>
      <c r="M10" s="9">
        <f t="shared" si="8"/>
        <v>0</v>
      </c>
      <c r="N10" s="47"/>
    </row>
    <row r="11" spans="2:14" x14ac:dyDescent="0.3">
      <c r="B11" s="8">
        <f>Pronosticos!J11</f>
        <v>0</v>
      </c>
      <c r="C11" s="10">
        <f>Pronosticos!K11</f>
        <v>0</v>
      </c>
      <c r="D11" s="8">
        <f t="shared" si="0"/>
        <v>0</v>
      </c>
      <c r="E11" s="10">
        <f t="shared" si="1"/>
        <v>0</v>
      </c>
      <c r="F11" s="10">
        <f t="shared" si="2"/>
        <v>0</v>
      </c>
      <c r="G11" s="10">
        <f t="shared" si="3"/>
        <v>0</v>
      </c>
      <c r="H11" s="9">
        <f t="shared" si="4"/>
        <v>0</v>
      </c>
      <c r="I11" s="9">
        <f t="shared" si="5"/>
        <v>0</v>
      </c>
      <c r="K11" s="8">
        <f t="shared" si="6"/>
        <v>0</v>
      </c>
      <c r="L11" s="10">
        <f t="shared" si="7"/>
        <v>0</v>
      </c>
      <c r="M11" s="9">
        <f t="shared" si="8"/>
        <v>0</v>
      </c>
      <c r="N11" s="47"/>
    </row>
    <row r="12" spans="2:14" x14ac:dyDescent="0.3">
      <c r="B12" s="8">
        <f>Pronosticos!J12</f>
        <v>0</v>
      </c>
      <c r="C12" s="10">
        <f>Pronosticos!K12</f>
        <v>0</v>
      </c>
      <c r="D12" s="8">
        <f t="shared" si="0"/>
        <v>0</v>
      </c>
      <c r="E12" s="10">
        <f t="shared" si="1"/>
        <v>0</v>
      </c>
      <c r="F12" s="10">
        <f t="shared" si="2"/>
        <v>0</v>
      </c>
      <c r="G12" s="10">
        <f t="shared" si="3"/>
        <v>0</v>
      </c>
      <c r="H12" s="9">
        <f t="shared" si="4"/>
        <v>0</v>
      </c>
      <c r="I12" s="9">
        <f t="shared" si="5"/>
        <v>0</v>
      </c>
      <c r="K12" s="8">
        <f t="shared" si="6"/>
        <v>0</v>
      </c>
      <c r="L12" s="10">
        <f t="shared" si="7"/>
        <v>0</v>
      </c>
      <c r="M12" s="9">
        <f t="shared" si="8"/>
        <v>0</v>
      </c>
      <c r="N12" s="47"/>
    </row>
    <row r="13" spans="2:14" x14ac:dyDescent="0.3">
      <c r="B13" s="8">
        <f>Pronosticos!J13</f>
        <v>0</v>
      </c>
      <c r="C13" s="10">
        <f>Pronosticos!K13</f>
        <v>0</v>
      </c>
      <c r="D13" s="8">
        <f t="shared" si="0"/>
        <v>0</v>
      </c>
      <c r="E13" s="10">
        <f t="shared" si="1"/>
        <v>0</v>
      </c>
      <c r="F13" s="10">
        <f t="shared" si="2"/>
        <v>0</v>
      </c>
      <c r="G13" s="10">
        <f t="shared" si="3"/>
        <v>0</v>
      </c>
      <c r="H13" s="9">
        <f t="shared" si="4"/>
        <v>0</v>
      </c>
      <c r="I13" s="9">
        <f t="shared" si="5"/>
        <v>0</v>
      </c>
      <c r="K13" s="8">
        <f t="shared" si="6"/>
        <v>0</v>
      </c>
      <c r="L13" s="10">
        <f t="shared" si="7"/>
        <v>0</v>
      </c>
      <c r="M13" s="9">
        <f t="shared" si="8"/>
        <v>0</v>
      </c>
      <c r="N13" s="47"/>
    </row>
    <row r="14" spans="2:14" x14ac:dyDescent="0.3">
      <c r="B14" s="8">
        <f>Pronosticos!J14</f>
        <v>0</v>
      </c>
      <c r="C14" s="10">
        <f>Pronosticos!K14</f>
        <v>0</v>
      </c>
      <c r="D14" s="8">
        <f t="shared" si="0"/>
        <v>0</v>
      </c>
      <c r="E14" s="10">
        <f t="shared" si="1"/>
        <v>0</v>
      </c>
      <c r="F14" s="10">
        <f t="shared" si="2"/>
        <v>0</v>
      </c>
      <c r="G14" s="10">
        <f t="shared" si="3"/>
        <v>0</v>
      </c>
      <c r="H14" s="9">
        <f t="shared" si="4"/>
        <v>0</v>
      </c>
      <c r="I14" s="9">
        <f t="shared" si="5"/>
        <v>0</v>
      </c>
      <c r="K14" s="8">
        <f t="shared" si="6"/>
        <v>0</v>
      </c>
      <c r="L14" s="10">
        <f t="shared" si="7"/>
        <v>0</v>
      </c>
      <c r="M14" s="9">
        <f t="shared" si="8"/>
        <v>0</v>
      </c>
      <c r="N14" s="47"/>
    </row>
    <row r="15" spans="2:14" x14ac:dyDescent="0.3">
      <c r="B15" s="8">
        <f>Pronosticos!J15</f>
        <v>0</v>
      </c>
      <c r="C15" s="10">
        <f>Pronosticos!K15</f>
        <v>0</v>
      </c>
      <c r="D15" s="8">
        <f t="shared" si="0"/>
        <v>0</v>
      </c>
      <c r="E15" s="10">
        <f t="shared" si="1"/>
        <v>0</v>
      </c>
      <c r="F15" s="10">
        <f t="shared" si="2"/>
        <v>0</v>
      </c>
      <c r="G15" s="10">
        <f t="shared" si="3"/>
        <v>0</v>
      </c>
      <c r="H15" s="9">
        <f t="shared" si="4"/>
        <v>0</v>
      </c>
      <c r="I15" s="9">
        <f t="shared" si="5"/>
        <v>0</v>
      </c>
      <c r="K15" s="8">
        <f t="shared" si="6"/>
        <v>0</v>
      </c>
      <c r="L15" s="10">
        <f t="shared" si="7"/>
        <v>0</v>
      </c>
      <c r="M15" s="9">
        <f t="shared" si="8"/>
        <v>0</v>
      </c>
      <c r="N15" s="47"/>
    </row>
    <row r="16" spans="2:14" x14ac:dyDescent="0.3">
      <c r="B16" s="8">
        <f>Pronosticos!J16</f>
        <v>0</v>
      </c>
      <c r="C16" s="10">
        <f>Pronosticos!K16</f>
        <v>0</v>
      </c>
      <c r="D16" s="8">
        <f t="shared" si="0"/>
        <v>0</v>
      </c>
      <c r="E16" s="10">
        <f t="shared" si="1"/>
        <v>0</v>
      </c>
      <c r="F16" s="10">
        <f t="shared" si="2"/>
        <v>0</v>
      </c>
      <c r="G16" s="10">
        <f t="shared" si="3"/>
        <v>0</v>
      </c>
      <c r="H16" s="9">
        <f t="shared" si="4"/>
        <v>0</v>
      </c>
      <c r="I16" s="9">
        <f t="shared" si="5"/>
        <v>0</v>
      </c>
      <c r="K16" s="8">
        <f t="shared" si="6"/>
        <v>0</v>
      </c>
      <c r="L16" s="10">
        <f t="shared" si="7"/>
        <v>0</v>
      </c>
      <c r="M16" s="9">
        <f t="shared" si="8"/>
        <v>0</v>
      </c>
      <c r="N16" s="47"/>
    </row>
    <row r="17" spans="2:14" x14ac:dyDescent="0.3">
      <c r="B17" s="8">
        <f>Pronosticos!J17</f>
        <v>0</v>
      </c>
      <c r="C17" s="10">
        <f>Pronosticos!K17</f>
        <v>0</v>
      </c>
      <c r="D17" s="11">
        <f t="shared" si="0"/>
        <v>0</v>
      </c>
      <c r="E17" s="13">
        <f t="shared" si="1"/>
        <v>0</v>
      </c>
      <c r="F17" s="13">
        <f t="shared" si="2"/>
        <v>0</v>
      </c>
      <c r="G17" s="13">
        <f t="shared" si="3"/>
        <v>0</v>
      </c>
      <c r="H17" s="12">
        <f t="shared" si="4"/>
        <v>0</v>
      </c>
      <c r="I17" s="9">
        <f t="shared" si="5"/>
        <v>0</v>
      </c>
      <c r="K17" s="11">
        <f t="shared" si="6"/>
        <v>0</v>
      </c>
      <c r="L17" s="13">
        <f t="shared" si="7"/>
        <v>0</v>
      </c>
      <c r="M17" s="12">
        <f t="shared" si="8"/>
        <v>0</v>
      </c>
      <c r="N17" s="64"/>
    </row>
    <row r="18" spans="2:14" x14ac:dyDescent="0.3">
      <c r="B18" s="14">
        <f>SUM(B3:B17)</f>
        <v>21</v>
      </c>
      <c r="C18" s="16">
        <f t="shared" ref="C18:I18" si="9">SUM(C3:C17)</f>
        <v>99</v>
      </c>
      <c r="D18" s="11">
        <f t="shared" si="9"/>
        <v>394</v>
      </c>
      <c r="E18" s="13">
        <f t="shared" si="9"/>
        <v>91</v>
      </c>
      <c r="F18" s="13">
        <f t="shared" si="9"/>
        <v>1834</v>
      </c>
      <c r="G18" s="13">
        <f t="shared" si="9"/>
        <v>441</v>
      </c>
      <c r="H18" s="12">
        <f t="shared" si="9"/>
        <v>2275</v>
      </c>
      <c r="I18" s="16">
        <f t="shared" si="9"/>
        <v>98.999999999998124</v>
      </c>
      <c r="K18" s="11">
        <f>SUM(K4:K17)</f>
        <v>129.5</v>
      </c>
      <c r="L18" s="13">
        <f t="shared" ref="L18:M18" si="10">SUM(L4:L17)</f>
        <v>0.5714285714285714</v>
      </c>
      <c r="M18" s="12">
        <f t="shared" si="10"/>
        <v>128.92857142856138</v>
      </c>
      <c r="N18" s="65"/>
    </row>
    <row r="21" spans="2:14" x14ac:dyDescent="0.3">
      <c r="B21" s="17" t="s">
        <v>74</v>
      </c>
      <c r="C21" s="17" t="s">
        <v>24</v>
      </c>
      <c r="D21" s="17" t="s">
        <v>23</v>
      </c>
      <c r="E21" s="66" t="s">
        <v>35</v>
      </c>
      <c r="G21" s="66" t="s">
        <v>8</v>
      </c>
    </row>
    <row r="22" spans="2:14" x14ac:dyDescent="0.3">
      <c r="B22" s="33">
        <f>COUNTIF(B3:B17,"&gt;0")</f>
        <v>6</v>
      </c>
      <c r="C22" s="33">
        <f>B18</f>
        <v>21</v>
      </c>
      <c r="D22" s="33">
        <f>E18</f>
        <v>91</v>
      </c>
      <c r="E22" s="33">
        <f>C18</f>
        <v>99</v>
      </c>
      <c r="G22" s="33">
        <f>COUNTIF(B3:B17,"&gt;0")</f>
        <v>6</v>
      </c>
      <c r="K22" s="1"/>
      <c r="L22" s="1"/>
    </row>
    <row r="23" spans="2:14" x14ac:dyDescent="0.3">
      <c r="B23" s="33">
        <f>B18</f>
        <v>21</v>
      </c>
      <c r="C23" s="33">
        <f>E18</f>
        <v>91</v>
      </c>
      <c r="D23" s="33">
        <f>G18</f>
        <v>441</v>
      </c>
      <c r="E23" s="33">
        <f>D18</f>
        <v>394</v>
      </c>
      <c r="K23" s="1"/>
      <c r="L23" s="1"/>
    </row>
    <row r="24" spans="2:14" x14ac:dyDescent="0.3">
      <c r="B24" s="33">
        <f>E18</f>
        <v>91</v>
      </c>
      <c r="C24" s="33">
        <f>G18</f>
        <v>441</v>
      </c>
      <c r="D24" s="33">
        <f>H18</f>
        <v>2275</v>
      </c>
      <c r="E24" s="33">
        <f>F18</f>
        <v>1834</v>
      </c>
      <c r="K24" s="1"/>
      <c r="L24" s="1"/>
    </row>
    <row r="25" spans="2:14" x14ac:dyDescent="0.3">
      <c r="K25" s="1"/>
      <c r="L25" s="1"/>
    </row>
    <row r="26" spans="2:14" x14ac:dyDescent="0.3">
      <c r="B26" s="348" t="s">
        <v>75</v>
      </c>
      <c r="C26" s="348"/>
      <c r="D26" s="348"/>
      <c r="K26" s="1"/>
      <c r="L26" s="1"/>
    </row>
    <row r="27" spans="2:14" x14ac:dyDescent="0.3">
      <c r="B27" s="349"/>
      <c r="C27" s="349"/>
      <c r="D27" s="349"/>
      <c r="G27" s="55"/>
      <c r="K27" s="1"/>
      <c r="L27" s="1"/>
    </row>
    <row r="28" spans="2:14" x14ac:dyDescent="0.3">
      <c r="B28" s="67">
        <f t="array" ref="B28:D30">MINVERSE(B22:D24)</f>
        <v>3.2000000000000179</v>
      </c>
      <c r="C28" s="67">
        <v>-1.9500000000000131</v>
      </c>
      <c r="D28" s="67">
        <v>0.25000000000000189</v>
      </c>
      <c r="G28" s="55"/>
      <c r="K28" s="1"/>
      <c r="L28" s="1"/>
    </row>
    <row r="29" spans="2:14" x14ac:dyDescent="0.3">
      <c r="B29" s="67">
        <v>-1.9500000000000131</v>
      </c>
      <c r="C29" s="67">
        <v>1.3696428571428663</v>
      </c>
      <c r="D29" s="67">
        <v>-0.18750000000000128</v>
      </c>
    </row>
    <row r="30" spans="2:14" x14ac:dyDescent="0.3">
      <c r="B30" s="67">
        <v>0.25000000000000178</v>
      </c>
      <c r="C30" s="67">
        <v>-0.18750000000000125</v>
      </c>
      <c r="D30" s="67">
        <v>2.6785714285714461E-2</v>
      </c>
    </row>
    <row r="31" spans="2:14" x14ac:dyDescent="0.3">
      <c r="B31" s="350" t="s">
        <v>76</v>
      </c>
      <c r="C31" s="351"/>
    </row>
    <row r="32" spans="2:14" x14ac:dyDescent="0.3">
      <c r="B32" s="68" t="s">
        <v>74</v>
      </c>
      <c r="C32" s="23">
        <f t="array" ref="C32:C34">MMULT(B28:D30,E22:E24)</f>
        <v>7.0000000000000568</v>
      </c>
    </row>
    <row r="33" spans="2:3" x14ac:dyDescent="0.3">
      <c r="B33" s="69" t="s">
        <v>24</v>
      </c>
      <c r="C33" s="26">
        <v>2.7142857142856087</v>
      </c>
    </row>
    <row r="34" spans="2:3" x14ac:dyDescent="0.3">
      <c r="B34" s="70" t="s">
        <v>23</v>
      </c>
      <c r="C34" s="29">
        <v>0</v>
      </c>
    </row>
    <row r="36" spans="2:3" x14ac:dyDescent="0.3">
      <c r="B36" s="30" t="s">
        <v>25</v>
      </c>
      <c r="C36" s="35">
        <f>SQRT(M18/K18)</f>
        <v>0.99779127284155733</v>
      </c>
    </row>
    <row r="37" spans="2:3" x14ac:dyDescent="0.3">
      <c r="B37" s="27" t="s">
        <v>26</v>
      </c>
      <c r="C37" s="71">
        <f>C36^2</f>
        <v>0.9955874241587751</v>
      </c>
    </row>
    <row r="38" spans="2:3" x14ac:dyDescent="0.3">
      <c r="B38" s="28" t="s">
        <v>9</v>
      </c>
      <c r="C38" s="37">
        <f>SQRT(L18/(G22-2))</f>
        <v>0.3779644730092272</v>
      </c>
    </row>
  </sheetData>
  <mergeCells count="2">
    <mergeCell ref="B26:D27"/>
    <mergeCell ref="B31:C3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Q32"/>
  <sheetViews>
    <sheetView workbookViewId="0">
      <selection activeCell="C24" sqref="C24:L24"/>
    </sheetView>
  </sheetViews>
  <sheetFormatPr baseColWidth="10" defaultRowHeight="14.4" x14ac:dyDescent="0.3"/>
  <cols>
    <col min="2" max="2" width="13.77734375" customWidth="1"/>
    <col min="3" max="3" width="13.5546875" bestFit="1" customWidth="1"/>
    <col min="4" max="4" width="14.5546875" customWidth="1"/>
    <col min="5" max="5" width="13.21875" customWidth="1"/>
    <col min="11" max="11" width="13.5546875" bestFit="1" customWidth="1"/>
    <col min="16" max="16" width="12.88671875" customWidth="1"/>
    <col min="17" max="17" width="14.44140625" customWidth="1"/>
  </cols>
  <sheetData>
    <row r="1" spans="1:17" x14ac:dyDescent="0.3">
      <c r="L1" s="91"/>
    </row>
    <row r="2" spans="1:17" ht="28.8" x14ac:dyDescent="0.3">
      <c r="B2" s="96" t="s">
        <v>77</v>
      </c>
      <c r="C2" s="97" t="s">
        <v>78</v>
      </c>
      <c r="D2" s="97" t="s">
        <v>79</v>
      </c>
      <c r="E2" s="97" t="s">
        <v>80</v>
      </c>
      <c r="F2" s="97" t="s">
        <v>82</v>
      </c>
      <c r="G2" s="98" t="s">
        <v>81</v>
      </c>
      <c r="I2" s="93" t="s">
        <v>54</v>
      </c>
      <c r="J2" s="94">
        <f>COUNTIF(J3:J17,"&gt;0")</f>
        <v>6</v>
      </c>
      <c r="K2" s="95">
        <f>SUM(K3:K17)</f>
        <v>99</v>
      </c>
      <c r="L2" s="92" t="s">
        <v>84</v>
      </c>
    </row>
    <row r="3" spans="1:17" x14ac:dyDescent="0.3">
      <c r="B3" s="74" t="s">
        <v>23</v>
      </c>
      <c r="C3" s="115">
        <f>MLineal!D31</f>
        <v>2.7142857142857144</v>
      </c>
      <c r="D3" s="116">
        <f>MPolinimial!C34</f>
        <v>0</v>
      </c>
      <c r="E3" s="117">
        <f>MExponencial!D32</f>
        <v>2.1584169390445931</v>
      </c>
      <c r="F3" s="117">
        <f>MPontencial!C32</f>
        <v>2.2329686140591258</v>
      </c>
      <c r="G3" s="118">
        <f>MLogaritmica!C33</f>
        <v>8.4082148599356081</v>
      </c>
      <c r="I3" s="23"/>
      <c r="J3" s="23">
        <v>1</v>
      </c>
      <c r="K3" s="84">
        <v>10</v>
      </c>
      <c r="L3" s="33">
        <f>J2+1</f>
        <v>7</v>
      </c>
      <c r="N3" s="103" t="s">
        <v>94</v>
      </c>
      <c r="O3" s="4" t="s">
        <v>92</v>
      </c>
      <c r="P3" s="4" t="s">
        <v>95</v>
      </c>
      <c r="Q3" s="104" t="s">
        <v>93</v>
      </c>
    </row>
    <row r="4" spans="1:17" x14ac:dyDescent="0.3">
      <c r="B4" s="75" t="s">
        <v>24</v>
      </c>
      <c r="C4" s="119">
        <f>MLineal!D32</f>
        <v>7</v>
      </c>
      <c r="D4" s="120">
        <f>MPolinimial!C33</f>
        <v>2.7142857142856087</v>
      </c>
      <c r="E4" s="120">
        <f>MExponencial!D31</f>
        <v>0.17216327243644933</v>
      </c>
      <c r="F4" s="120">
        <f>MPontencial!C31</f>
        <v>0.48153179883069258</v>
      </c>
      <c r="G4" s="121">
        <f>MLogaritmica!C32</f>
        <v>7.3793672373779264</v>
      </c>
      <c r="I4" s="26"/>
      <c r="J4" s="26">
        <v>2</v>
      </c>
      <c r="K4" s="85">
        <v>12</v>
      </c>
      <c r="N4" s="30" t="s">
        <v>78</v>
      </c>
      <c r="O4" s="8">
        <f>C10</f>
        <v>26</v>
      </c>
      <c r="P4" s="10">
        <f>O4-(E17*(C9/SQRT(J2)))</f>
        <v>25.74539947256255</v>
      </c>
      <c r="Q4" s="9">
        <f>C10+(E17*(C9/SQRT(J2)))</f>
        <v>26.25460052743745</v>
      </c>
    </row>
    <row r="5" spans="1:17" x14ac:dyDescent="0.3">
      <c r="A5" s="142"/>
      <c r="B5" s="75" t="s">
        <v>74</v>
      </c>
      <c r="C5" s="119"/>
      <c r="D5" s="120">
        <f>MPolinimial!C32</f>
        <v>7.0000000000000568</v>
      </c>
      <c r="E5" s="120"/>
      <c r="F5" s="120"/>
      <c r="G5" s="121"/>
      <c r="I5" s="26"/>
      <c r="J5" s="26">
        <v>3</v>
      </c>
      <c r="K5" s="85">
        <v>15</v>
      </c>
      <c r="N5" s="27" t="s">
        <v>79</v>
      </c>
      <c r="O5" s="123">
        <f>D10</f>
        <v>25.999999999999318</v>
      </c>
      <c r="P5" s="10">
        <f>D10-(E17*(D9/SQRT(J2)))</f>
        <v>25.745399472561868</v>
      </c>
      <c r="Q5" s="9">
        <f>D10+(E17*(D9/SQRT(J2)))</f>
        <v>26.254600527436768</v>
      </c>
    </row>
    <row r="6" spans="1:17" x14ac:dyDescent="0.3">
      <c r="A6" s="144" t="s">
        <v>89</v>
      </c>
      <c r="B6" s="24" t="s">
        <v>47</v>
      </c>
      <c r="C6" s="14"/>
      <c r="D6" s="15"/>
      <c r="E6" s="15">
        <f>MExponencial!D34</f>
        <v>8.6570515490211104</v>
      </c>
      <c r="F6" s="15">
        <f>MPontencial!C36</f>
        <v>9.3275148115776076</v>
      </c>
      <c r="G6" s="16"/>
      <c r="I6" s="26"/>
      <c r="J6" s="26">
        <v>4</v>
      </c>
      <c r="K6" s="85">
        <v>18</v>
      </c>
      <c r="N6" s="27" t="s">
        <v>96</v>
      </c>
      <c r="O6" s="8">
        <f>E10</f>
        <v>28.890623724457274</v>
      </c>
      <c r="P6" s="10">
        <f>E10-(E17*(E9/SQRT(J2)))</f>
        <v>28.31010370091056</v>
      </c>
      <c r="Q6" s="9">
        <f>E10+(E17*(E9/SQRT(J2)))</f>
        <v>29.471143748003989</v>
      </c>
    </row>
    <row r="7" spans="1:17" x14ac:dyDescent="0.3">
      <c r="A7" s="144" t="s">
        <v>91</v>
      </c>
      <c r="B7" s="75" t="s">
        <v>25</v>
      </c>
      <c r="C7" s="105">
        <f>MLineal!D34</f>
        <v>0.9977912728415963</v>
      </c>
      <c r="D7" s="106">
        <f>MPolinimial!C36</f>
        <v>0.99779127284155733</v>
      </c>
      <c r="E7" s="106">
        <f>MExponencial!H22</f>
        <v>0.99252727866208501</v>
      </c>
      <c r="F7" s="106">
        <f>MPontencial!C33</f>
        <v>0.98327009496767692</v>
      </c>
      <c r="G7" s="107">
        <f>MLogaritmica!C34</f>
        <v>0.96083580865530593</v>
      </c>
      <c r="I7" s="26"/>
      <c r="J7" s="26">
        <v>5</v>
      </c>
      <c r="K7" s="85">
        <v>21</v>
      </c>
      <c r="N7" s="27" t="s">
        <v>97</v>
      </c>
      <c r="O7" s="8">
        <f>F10</f>
        <v>23.807156493835254</v>
      </c>
      <c r="P7" s="10">
        <f>F10-(E17*(F9/SQRT(J2)))</f>
        <v>23.168541562772067</v>
      </c>
      <c r="Q7" s="9">
        <f>F10+(E17*(F9/SQRT(J2)))</f>
        <v>24.445771424898442</v>
      </c>
    </row>
    <row r="8" spans="1:17" x14ac:dyDescent="0.3">
      <c r="A8" s="144" t="s">
        <v>90</v>
      </c>
      <c r="B8" s="75" t="s">
        <v>26</v>
      </c>
      <c r="C8" s="77">
        <f>MLineal!E35</f>
        <v>0.99558742415885282</v>
      </c>
      <c r="D8" s="78">
        <f>MPolinimial!C37</f>
        <v>0.9955874241587751</v>
      </c>
      <c r="E8" s="78">
        <f>MExponencial!H23</f>
        <v>0.98511039888836416</v>
      </c>
      <c r="F8" s="78">
        <f>MPontencial!C34</f>
        <v>0.96682007965774441</v>
      </c>
      <c r="G8" s="79">
        <f>MLogaritmica!C35</f>
        <v>0.92320545119429565</v>
      </c>
      <c r="I8" s="26"/>
      <c r="J8" s="26">
        <v>6</v>
      </c>
      <c r="K8" s="85">
        <v>23</v>
      </c>
      <c r="N8" s="28" t="s">
        <v>98</v>
      </c>
      <c r="O8" s="11">
        <f>G10</f>
        <v>22.767800460755584</v>
      </c>
      <c r="P8" s="13">
        <f>G10-(E17*(G9/SQRT(J2)))</f>
        <v>21.705668679334838</v>
      </c>
      <c r="Q8" s="12">
        <f>G10+(E17*(G9/SQRT(J2)))</f>
        <v>23.82993224217633</v>
      </c>
    </row>
    <row r="9" spans="1:17" x14ac:dyDescent="0.3">
      <c r="A9" s="142"/>
      <c r="B9" s="76" t="s">
        <v>9</v>
      </c>
      <c r="C9" s="11">
        <f>MLineal!H24</f>
        <v>0.37796447300922642</v>
      </c>
      <c r="D9" s="13">
        <f>MPolinimial!C38</f>
        <v>0.3779644730092272</v>
      </c>
      <c r="E9" s="13">
        <f>MExponencial!H24</f>
        <v>0.86180475342904617</v>
      </c>
      <c r="F9" s="13">
        <f>MPontencial!C35</f>
        <v>0.9480489231681628</v>
      </c>
      <c r="G9" s="12">
        <f>MLogaritmica!C36</f>
        <v>1.5767763054994772</v>
      </c>
      <c r="I9" s="26"/>
      <c r="J9" s="26"/>
      <c r="K9" s="85"/>
    </row>
    <row r="10" spans="1:17" x14ac:dyDescent="0.3">
      <c r="A10" s="143">
        <v>0.9</v>
      </c>
      <c r="B10" s="75" t="s">
        <v>33</v>
      </c>
      <c r="C10" s="99">
        <f>(C3*L3)+C4</f>
        <v>26</v>
      </c>
      <c r="D10" s="110">
        <f>(D3*(L3^2))+(D4*L3)+D5</f>
        <v>25.999999999999318</v>
      </c>
      <c r="E10" s="100">
        <f>(E6)*EXP(L3*E4)</f>
        <v>28.890623724457274</v>
      </c>
      <c r="F10" s="100">
        <f>(F6)*(L3^F4)</f>
        <v>23.807156493835254</v>
      </c>
      <c r="G10" s="101">
        <f>(G4*LN(L3))+G3</f>
        <v>22.767800460755584</v>
      </c>
      <c r="I10" s="26"/>
      <c r="J10" s="26"/>
      <c r="K10" s="85"/>
    </row>
    <row r="11" spans="1:17" x14ac:dyDescent="0.3">
      <c r="A11" s="143">
        <v>0.95</v>
      </c>
      <c r="B11" s="75" t="s">
        <v>26</v>
      </c>
      <c r="C11" s="102">
        <f>MAX(C8:G8)</f>
        <v>0.99558742415885282</v>
      </c>
      <c r="D11" s="63" t="str">
        <f>IF(C11=C8, "Lineal", IF(C11=D8,"Polinomial", IF(C11=E8,"Exponencial",IF(C11=F8,"Potencial",IF(C11=G8,"Logaritmico","")))))</f>
        <v>Lineal</v>
      </c>
      <c r="E11" s="70" t="s">
        <v>89</v>
      </c>
      <c r="F11" s="139" t="s">
        <v>83</v>
      </c>
      <c r="G11" s="140" t="s">
        <v>99</v>
      </c>
      <c r="I11" s="26"/>
      <c r="J11" s="26"/>
      <c r="K11" s="85"/>
    </row>
    <row r="12" spans="1:17" x14ac:dyDescent="0.3">
      <c r="A12" s="143">
        <v>0.99</v>
      </c>
      <c r="B12" s="75" t="s">
        <v>9</v>
      </c>
      <c r="C12" s="111">
        <f>MIN(C9:G9)</f>
        <v>0.37796447300922642</v>
      </c>
      <c r="D12" s="64" t="str">
        <f>IF(C12=C9, "Lineal", IF(C12=D9,"Polinomial", IF(C12=E9,"Exponencial",IF(C12=F9,"Potencial",IF(C12=G9,"Logaritmico","")))))</f>
        <v>Lineal</v>
      </c>
      <c r="E12" s="133">
        <f>IF(D15=C2,P4,IF(D15=D2,P5,IF(D15=E2,P6,IF(D15=F2,P7,IF(D15=G2,P8,0)))))</f>
        <v>25.745399472561868</v>
      </c>
      <c r="F12" s="135">
        <f>IF(D15=C2,O4,IF(D15=D2,O5,IF(D15=E2,O6,IF(D15=F2,O7,IF(D15=G2,O8,0)))))</f>
        <v>25.999999999999318</v>
      </c>
      <c r="G12" s="134">
        <f>IF(D15=C2,Q4,IF(D15=D2,Q5,IF(D15=E2,Q6,IF(D15=F2,Q7,IF(D15=G2,Q8,0)))))</f>
        <v>26.254600527436768</v>
      </c>
      <c r="I12" s="26"/>
      <c r="J12" s="26"/>
      <c r="K12" s="85"/>
    </row>
    <row r="13" spans="1:17" x14ac:dyDescent="0.3">
      <c r="I13" s="26"/>
      <c r="J13" s="26"/>
      <c r="K13" s="85"/>
    </row>
    <row r="14" spans="1:17" x14ac:dyDescent="0.3">
      <c r="I14" s="26"/>
      <c r="J14" s="26"/>
      <c r="K14" s="85"/>
    </row>
    <row r="15" spans="1:17" x14ac:dyDescent="0.3">
      <c r="C15" s="108" t="s">
        <v>85</v>
      </c>
      <c r="D15" s="23" t="s">
        <v>79</v>
      </c>
      <c r="I15" s="26"/>
      <c r="J15" s="26"/>
      <c r="K15" s="85"/>
    </row>
    <row r="16" spans="1:17" x14ac:dyDescent="0.3">
      <c r="B16" s="112" t="s">
        <v>100</v>
      </c>
      <c r="C16" s="108" t="s">
        <v>86</v>
      </c>
      <c r="D16" s="138" t="s">
        <v>89</v>
      </c>
      <c r="E16" s="141"/>
      <c r="I16" s="26"/>
      <c r="J16" s="26"/>
      <c r="K16" s="85"/>
    </row>
    <row r="17" spans="2:12" x14ac:dyDescent="0.3">
      <c r="C17" s="108" t="s">
        <v>87</v>
      </c>
      <c r="D17" s="122">
        <v>0.9</v>
      </c>
      <c r="E17" s="109">
        <f>IF(D17=90%,1.65,IF(D17=95%,1.96,2.58))</f>
        <v>1.65</v>
      </c>
      <c r="I17" s="29"/>
      <c r="J17" s="29"/>
      <c r="K17" s="86"/>
      <c r="L17" s="80"/>
    </row>
    <row r="18" spans="2:12" x14ac:dyDescent="0.3">
      <c r="C18" s="108" t="s">
        <v>88</v>
      </c>
      <c r="D18" s="312">
        <v>0</v>
      </c>
      <c r="I18" s="67"/>
      <c r="J18" s="33">
        <f>SUM(J3:J17)</f>
        <v>21</v>
      </c>
      <c r="K18" s="83">
        <f>SUM(K3:K17)</f>
        <v>99</v>
      </c>
    </row>
    <row r="19" spans="2:12" x14ac:dyDescent="0.3">
      <c r="C19" s="132" t="s">
        <v>9</v>
      </c>
      <c r="D19" s="67">
        <f>IF(D15=C2,C9,IF(D15=D2,D9,IF(D15=E2,E9,IF(D15=F2,F9,IF(D15=G2,G9,"")))))</f>
        <v>0.3779644730092272</v>
      </c>
    </row>
    <row r="21" spans="2:12" x14ac:dyDescent="0.3">
      <c r="K21" s="66" t="s">
        <v>35</v>
      </c>
      <c r="L21" s="146">
        <f>SUM(C24:L24)</f>
        <v>379.59685186847105</v>
      </c>
    </row>
    <row r="22" spans="2:12" x14ac:dyDescent="0.3">
      <c r="C22" s="124">
        <f>L3</f>
        <v>7</v>
      </c>
      <c r="D22" s="125">
        <f>C22+1</f>
        <v>8</v>
      </c>
      <c r="E22" s="125">
        <f t="shared" ref="E22:L22" si="0">D22+1</f>
        <v>9</v>
      </c>
      <c r="F22" s="125">
        <f t="shared" si="0"/>
        <v>10</v>
      </c>
      <c r="G22" s="125">
        <f t="shared" si="0"/>
        <v>11</v>
      </c>
      <c r="H22" s="125">
        <f t="shared" si="0"/>
        <v>12</v>
      </c>
      <c r="I22" s="125">
        <f t="shared" si="0"/>
        <v>13</v>
      </c>
      <c r="J22" s="125">
        <f t="shared" si="0"/>
        <v>14</v>
      </c>
      <c r="K22" s="125">
        <f t="shared" si="0"/>
        <v>15</v>
      </c>
      <c r="L22" s="126">
        <f t="shared" si="0"/>
        <v>16</v>
      </c>
    </row>
    <row r="23" spans="2:12" x14ac:dyDescent="0.3">
      <c r="B23" s="124" t="s">
        <v>83</v>
      </c>
      <c r="C23" s="129">
        <f>IF($D$15=$C$2,($C$3*C22)+$C$4,IF($D$15=$D$2,($D$3*(C22^2))+($D$4*C22)+$D$5,IF($D$15=$E$2,($E$6*(EXP(C22*$E$4))),IF($D$15=$F$2,($F$6*(C22^$F$4)),IF($D$15=$G$2,($G$4*(LN(C22)))+$G$3,0)))))</f>
        <v>25.999999999999318</v>
      </c>
      <c r="D23" s="130">
        <f>IF($D$15=$C$2,($C$3*D22)+$C$4,IF($D$15=$D$2,($D$3*(D22^2))+($D$4*D22)+$D$5,IF($D$15=$E$2,($E$6*(EXP(D22*$E$4))),IF($D$15=$F$2,($F$6*(D22^$F$4)),IF($D$15=$G$2,($G$4*(LN(D22)))+$G$3,0)))))</f>
        <v>28.714285714284927</v>
      </c>
      <c r="E23" s="130">
        <f t="shared" ref="E23:L23" si="1">IF($D$15=$C$2,($C$3*E22)+$C$4,IF($D$15=$D$2,($D$3*(E22^2))+($D$4*E22)+$D$5,IF($D$15=$E$2,($E$6*(EXP(E22*$E$4))),IF($D$15=$F$2,($F$6*(E22^$F$4)),IF($D$15=$G$2,($G$4*(LN(E22)))+$G$3,0)))))</f>
        <v>31.428571428570535</v>
      </c>
      <c r="F23" s="130">
        <f t="shared" si="1"/>
        <v>34.142857142856144</v>
      </c>
      <c r="G23" s="130">
        <f t="shared" si="1"/>
        <v>36.857142857141753</v>
      </c>
      <c r="H23" s="130">
        <f t="shared" si="1"/>
        <v>39.571428571427361</v>
      </c>
      <c r="I23" s="130">
        <f t="shared" si="1"/>
        <v>42.28571428571297</v>
      </c>
      <c r="J23" s="130">
        <f t="shared" si="1"/>
        <v>44.999999999998579</v>
      </c>
      <c r="K23" s="130">
        <f t="shared" si="1"/>
        <v>47.714285714284188</v>
      </c>
      <c r="L23" s="131">
        <f t="shared" si="1"/>
        <v>50.428571428569796</v>
      </c>
    </row>
    <row r="24" spans="2:12" x14ac:dyDescent="0.3">
      <c r="B24" s="128" t="str">
        <f>D16</f>
        <v xml:space="preserve">Inferior </v>
      </c>
      <c r="C24" s="127">
        <f>IF($B$24=$A$6,C30,IF($B$24=$A$8,C32,C23))*(1+$D$18)</f>
        <v>25.745399472561868</v>
      </c>
      <c r="D24" s="170">
        <f t="shared" ref="D24:L24" si="2">IF($B$24=$A$6,D30,IF($B$24=$A$8,D32,D23))*(1+$D$18)</f>
        <v>28.459685186847477</v>
      </c>
      <c r="E24" s="170">
        <f t="shared" si="2"/>
        <v>31.173970901133085</v>
      </c>
      <c r="F24" s="170">
        <f t="shared" si="2"/>
        <v>33.88825661541869</v>
      </c>
      <c r="G24" s="170">
        <f t="shared" si="2"/>
        <v>36.602542329704299</v>
      </c>
      <c r="H24" s="170">
        <f t="shared" si="2"/>
        <v>39.316828043989908</v>
      </c>
      <c r="I24" s="170">
        <f t="shared" si="2"/>
        <v>42.031113758275517</v>
      </c>
      <c r="J24" s="170">
        <f t="shared" si="2"/>
        <v>44.745399472561125</v>
      </c>
      <c r="K24" s="170">
        <f t="shared" si="2"/>
        <v>47.459685186846734</v>
      </c>
      <c r="L24" s="171">
        <f t="shared" si="2"/>
        <v>50.173970901132343</v>
      </c>
    </row>
    <row r="27" spans="2:12" x14ac:dyDescent="0.3">
      <c r="B27" s="136" t="s">
        <v>101</v>
      </c>
      <c r="C27" s="137">
        <f>LOOKUP(2,1/(K3:K17&lt;&gt;""),K3:K17)</f>
        <v>23</v>
      </c>
    </row>
    <row r="28" spans="2:12" ht="13.8" customHeight="1" x14ac:dyDescent="0.3">
      <c r="B28" s="1"/>
      <c r="C28" s="1"/>
      <c r="D28" s="1"/>
      <c r="E28" s="1"/>
    </row>
    <row r="29" spans="2:12" x14ac:dyDescent="0.3">
      <c r="C29" s="112" t="s">
        <v>89</v>
      </c>
      <c r="D29" s="112"/>
      <c r="E29" s="112"/>
      <c r="F29" s="112"/>
      <c r="G29" s="112"/>
      <c r="H29" s="112"/>
      <c r="I29" s="112"/>
      <c r="J29" s="112"/>
      <c r="K29" s="112"/>
      <c r="L29" s="112"/>
    </row>
    <row r="30" spans="2:12" x14ac:dyDescent="0.3">
      <c r="C30" s="145">
        <f>C23-($E$17*($D$19/SQRT($J$2)))</f>
        <v>25.745399472561868</v>
      </c>
      <c r="D30" s="145">
        <f t="shared" ref="D30:L30" si="3">D23-($E$17*($D$19/SQRT($J$2)))</f>
        <v>28.459685186847477</v>
      </c>
      <c r="E30" s="145">
        <f t="shared" si="3"/>
        <v>31.173970901133085</v>
      </c>
      <c r="F30" s="145">
        <f t="shared" si="3"/>
        <v>33.88825661541869</v>
      </c>
      <c r="G30" s="145">
        <f t="shared" si="3"/>
        <v>36.602542329704299</v>
      </c>
      <c r="H30" s="145">
        <f t="shared" si="3"/>
        <v>39.316828043989908</v>
      </c>
      <c r="I30" s="145">
        <f t="shared" si="3"/>
        <v>42.031113758275517</v>
      </c>
      <c r="J30" s="145">
        <f t="shared" si="3"/>
        <v>44.745399472561125</v>
      </c>
      <c r="K30" s="145">
        <f t="shared" si="3"/>
        <v>47.459685186846734</v>
      </c>
      <c r="L30" s="145">
        <f t="shared" si="3"/>
        <v>50.173970901132343</v>
      </c>
    </row>
    <row r="31" spans="2:12" x14ac:dyDescent="0.3">
      <c r="C31" s="112" t="s">
        <v>90</v>
      </c>
      <c r="D31" s="112"/>
      <c r="E31" s="112"/>
      <c r="F31" s="112"/>
      <c r="G31" s="112"/>
      <c r="H31" s="112"/>
      <c r="I31" s="112"/>
      <c r="J31" s="112"/>
      <c r="K31" s="112"/>
      <c r="L31" s="112"/>
    </row>
    <row r="32" spans="2:12" x14ac:dyDescent="0.3">
      <c r="C32" s="145">
        <f>C23+($E$17*($D$19/SQRT($J$2)))</f>
        <v>26.254600527436768</v>
      </c>
      <c r="D32" s="145">
        <f t="shared" ref="D32:L32" si="4">D23+($E$17*($D$19/SQRT($J$2)))</f>
        <v>28.968886241722377</v>
      </c>
      <c r="E32" s="145">
        <f t="shared" si="4"/>
        <v>31.683171956007985</v>
      </c>
      <c r="F32" s="145">
        <f t="shared" si="4"/>
        <v>34.397457670293598</v>
      </c>
      <c r="G32" s="145">
        <f t="shared" si="4"/>
        <v>37.111743384579206</v>
      </c>
      <c r="H32" s="145">
        <f t="shared" si="4"/>
        <v>39.826029098864815</v>
      </c>
      <c r="I32" s="145">
        <f t="shared" si="4"/>
        <v>42.540314813150424</v>
      </c>
      <c r="J32" s="145">
        <f t="shared" si="4"/>
        <v>45.254600527436033</v>
      </c>
      <c r="K32" s="145">
        <f t="shared" si="4"/>
        <v>47.968886241721641</v>
      </c>
      <c r="L32" s="145">
        <f t="shared" si="4"/>
        <v>50.68317195600725</v>
      </c>
    </row>
  </sheetData>
  <conditionalFormatting sqref="C24">
    <cfRule type="cellIs" dxfId="31" priority="3" operator="lessThan">
      <formula>$C$27</formula>
    </cfRule>
    <cfRule type="cellIs" dxfId="30" priority="4" operator="lessThan">
      <formula>$K$6</formula>
    </cfRule>
    <cfRule type="cellIs" dxfId="29" priority="5" operator="lessThan">
      <formula>42.17</formula>
    </cfRule>
  </conditionalFormatting>
  <conditionalFormatting sqref="C24">
    <cfRule type="cellIs" dxfId="28" priority="2" operator="greaterThan">
      <formula>$C$27</formula>
    </cfRule>
  </conditionalFormatting>
  <conditionalFormatting sqref="C24:L24">
    <cfRule type="expression" dxfId="27" priority="1">
      <formula>C24&lt;$C$27</formula>
    </cfRule>
  </conditionalFormatting>
  <dataValidations count="3">
    <dataValidation type="list" allowBlank="1" showInputMessage="1" showErrorMessage="1" sqref="D15">
      <formula1>$C$2:$G$2</formula1>
    </dataValidation>
    <dataValidation type="list" allowBlank="1" showInputMessage="1" showErrorMessage="1" sqref="D16">
      <formula1>$A$6:$A$8</formula1>
    </dataValidation>
    <dataValidation type="list" allowBlank="1" showInputMessage="1" showErrorMessage="1" sqref="D17">
      <formula1>$A$10:$A$12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Z214"/>
  <sheetViews>
    <sheetView workbookViewId="0">
      <selection activeCell="I25" sqref="I25"/>
    </sheetView>
  </sheetViews>
  <sheetFormatPr baseColWidth="10" defaultRowHeight="14.4" x14ac:dyDescent="0.3"/>
  <cols>
    <col min="2" max="2" width="27.33203125" customWidth="1"/>
    <col min="3" max="3" width="12.77734375" bestFit="1" customWidth="1"/>
    <col min="5" max="5" width="14" customWidth="1"/>
    <col min="6" max="13" width="14.109375" bestFit="1" customWidth="1"/>
    <col min="14" max="14" width="12.6640625" bestFit="1" customWidth="1"/>
  </cols>
  <sheetData>
    <row r="1" spans="1:37" x14ac:dyDescent="0.3">
      <c r="A1" s="353" t="s">
        <v>102</v>
      </c>
      <c r="B1" s="354"/>
      <c r="C1" s="162"/>
      <c r="D1" s="162"/>
      <c r="E1" s="300" t="s">
        <v>107</v>
      </c>
      <c r="F1" s="300" t="s">
        <v>108</v>
      </c>
      <c r="G1" s="300" t="s">
        <v>197</v>
      </c>
      <c r="H1" s="300" t="s">
        <v>109</v>
      </c>
      <c r="I1" s="300" t="s">
        <v>110</v>
      </c>
      <c r="J1" s="300" t="s">
        <v>111</v>
      </c>
      <c r="K1" s="300" t="s">
        <v>112</v>
      </c>
      <c r="L1" s="300" t="s">
        <v>199</v>
      </c>
      <c r="M1" s="55"/>
      <c r="N1" s="55"/>
      <c r="O1" s="285"/>
      <c r="P1" s="285"/>
      <c r="Q1" s="285"/>
      <c r="R1" s="285"/>
      <c r="S1" s="55"/>
      <c r="T1" s="55"/>
      <c r="U1" s="55"/>
    </row>
    <row r="2" spans="1:37" x14ac:dyDescent="0.3">
      <c r="A2" s="352" t="s">
        <v>103</v>
      </c>
      <c r="B2" s="352"/>
      <c r="C2" s="55"/>
      <c r="D2" s="55"/>
      <c r="E2" s="337">
        <f>IF(L2=1,SUM(D52:E52),IF(L2=2,SUM(D52:F52),IF(L2=3,SUM(D52:G52),IF(L2=4,SUM(D52:H52),IF(L2=5,SUM(D52:I52),IF(L2=6,SUM(D52:J52),IF(L2=7,SUM(D52:K52),IF(L2=8,SUM(D52:L52),IF(L2=9,SUM(D52:M52),IF(L2=10,SUM(D52:N52),""))))))))))</f>
        <v>8.4179050503726884</v>
      </c>
      <c r="F2" s="338">
        <f>IF(L2=1,IRR(D52:E52),IF(L2=2,IRR(D52:F52),IF(L2=3,IRR(D52:G52),IF(L2=4,IRR(D52:H52),IF(L2=5,IRR(D52:I52),IF(L2=6,IRR(D52:J52),IF(L2=7,IRR(D52:K52),IF(L2=8,IRR(D52:L52),IF(L2=9,IRR(D52:M52),IF(L2=10,IRR(D52:N52),""))))))))))</f>
        <v>2.3469786418910399E-3</v>
      </c>
      <c r="G2" s="300">
        <f>IF(SUM(D52:E52)&gt;0,1,IF(SUM(D52:F52)&gt;0,2,IF(SUM(D52:G52)&gt;0,3,IF(SUM(D52:H52)&gt;0,4,IF(SUM(D52:I52)&gt;0,5,IF(SUM(D52:J52)&gt;0,6,IF(SUM(D52:K52)&gt;0,7,IF(SUM(D52:L52)&gt;0,8,IF(SUM(D52:M52)&gt;0,9,IF(SUM(D52:N52)&gt;0,10,"No existe"))))))))))</f>
        <v>10</v>
      </c>
      <c r="H2" s="300" t="str">
        <f>IF(G2="No existe","No Aceptado",IF(E2&lt;0,"No Aceptado",IF(F2&lt;0%,"No Aceptado","Aceptado")))</f>
        <v>Aceptado</v>
      </c>
      <c r="I2" s="299">
        <f>SUM(D36:D42)</f>
        <v>835</v>
      </c>
      <c r="J2" s="300" t="s">
        <v>54</v>
      </c>
      <c r="K2" s="301">
        <f>'Calculo Tmar'!F9</f>
        <v>0.11703605</v>
      </c>
      <c r="L2" s="300">
        <v>10</v>
      </c>
      <c r="M2" s="55"/>
      <c r="N2" s="55"/>
      <c r="O2" s="291"/>
      <c r="P2" s="291"/>
      <c r="Q2" s="291"/>
      <c r="R2" s="291"/>
      <c r="S2" s="291"/>
      <c r="T2" s="291"/>
      <c r="U2" s="55"/>
    </row>
    <row r="3" spans="1:37" x14ac:dyDescent="0.3">
      <c r="A3" s="159" t="s">
        <v>104</v>
      </c>
      <c r="B3" s="160" t="s">
        <v>105</v>
      </c>
      <c r="C3" s="4" t="s">
        <v>106</v>
      </c>
      <c r="D3" s="4">
        <v>2021</v>
      </c>
      <c r="E3" s="160">
        <f>D3+1</f>
        <v>2022</v>
      </c>
      <c r="F3" s="160">
        <f t="shared" ref="F3:N3" si="0">E3+1</f>
        <v>2023</v>
      </c>
      <c r="G3" s="160">
        <f t="shared" si="0"/>
        <v>2024</v>
      </c>
      <c r="H3" s="160">
        <f t="shared" si="0"/>
        <v>2025</v>
      </c>
      <c r="I3" s="160">
        <f t="shared" si="0"/>
        <v>2026</v>
      </c>
      <c r="J3" s="160">
        <f t="shared" si="0"/>
        <v>2027</v>
      </c>
      <c r="K3" s="160">
        <f t="shared" si="0"/>
        <v>2028</v>
      </c>
      <c r="L3" s="160">
        <f t="shared" si="0"/>
        <v>2029</v>
      </c>
      <c r="M3" s="160">
        <f t="shared" si="0"/>
        <v>2030</v>
      </c>
      <c r="N3" s="160">
        <f t="shared" si="0"/>
        <v>2031</v>
      </c>
      <c r="O3" s="291"/>
      <c r="P3" s="291"/>
      <c r="Q3" s="291"/>
      <c r="R3" s="291"/>
      <c r="S3" s="291"/>
      <c r="T3" s="291"/>
      <c r="U3" s="55"/>
      <c r="V3" s="55"/>
    </row>
    <row r="4" spans="1:37" ht="28.2" customHeight="1" x14ac:dyDescent="0.3">
      <c r="A4" s="164"/>
      <c r="B4" s="163" t="s">
        <v>113</v>
      </c>
      <c r="C4" s="163"/>
      <c r="D4" s="163"/>
      <c r="E4" s="191">
        <v>731.77090835452634</v>
      </c>
      <c r="F4" s="176">
        <v>760.00637982820774</v>
      </c>
      <c r="G4" s="176">
        <v>786.75133769736715</v>
      </c>
      <c r="H4" s="176">
        <v>812.19957767671281</v>
      </c>
      <c r="I4" s="176">
        <v>836.50696904262725</v>
      </c>
      <c r="J4" s="176">
        <v>859.80102121614323</v>
      </c>
      <c r="K4" s="176">
        <v>882.18756687388111</v>
      </c>
      <c r="L4" s="176">
        <v>903.75555511975278</v>
      </c>
      <c r="M4" s="176">
        <v>924.58056799562075</v>
      </c>
      <c r="N4" s="176">
        <v>944.72745181773303</v>
      </c>
      <c r="O4" s="291"/>
      <c r="P4" s="291"/>
      <c r="Q4" s="291"/>
      <c r="R4" s="291"/>
      <c r="S4" s="291"/>
      <c r="T4" s="291"/>
      <c r="U4" s="55"/>
      <c r="V4" s="55"/>
    </row>
    <row r="5" spans="1:37" ht="15" thickBot="1" x14ac:dyDescent="0.35">
      <c r="A5" s="177"/>
      <c r="B5" s="182" t="s">
        <v>114</v>
      </c>
      <c r="C5" s="178"/>
      <c r="D5" s="178"/>
      <c r="E5" s="190">
        <v>333.46710040931197</v>
      </c>
      <c r="F5" s="179">
        <v>351.35541805620272</v>
      </c>
      <c r="G5" s="179">
        <v>368.52278528472414</v>
      </c>
      <c r="H5" s="179">
        <v>385.05500444742296</v>
      </c>
      <c r="I5" s="179">
        <v>401.0219271820082</v>
      </c>
      <c r="J5" s="179">
        <v>416.48133735172593</v>
      </c>
      <c r="K5" s="179">
        <v>431.48169458125574</v>
      </c>
      <c r="L5" s="179">
        <v>446.06412270560696</v>
      </c>
      <c r="M5" s="179">
        <v>460.26388291850486</v>
      </c>
      <c r="N5" s="179">
        <v>474.1114862195937</v>
      </c>
      <c r="O5" s="291"/>
      <c r="P5" s="291"/>
      <c r="Q5" s="292" t="s">
        <v>138</v>
      </c>
      <c r="R5" s="291"/>
      <c r="S5" s="291"/>
      <c r="T5" s="291"/>
      <c r="U5" s="55"/>
      <c r="V5" s="55"/>
    </row>
    <row r="6" spans="1:37" ht="15" thickTop="1" x14ac:dyDescent="0.3">
      <c r="A6" s="164">
        <v>0.65</v>
      </c>
      <c r="B6" s="55" t="s">
        <v>115</v>
      </c>
      <c r="C6" s="10" t="s">
        <v>138</v>
      </c>
      <c r="D6" s="55"/>
      <c r="E6" s="180">
        <f>E5*$A$6</f>
        <v>216.75361526605278</v>
      </c>
      <c r="F6" s="180">
        <f t="shared" ref="F6:N6" si="1">F5*$A$6</f>
        <v>228.38102173653178</v>
      </c>
      <c r="G6" s="180">
        <f t="shared" si="1"/>
        <v>239.53981043507071</v>
      </c>
      <c r="H6" s="180">
        <f t="shared" si="1"/>
        <v>250.28575289082494</v>
      </c>
      <c r="I6" s="180">
        <f t="shared" si="1"/>
        <v>260.66425266830532</v>
      </c>
      <c r="J6" s="180">
        <f t="shared" si="1"/>
        <v>270.71286927862184</v>
      </c>
      <c r="K6" s="180">
        <f t="shared" si="1"/>
        <v>280.46310147781622</v>
      </c>
      <c r="L6" s="180">
        <f t="shared" si="1"/>
        <v>289.94167975864451</v>
      </c>
      <c r="M6" s="180">
        <f t="shared" si="1"/>
        <v>299.17152389702818</v>
      </c>
      <c r="N6" s="180">
        <f t="shared" si="1"/>
        <v>308.17246604273589</v>
      </c>
      <c r="O6" s="291"/>
      <c r="P6" s="291"/>
      <c r="Q6" s="292" t="s">
        <v>54</v>
      </c>
      <c r="R6" s="291"/>
      <c r="S6" s="291"/>
      <c r="T6" s="291"/>
      <c r="U6" s="55"/>
      <c r="V6" s="55"/>
    </row>
    <row r="7" spans="1:37" x14ac:dyDescent="0.3">
      <c r="A7" s="164">
        <v>0.25</v>
      </c>
      <c r="B7" s="55" t="s">
        <v>116</v>
      </c>
      <c r="C7" s="192" t="s">
        <v>54</v>
      </c>
      <c r="D7" s="55"/>
      <c r="E7" s="180">
        <f>E5*$A$7</f>
        <v>83.366775102327992</v>
      </c>
      <c r="F7" s="180">
        <f t="shared" ref="F7:N7" si="2">F5*$A$7</f>
        <v>87.838854514050681</v>
      </c>
      <c r="G7" s="180">
        <f t="shared" si="2"/>
        <v>92.130696321181034</v>
      </c>
      <c r="H7" s="180">
        <f t="shared" si="2"/>
        <v>96.26375111185574</v>
      </c>
      <c r="I7" s="180">
        <f t="shared" si="2"/>
        <v>100.25548179550205</v>
      </c>
      <c r="J7" s="180">
        <f t="shared" si="2"/>
        <v>104.12033433793148</v>
      </c>
      <c r="K7" s="180">
        <f t="shared" si="2"/>
        <v>107.87042364531393</v>
      </c>
      <c r="L7" s="180">
        <f t="shared" si="2"/>
        <v>111.51603067640174</v>
      </c>
      <c r="M7" s="180">
        <f t="shared" si="2"/>
        <v>115.06597072962622</v>
      </c>
      <c r="N7" s="180">
        <f t="shared" si="2"/>
        <v>118.52787155489843</v>
      </c>
      <c r="O7" s="291"/>
      <c r="P7" s="291"/>
      <c r="Q7" s="291"/>
      <c r="R7" s="291"/>
      <c r="S7" s="291"/>
      <c r="T7" s="291"/>
      <c r="U7" s="55"/>
      <c r="V7" s="55"/>
    </row>
    <row r="8" spans="1:37" ht="15" thickBot="1" x14ac:dyDescent="0.35">
      <c r="A8" s="181">
        <v>0.1</v>
      </c>
      <c r="B8" s="182" t="s">
        <v>117</v>
      </c>
      <c r="C8" s="178" t="s">
        <v>138</v>
      </c>
      <c r="D8" s="182"/>
      <c r="E8" s="183">
        <f>E5*$A$8</f>
        <v>33.3467100409312</v>
      </c>
      <c r="F8" s="183">
        <f t="shared" ref="F8:N8" si="3">F5*$A$8</f>
        <v>35.135541805620271</v>
      </c>
      <c r="G8" s="183">
        <f t="shared" si="3"/>
        <v>36.852278528472418</v>
      </c>
      <c r="H8" s="183">
        <f t="shared" si="3"/>
        <v>38.505500444742296</v>
      </c>
      <c r="I8" s="183">
        <f t="shared" si="3"/>
        <v>40.102192718200826</v>
      </c>
      <c r="J8" s="183">
        <f t="shared" si="3"/>
        <v>41.648133735172593</v>
      </c>
      <c r="K8" s="183">
        <f t="shared" si="3"/>
        <v>43.148169458125579</v>
      </c>
      <c r="L8" s="183">
        <f t="shared" si="3"/>
        <v>44.606412270560696</v>
      </c>
      <c r="M8" s="183">
        <f t="shared" si="3"/>
        <v>46.026388291850488</v>
      </c>
      <c r="N8" s="183">
        <f t="shared" si="3"/>
        <v>47.41114862195937</v>
      </c>
      <c r="O8" s="291"/>
      <c r="P8" s="291"/>
      <c r="Q8" s="291"/>
      <c r="R8" s="291"/>
      <c r="S8" s="291"/>
      <c r="T8" s="291"/>
      <c r="U8" s="55"/>
      <c r="V8" s="55"/>
    </row>
    <row r="9" spans="1:37" ht="15" thickTop="1" x14ac:dyDescent="0.3">
      <c r="A9" s="184"/>
      <c r="B9" s="185" t="s">
        <v>118</v>
      </c>
      <c r="C9" s="186"/>
      <c r="D9" s="295"/>
      <c r="E9" s="187">
        <f>E4-E5</f>
        <v>398.30380794521437</v>
      </c>
      <c r="F9" s="187">
        <f t="shared" ref="F9:N9" si="4">F4-F5</f>
        <v>408.65096177200502</v>
      </c>
      <c r="G9" s="187">
        <f t="shared" si="4"/>
        <v>418.22855241264301</v>
      </c>
      <c r="H9" s="187">
        <f t="shared" si="4"/>
        <v>427.14457322928985</v>
      </c>
      <c r="I9" s="187">
        <f t="shared" si="4"/>
        <v>435.48504186061905</v>
      </c>
      <c r="J9" s="187">
        <f t="shared" si="4"/>
        <v>443.3196838644173</v>
      </c>
      <c r="K9" s="187">
        <f t="shared" si="4"/>
        <v>450.70587229262537</v>
      </c>
      <c r="L9" s="187">
        <f t="shared" si="4"/>
        <v>457.69143241414582</v>
      </c>
      <c r="M9" s="187">
        <f t="shared" si="4"/>
        <v>464.31668507711589</v>
      </c>
      <c r="N9" s="188">
        <f t="shared" si="4"/>
        <v>470.61596559813933</v>
      </c>
      <c r="O9" s="291"/>
      <c r="P9" s="291"/>
      <c r="Q9" s="291"/>
      <c r="R9" s="291"/>
      <c r="S9" s="291"/>
      <c r="T9" s="291"/>
      <c r="U9" s="55"/>
      <c r="V9" s="55"/>
      <c r="AI9" s="254">
        <v>0.1</v>
      </c>
      <c r="AK9" s="141">
        <f>AI9+1</f>
        <v>1.1000000000000001</v>
      </c>
    </row>
    <row r="10" spans="1:37" x14ac:dyDescent="0.3">
      <c r="A10" s="164">
        <v>0.1</v>
      </c>
      <c r="B10" s="55" t="s">
        <v>119</v>
      </c>
      <c r="C10" s="10" t="s">
        <v>138</v>
      </c>
      <c r="D10" s="55"/>
      <c r="E10" s="176">
        <v>15.972</v>
      </c>
      <c r="F10" s="176">
        <f>E10*(1+$A$10)</f>
        <v>17.569200000000002</v>
      </c>
      <c r="G10" s="176">
        <f t="shared" ref="G10:N10" si="5">F10*(1+$A$10)</f>
        <v>19.326120000000003</v>
      </c>
      <c r="H10" s="176">
        <f t="shared" si="5"/>
        <v>21.258732000000006</v>
      </c>
      <c r="I10" s="176">
        <f t="shared" si="5"/>
        <v>23.384605200000006</v>
      </c>
      <c r="J10" s="176">
        <f t="shared" si="5"/>
        <v>25.723065720000008</v>
      </c>
      <c r="K10" s="176">
        <f t="shared" si="5"/>
        <v>28.29537229200001</v>
      </c>
      <c r="L10" s="176">
        <f t="shared" si="5"/>
        <v>31.124909521200014</v>
      </c>
      <c r="M10" s="176">
        <f t="shared" si="5"/>
        <v>34.237400473320015</v>
      </c>
      <c r="N10" s="176">
        <f t="shared" si="5"/>
        <v>37.661140520652019</v>
      </c>
      <c r="O10" s="291"/>
      <c r="P10" s="291"/>
      <c r="Q10" s="291"/>
      <c r="R10" s="291"/>
      <c r="S10" s="291"/>
      <c r="T10" s="291"/>
      <c r="U10" s="55"/>
      <c r="V10" s="55"/>
    </row>
    <row r="11" spans="1:37" x14ac:dyDescent="0.3">
      <c r="A11" s="164">
        <v>0.06</v>
      </c>
      <c r="B11" s="55" t="s">
        <v>120</v>
      </c>
      <c r="C11" s="10" t="s">
        <v>54</v>
      </c>
      <c r="D11" s="55"/>
      <c r="E11" s="189">
        <v>17.86524</v>
      </c>
      <c r="F11" s="189">
        <f>E11*(1+$A$11)</f>
        <v>18.937154400000001</v>
      </c>
      <c r="G11" s="189">
        <f t="shared" ref="G11:N11" si="6">F11*(1+$A$11)</f>
        <v>20.073383664000001</v>
      </c>
      <c r="H11" s="189">
        <f t="shared" si="6"/>
        <v>21.277786683840002</v>
      </c>
      <c r="I11" s="189">
        <f t="shared" si="6"/>
        <v>22.554453884870405</v>
      </c>
      <c r="J11" s="189">
        <f t="shared" si="6"/>
        <v>23.90772111796263</v>
      </c>
      <c r="K11" s="189">
        <f t="shared" si="6"/>
        <v>25.34218438504039</v>
      </c>
      <c r="L11" s="189">
        <f t="shared" si="6"/>
        <v>26.862715448142815</v>
      </c>
      <c r="M11" s="189">
        <f t="shared" si="6"/>
        <v>28.474478375031385</v>
      </c>
      <c r="N11" s="189">
        <f t="shared" si="6"/>
        <v>30.182947077533271</v>
      </c>
      <c r="O11" s="291"/>
      <c r="P11" s="291"/>
      <c r="Q11" s="291"/>
      <c r="R11" s="291"/>
      <c r="S11" s="291"/>
      <c r="T11" s="291"/>
      <c r="U11" s="55"/>
      <c r="V11" s="55"/>
    </row>
    <row r="12" spans="1:37" x14ac:dyDescent="0.3">
      <c r="A12" s="164">
        <v>0.01</v>
      </c>
      <c r="B12" s="55" t="s">
        <v>121</v>
      </c>
      <c r="C12" s="10" t="s">
        <v>54</v>
      </c>
      <c r="D12" s="55"/>
      <c r="E12" s="180">
        <f>E4*$A$12*0.65</f>
        <v>4.756510904304422</v>
      </c>
      <c r="F12" s="180">
        <f t="shared" ref="F12:N12" si="7">F4*$A$12*0.65</f>
        <v>4.9400414688833507</v>
      </c>
      <c r="G12" s="180">
        <f t="shared" si="7"/>
        <v>5.1138836950328868</v>
      </c>
      <c r="H12" s="180">
        <f t="shared" si="7"/>
        <v>5.2792972548986343</v>
      </c>
      <c r="I12" s="180">
        <f t="shared" si="7"/>
        <v>5.4372952987770775</v>
      </c>
      <c r="J12" s="180">
        <f t="shared" si="7"/>
        <v>5.5887066379049308</v>
      </c>
      <c r="K12" s="180">
        <f t="shared" si="7"/>
        <v>5.7342191846802271</v>
      </c>
      <c r="L12" s="180">
        <f t="shared" si="7"/>
        <v>5.8744111082783936</v>
      </c>
      <c r="M12" s="180">
        <f t="shared" si="7"/>
        <v>6.0097736919715352</v>
      </c>
      <c r="N12" s="180">
        <f t="shared" si="7"/>
        <v>6.140728436815265</v>
      </c>
      <c r="O12" s="291"/>
      <c r="P12" s="291"/>
      <c r="Q12" s="291"/>
      <c r="R12" s="291"/>
      <c r="S12" s="291"/>
      <c r="T12" s="291"/>
      <c r="U12" s="55"/>
      <c r="V12" s="55"/>
    </row>
    <row r="13" spans="1:37" x14ac:dyDescent="0.3">
      <c r="A13" s="165">
        <v>0</v>
      </c>
      <c r="B13" s="284" t="s">
        <v>221</v>
      </c>
      <c r="C13" s="262" t="s">
        <v>138</v>
      </c>
      <c r="D13" s="55"/>
      <c r="E13" s="180"/>
      <c r="F13" s="180"/>
      <c r="G13" s="180"/>
      <c r="H13" s="180">
        <v>40</v>
      </c>
      <c r="I13" s="180">
        <v>40</v>
      </c>
      <c r="J13" s="180">
        <v>20</v>
      </c>
      <c r="K13" s="180">
        <v>20</v>
      </c>
      <c r="L13" s="180"/>
      <c r="M13" s="180"/>
      <c r="N13" s="180"/>
      <c r="O13" s="291"/>
      <c r="P13" s="291"/>
      <c r="Q13" s="291"/>
      <c r="R13" s="291"/>
      <c r="S13" s="291"/>
      <c r="T13" s="291"/>
      <c r="U13" s="55"/>
      <c r="V13" s="55"/>
    </row>
    <row r="14" spans="1:37" x14ac:dyDescent="0.3">
      <c r="A14" s="164">
        <v>0.05</v>
      </c>
      <c r="B14" s="284" t="s">
        <v>168</v>
      </c>
      <c r="C14" s="262" t="s">
        <v>138</v>
      </c>
      <c r="D14" s="55"/>
      <c r="E14" s="176">
        <f>$A$14*E4</f>
        <v>36.588545417726316</v>
      </c>
      <c r="F14" s="176">
        <f>$A$14*F4</f>
        <v>38.000318991410388</v>
      </c>
      <c r="G14" s="176">
        <f t="shared" ref="G14:N14" si="8">$A$14*G4</f>
        <v>39.337566884868359</v>
      </c>
      <c r="H14" s="176">
        <f t="shared" si="8"/>
        <v>40.609978883835645</v>
      </c>
      <c r="I14" s="176">
        <f t="shared" si="8"/>
        <v>41.825348452131365</v>
      </c>
      <c r="J14" s="176">
        <f t="shared" si="8"/>
        <v>42.990051060807161</v>
      </c>
      <c r="K14" s="176">
        <f t="shared" si="8"/>
        <v>44.109378343694061</v>
      </c>
      <c r="L14" s="176">
        <f t="shared" si="8"/>
        <v>45.187777755987639</v>
      </c>
      <c r="M14" s="176">
        <f t="shared" si="8"/>
        <v>46.229028399781043</v>
      </c>
      <c r="N14" s="176">
        <f t="shared" si="8"/>
        <v>47.236372590886653</v>
      </c>
      <c r="O14" s="291"/>
      <c r="P14" s="291"/>
      <c r="Q14" s="291"/>
      <c r="R14" s="291"/>
      <c r="S14" s="291"/>
      <c r="T14" s="291"/>
      <c r="U14" s="55"/>
      <c r="V14" s="55"/>
    </row>
    <row r="15" spans="1:37" x14ac:dyDescent="0.3">
      <c r="A15" s="306"/>
      <c r="B15" s="291" t="s">
        <v>218</v>
      </c>
      <c r="C15" s="262" t="s">
        <v>138</v>
      </c>
      <c r="D15" s="291"/>
      <c r="E15" s="304">
        <v>25.7453994725619</v>
      </c>
      <c r="F15" s="304">
        <v>28.459685186847477</v>
      </c>
      <c r="G15" s="304">
        <v>31.173970901133085</v>
      </c>
      <c r="H15" s="304">
        <v>33.88825661541869</v>
      </c>
      <c r="I15" s="304">
        <v>36.602542329704299</v>
      </c>
      <c r="J15" s="304">
        <v>39.316828043989908</v>
      </c>
      <c r="K15" s="304">
        <v>42.031113758275517</v>
      </c>
      <c r="L15" s="304">
        <v>44.745399472561125</v>
      </c>
      <c r="M15" s="304">
        <v>47.459685186846734</v>
      </c>
      <c r="N15" s="304">
        <v>50.173970901132343</v>
      </c>
      <c r="O15" s="55"/>
      <c r="P15" s="55"/>
      <c r="Q15" s="55"/>
      <c r="R15" s="55"/>
      <c r="S15" s="55"/>
      <c r="T15" s="55"/>
      <c r="U15" s="55"/>
      <c r="V15" s="55"/>
    </row>
    <row r="16" spans="1:37" x14ac:dyDescent="0.3">
      <c r="A16" s="308">
        <v>8.0000000000000002E-3</v>
      </c>
      <c r="B16" s="291" t="s">
        <v>219</v>
      </c>
      <c r="C16" s="262" t="s">
        <v>138</v>
      </c>
      <c r="D16" s="291"/>
      <c r="E16" s="304">
        <f>$A$16*E4</f>
        <v>5.8541672668362112</v>
      </c>
      <c r="F16" s="304">
        <f t="shared" ref="F16:N16" si="9">$A$16*F4</f>
        <v>6.0800510386256619</v>
      </c>
      <c r="G16" s="304">
        <f t="shared" si="9"/>
        <v>6.2940107015789373</v>
      </c>
      <c r="H16" s="304">
        <f t="shared" si="9"/>
        <v>6.4975966214137024</v>
      </c>
      <c r="I16" s="304">
        <f t="shared" si="9"/>
        <v>6.6920557523410178</v>
      </c>
      <c r="J16" s="304">
        <f t="shared" si="9"/>
        <v>6.8784081697291457</v>
      </c>
      <c r="K16" s="304">
        <f t="shared" si="9"/>
        <v>7.0575005349910489</v>
      </c>
      <c r="L16" s="304">
        <f t="shared" si="9"/>
        <v>7.2300444409580225</v>
      </c>
      <c r="M16" s="304">
        <f t="shared" si="9"/>
        <v>7.3966445439649666</v>
      </c>
      <c r="N16" s="304">
        <f t="shared" si="9"/>
        <v>7.5578196145418648</v>
      </c>
      <c r="O16" s="55"/>
      <c r="P16" s="55"/>
      <c r="Q16" s="55"/>
      <c r="R16" s="55"/>
      <c r="S16" s="55"/>
      <c r="T16" s="55"/>
      <c r="U16" s="55"/>
      <c r="V16" s="55"/>
    </row>
    <row r="17" spans="1:22" x14ac:dyDescent="0.3">
      <c r="A17" s="339">
        <v>5.0000000000000001E-3</v>
      </c>
      <c r="B17" s="291" t="s">
        <v>220</v>
      </c>
      <c r="C17" s="262" t="s">
        <v>138</v>
      </c>
      <c r="D17" s="291"/>
      <c r="E17" s="304">
        <f>$A$17*E4</f>
        <v>3.6588545417726319</v>
      </c>
      <c r="F17" s="304">
        <f t="shared" ref="F17:N17" si="10">$A$17*F4</f>
        <v>3.8000318991410387</v>
      </c>
      <c r="G17" s="304">
        <f t="shared" si="10"/>
        <v>3.9337566884868358</v>
      </c>
      <c r="H17" s="304">
        <f t="shared" si="10"/>
        <v>4.0609978883835645</v>
      </c>
      <c r="I17" s="304">
        <f t="shared" si="10"/>
        <v>4.1825348452131363</v>
      </c>
      <c r="J17" s="304">
        <f t="shared" si="10"/>
        <v>4.299005106080716</v>
      </c>
      <c r="K17" s="304">
        <f t="shared" si="10"/>
        <v>4.4109378343694052</v>
      </c>
      <c r="L17" s="304">
        <f t="shared" si="10"/>
        <v>4.5187777755987639</v>
      </c>
      <c r="M17" s="304">
        <f t="shared" si="10"/>
        <v>4.6229028399781038</v>
      </c>
      <c r="N17" s="304">
        <f t="shared" si="10"/>
        <v>4.7236372590886653</v>
      </c>
      <c r="O17" s="55"/>
      <c r="P17" s="55"/>
      <c r="Q17" s="55"/>
      <c r="R17" s="55"/>
      <c r="S17" s="55"/>
      <c r="T17" s="55"/>
      <c r="U17" s="55"/>
      <c r="V17" s="55"/>
    </row>
    <row r="18" spans="1:22" x14ac:dyDescent="0.3">
      <c r="A18" s="306"/>
      <c r="B18" s="291" t="s">
        <v>202</v>
      </c>
      <c r="C18" s="262" t="s">
        <v>138</v>
      </c>
      <c r="D18" s="291"/>
      <c r="E18" s="304">
        <v>5</v>
      </c>
      <c r="F18" s="304">
        <v>5</v>
      </c>
      <c r="G18" s="304">
        <v>5</v>
      </c>
      <c r="H18" s="304">
        <v>5</v>
      </c>
      <c r="I18" s="304">
        <v>5</v>
      </c>
      <c r="J18" s="304">
        <v>5</v>
      </c>
      <c r="K18" s="304">
        <v>5</v>
      </c>
      <c r="L18" s="304">
        <v>5</v>
      </c>
      <c r="M18" s="304">
        <v>5</v>
      </c>
      <c r="N18" s="304">
        <v>5</v>
      </c>
      <c r="O18" s="55"/>
      <c r="P18" s="55"/>
      <c r="Q18" s="55"/>
      <c r="R18" s="55"/>
      <c r="S18" s="55"/>
      <c r="T18" s="55"/>
      <c r="U18" s="55"/>
      <c r="V18" s="55"/>
    </row>
    <row r="19" spans="1:22" x14ac:dyDescent="0.3">
      <c r="A19" s="306"/>
      <c r="B19" s="291" t="s">
        <v>222</v>
      </c>
      <c r="C19" s="262" t="s">
        <v>138</v>
      </c>
      <c r="D19" s="291"/>
      <c r="E19" s="304">
        <v>25</v>
      </c>
      <c r="F19" s="304">
        <v>25</v>
      </c>
      <c r="G19" s="304"/>
      <c r="H19" s="304"/>
      <c r="I19" s="304"/>
      <c r="J19" s="304"/>
      <c r="K19" s="304"/>
      <c r="L19" s="304"/>
      <c r="M19" s="304"/>
      <c r="N19" s="304"/>
      <c r="O19" s="55"/>
      <c r="P19" s="55"/>
      <c r="Q19" s="55"/>
      <c r="R19" s="55"/>
      <c r="S19" s="55"/>
      <c r="T19" s="55"/>
      <c r="U19" s="55"/>
      <c r="V19" s="55"/>
    </row>
    <row r="20" spans="1:22" x14ac:dyDescent="0.3">
      <c r="A20" s="306">
        <v>0.02</v>
      </c>
      <c r="B20" s="291" t="s">
        <v>226</v>
      </c>
      <c r="C20" s="262" t="s">
        <v>138</v>
      </c>
      <c r="D20" s="291"/>
      <c r="E20" s="304">
        <f>$A$20*E4</f>
        <v>14.635418167090528</v>
      </c>
      <c r="F20" s="304">
        <f t="shared" ref="F20:N20" si="11">$A$20*F4</f>
        <v>15.200127596564155</v>
      </c>
      <c r="G20" s="304">
        <f t="shared" si="11"/>
        <v>15.735026753947343</v>
      </c>
      <c r="H20" s="304">
        <f t="shared" si="11"/>
        <v>16.243991553534258</v>
      </c>
      <c r="I20" s="304">
        <f t="shared" si="11"/>
        <v>16.730139380852545</v>
      </c>
      <c r="J20" s="304">
        <f t="shared" si="11"/>
        <v>17.196020424322864</v>
      </c>
      <c r="K20" s="304">
        <f t="shared" si="11"/>
        <v>17.643751337477621</v>
      </c>
      <c r="L20" s="304">
        <f t="shared" si="11"/>
        <v>18.075111102395056</v>
      </c>
      <c r="M20" s="304">
        <f t="shared" si="11"/>
        <v>18.491611359912415</v>
      </c>
      <c r="N20" s="304">
        <f t="shared" si="11"/>
        <v>18.894549036354661</v>
      </c>
      <c r="O20" s="55"/>
      <c r="P20" s="55"/>
      <c r="Q20" s="55"/>
      <c r="R20" s="55"/>
      <c r="S20" s="55"/>
      <c r="T20" s="55"/>
      <c r="U20" s="55"/>
      <c r="V20" s="55"/>
    </row>
    <row r="21" spans="1:22" x14ac:dyDescent="0.3">
      <c r="A21" s="306"/>
      <c r="B21" s="291"/>
      <c r="C21" s="262" t="s">
        <v>138</v>
      </c>
      <c r="D21" s="291"/>
      <c r="E21" s="304"/>
      <c r="F21" s="304"/>
      <c r="G21" s="304"/>
      <c r="H21" s="304"/>
      <c r="I21" s="304"/>
      <c r="J21" s="304"/>
      <c r="K21" s="304"/>
      <c r="L21" s="304"/>
      <c r="M21" s="304"/>
      <c r="N21" s="304"/>
      <c r="O21" s="55"/>
      <c r="P21" s="55"/>
      <c r="Q21" s="55"/>
      <c r="R21" s="55"/>
      <c r="S21" s="55"/>
      <c r="T21" s="55"/>
      <c r="U21" s="55"/>
      <c r="V21" s="55"/>
    </row>
    <row r="22" spans="1:22" x14ac:dyDescent="0.3">
      <c r="A22" s="306"/>
      <c r="B22" s="291"/>
      <c r="C22" s="262" t="s">
        <v>138</v>
      </c>
      <c r="D22" s="291"/>
      <c r="E22" s="304"/>
      <c r="F22" s="304"/>
      <c r="G22" s="304"/>
      <c r="H22" s="304"/>
      <c r="I22" s="304"/>
      <c r="J22" s="304"/>
      <c r="K22" s="304"/>
      <c r="L22" s="304"/>
      <c r="M22" s="304"/>
      <c r="N22" s="304"/>
      <c r="O22" s="55"/>
      <c r="P22" s="55"/>
      <c r="Q22" s="55"/>
      <c r="R22" s="55"/>
      <c r="S22" s="55"/>
      <c r="T22" s="55"/>
      <c r="U22" s="55"/>
      <c r="V22" s="55"/>
    </row>
    <row r="23" spans="1:22" x14ac:dyDescent="0.3">
      <c r="A23" s="306"/>
      <c r="B23" s="291"/>
      <c r="C23" s="262" t="s">
        <v>138</v>
      </c>
      <c r="D23" s="291"/>
      <c r="E23" s="304"/>
      <c r="F23" s="304"/>
      <c r="G23" s="304"/>
      <c r="H23" s="304"/>
      <c r="I23" s="304"/>
      <c r="J23" s="304"/>
      <c r="K23" s="304"/>
      <c r="L23" s="304"/>
      <c r="M23" s="304"/>
      <c r="N23" s="304"/>
      <c r="O23" s="55"/>
      <c r="P23" s="55"/>
      <c r="Q23" s="55"/>
      <c r="R23" s="55"/>
      <c r="S23" s="55"/>
      <c r="T23" s="55"/>
      <c r="U23" s="55"/>
      <c r="V23" s="55"/>
    </row>
    <row r="24" spans="1:22" x14ac:dyDescent="0.3">
      <c r="A24" s="306"/>
      <c r="B24" s="291"/>
      <c r="C24" s="262" t="s">
        <v>138</v>
      </c>
      <c r="D24" s="291"/>
      <c r="E24" s="304"/>
      <c r="F24" s="304"/>
      <c r="G24" s="304"/>
      <c r="H24" s="304"/>
      <c r="I24" s="304"/>
      <c r="J24" s="304"/>
      <c r="K24" s="304"/>
      <c r="L24" s="304"/>
      <c r="M24" s="304"/>
      <c r="N24" s="304"/>
      <c r="O24" s="55"/>
      <c r="P24" s="55"/>
      <c r="Q24" s="55"/>
      <c r="R24" s="55"/>
      <c r="S24" s="55"/>
      <c r="T24" s="55"/>
      <c r="U24" s="55"/>
      <c r="V24" s="55"/>
    </row>
    <row r="25" spans="1:22" x14ac:dyDescent="0.3">
      <c r="A25" s="306"/>
      <c r="B25" s="291"/>
      <c r="C25" s="262" t="s">
        <v>138</v>
      </c>
      <c r="D25" s="291"/>
      <c r="E25" s="304"/>
      <c r="F25" s="304"/>
      <c r="G25" s="304"/>
      <c r="H25" s="304"/>
      <c r="I25" s="304"/>
      <c r="J25" s="304"/>
      <c r="K25" s="304"/>
      <c r="L25" s="304"/>
      <c r="M25" s="304"/>
      <c r="N25" s="304"/>
      <c r="O25" s="55"/>
      <c r="P25" s="55"/>
      <c r="Q25" s="55"/>
      <c r="R25" s="55"/>
      <c r="S25" s="55"/>
      <c r="T25" s="55"/>
      <c r="U25" s="55"/>
      <c r="V25" s="55"/>
    </row>
    <row r="26" spans="1:22" x14ac:dyDescent="0.3">
      <c r="A26" s="306"/>
      <c r="B26" s="291"/>
      <c r="C26" s="262" t="s">
        <v>138</v>
      </c>
      <c r="D26" s="291"/>
      <c r="E26" s="304"/>
      <c r="F26" s="304"/>
      <c r="G26" s="304"/>
      <c r="H26" s="304"/>
      <c r="I26" s="304"/>
      <c r="J26" s="304"/>
      <c r="K26" s="304"/>
      <c r="L26" s="304"/>
      <c r="M26" s="304"/>
      <c r="N26" s="304"/>
      <c r="O26" s="55"/>
      <c r="P26" s="55"/>
      <c r="Q26" s="55"/>
      <c r="R26" s="55"/>
      <c r="S26" s="55"/>
      <c r="T26" s="55"/>
      <c r="U26" s="55"/>
      <c r="V26" s="55"/>
    </row>
    <row r="27" spans="1:22" x14ac:dyDescent="0.3">
      <c r="A27" s="306"/>
      <c r="B27" s="291"/>
      <c r="C27" s="262" t="s">
        <v>138</v>
      </c>
      <c r="D27" s="291"/>
      <c r="E27" s="304"/>
      <c r="F27" s="304"/>
      <c r="G27" s="304"/>
      <c r="H27" s="304"/>
      <c r="I27" s="304"/>
      <c r="J27" s="304"/>
      <c r="K27" s="304"/>
      <c r="L27" s="304"/>
      <c r="M27" s="304"/>
      <c r="N27" s="304"/>
      <c r="O27" s="55"/>
      <c r="P27" s="55"/>
      <c r="Q27" s="55"/>
      <c r="R27" s="55"/>
      <c r="S27" s="55"/>
      <c r="T27" s="55"/>
      <c r="U27" s="55"/>
      <c r="V27" s="55"/>
    </row>
    <row r="28" spans="1:22" x14ac:dyDescent="0.3">
      <c r="A28" s="306"/>
      <c r="B28" s="291"/>
      <c r="C28" s="262" t="s">
        <v>138</v>
      </c>
      <c r="D28" s="291"/>
      <c r="E28" s="304"/>
      <c r="F28" s="304"/>
      <c r="G28" s="304"/>
      <c r="H28" s="304"/>
      <c r="I28" s="304"/>
      <c r="J28" s="304"/>
      <c r="K28" s="304"/>
      <c r="L28" s="304"/>
      <c r="M28" s="304"/>
      <c r="N28" s="304"/>
      <c r="O28" s="55"/>
      <c r="P28" s="55"/>
      <c r="Q28" s="55"/>
      <c r="R28" s="55"/>
      <c r="S28" s="55"/>
      <c r="T28" s="55"/>
      <c r="U28" s="55"/>
      <c r="V28" s="55"/>
    </row>
    <row r="29" spans="1:22" x14ac:dyDescent="0.3">
      <c r="A29" s="306"/>
      <c r="B29" s="291"/>
      <c r="C29" s="262" t="s">
        <v>138</v>
      </c>
      <c r="D29" s="291"/>
      <c r="E29" s="304"/>
      <c r="F29" s="304"/>
      <c r="G29" s="304"/>
      <c r="H29" s="304"/>
      <c r="I29" s="304"/>
      <c r="J29" s="304"/>
      <c r="K29" s="304"/>
      <c r="L29" s="304"/>
      <c r="M29" s="304"/>
      <c r="N29" s="304"/>
      <c r="O29" s="55"/>
      <c r="P29" s="55"/>
      <c r="Q29" s="55"/>
      <c r="R29" s="55"/>
      <c r="S29" s="55"/>
      <c r="T29" s="55"/>
      <c r="U29" s="55"/>
      <c r="V29" s="55"/>
    </row>
    <row r="30" spans="1:22" x14ac:dyDescent="0.3">
      <c r="A30" s="306"/>
      <c r="B30" s="291"/>
      <c r="C30" s="262" t="s">
        <v>138</v>
      </c>
      <c r="D30" s="291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55"/>
      <c r="P30" s="55"/>
      <c r="Q30" s="55"/>
      <c r="R30" s="55"/>
      <c r="S30" s="55"/>
      <c r="T30" s="55"/>
      <c r="U30" s="55"/>
      <c r="V30" s="55"/>
    </row>
    <row r="31" spans="1:22" x14ac:dyDescent="0.3">
      <c r="A31" s="306"/>
      <c r="B31" s="291"/>
      <c r="C31" s="262" t="s">
        <v>138</v>
      </c>
      <c r="D31" s="291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55"/>
      <c r="P31" s="55"/>
      <c r="Q31" s="55"/>
      <c r="R31" s="55"/>
      <c r="S31" s="55"/>
      <c r="T31" s="55"/>
      <c r="U31" s="55"/>
      <c r="V31" s="55"/>
    </row>
    <row r="32" spans="1:22" x14ac:dyDescent="0.3">
      <c r="A32" s="306"/>
      <c r="B32" s="291"/>
      <c r="C32" s="262" t="s">
        <v>138</v>
      </c>
      <c r="D32" s="291"/>
      <c r="E32" s="304"/>
      <c r="F32" s="304"/>
      <c r="G32" s="304"/>
      <c r="H32" s="304"/>
      <c r="I32" s="304"/>
      <c r="J32" s="304"/>
      <c r="K32" s="304"/>
      <c r="L32" s="304"/>
      <c r="M32" s="304"/>
      <c r="N32" s="304"/>
      <c r="O32" s="55"/>
      <c r="P32" s="55"/>
      <c r="Q32" s="55"/>
      <c r="R32" s="55"/>
      <c r="S32" s="55"/>
      <c r="T32" s="55"/>
      <c r="U32" s="55"/>
      <c r="V32" s="55"/>
    </row>
    <row r="33" spans="1:104" ht="15" thickBot="1" x14ac:dyDescent="0.35">
      <c r="A33" s="307"/>
      <c r="B33" s="293"/>
      <c r="C33" s="262" t="s">
        <v>138</v>
      </c>
      <c r="D33" s="293"/>
      <c r="E33" s="305"/>
      <c r="F33" s="305"/>
      <c r="G33" s="305"/>
      <c r="H33" s="305"/>
      <c r="I33" s="305"/>
      <c r="J33" s="305"/>
      <c r="K33" s="305"/>
      <c r="L33" s="305"/>
      <c r="M33" s="305"/>
      <c r="N33" s="305"/>
      <c r="O33" s="182"/>
      <c r="P33" s="182"/>
      <c r="Q33" s="182"/>
      <c r="R33" s="182"/>
      <c r="S33" s="182"/>
      <c r="T33" s="182"/>
      <c r="U33" s="182"/>
      <c r="V33" s="182"/>
    </row>
    <row r="34" spans="1:104" ht="15" thickTop="1" x14ac:dyDescent="0.3">
      <c r="A34" s="194"/>
      <c r="B34" s="194" t="s">
        <v>164</v>
      </c>
      <c r="C34" s="280" t="s">
        <v>54</v>
      </c>
      <c r="D34" s="282"/>
      <c r="E34" s="193">
        <f>IF($C$7=$Q$6,IF($C$11=$Q$6,(E7+E11)*0.1267,""),IF($C$7=$Q$5,IF($C$11=$Q$6,E11*0.1267,""),""))</f>
        <v>12.826096313464957</v>
      </c>
      <c r="F34" s="193">
        <f t="shared" ref="F34:U34" si="12">IF($C$7=$Q$6,IF($C$11=$Q$6,(F7+F11)*0.1267,""),IF($C$7=$Q$5,IF($C$11=$Q$6,F11*0.1267,""),""))</f>
        <v>13.528520329410222</v>
      </c>
      <c r="G34" s="193">
        <f t="shared" si="12"/>
        <v>14.216256934122438</v>
      </c>
      <c r="H34" s="193">
        <f t="shared" si="12"/>
        <v>14.892512838714651</v>
      </c>
      <c r="I34" s="193">
        <f t="shared" si="12"/>
        <v>15.560018850703191</v>
      </c>
      <c r="J34" s="193">
        <f t="shared" si="12"/>
        <v>16.221154626261782</v>
      </c>
      <c r="K34" s="193">
        <f t="shared" si="12"/>
        <v>16.878037437445894</v>
      </c>
      <c r="L34" s="193">
        <f t="shared" si="12"/>
        <v>17.532587133979796</v>
      </c>
      <c r="M34" s="193">
        <f t="shared" si="12"/>
        <v>18.186574901560117</v>
      </c>
      <c r="N34" s="193">
        <f t="shared" si="12"/>
        <v>18.841660720729099</v>
      </c>
      <c r="O34" s="193">
        <f t="shared" si="12"/>
        <v>0</v>
      </c>
      <c r="P34" s="193">
        <f t="shared" si="12"/>
        <v>0</v>
      </c>
      <c r="Q34" s="193">
        <f t="shared" si="12"/>
        <v>0</v>
      </c>
      <c r="R34" s="193">
        <f t="shared" si="12"/>
        <v>0</v>
      </c>
      <c r="S34" s="193">
        <f t="shared" si="12"/>
        <v>0</v>
      </c>
      <c r="T34" s="193">
        <f t="shared" si="12"/>
        <v>0</v>
      </c>
      <c r="U34" s="193">
        <f t="shared" si="12"/>
        <v>0</v>
      </c>
    </row>
    <row r="35" spans="1:104" ht="15" thickBot="1" x14ac:dyDescent="0.35">
      <c r="A35" s="182"/>
      <c r="B35" s="182" t="s">
        <v>165</v>
      </c>
      <c r="C35" s="279" t="s">
        <v>54</v>
      </c>
      <c r="D35" s="281"/>
      <c r="E35" s="344">
        <v>35.880000000000003</v>
      </c>
      <c r="F35" s="344">
        <v>58.7</v>
      </c>
      <c r="G35" s="344">
        <v>48.95</v>
      </c>
      <c r="H35" s="344">
        <v>38.39</v>
      </c>
      <c r="I35" s="344">
        <v>29.51</v>
      </c>
      <c r="J35" s="190">
        <v>21.82</v>
      </c>
      <c r="K35" s="190">
        <v>14.13</v>
      </c>
      <c r="L35" s="190">
        <v>6.44</v>
      </c>
      <c r="M35" s="190">
        <v>0.44</v>
      </c>
      <c r="N35" s="190">
        <v>0</v>
      </c>
      <c r="O35" s="190">
        <v>0</v>
      </c>
      <c r="P35" s="190">
        <v>0</v>
      </c>
      <c r="Q35" s="190">
        <v>0</v>
      </c>
      <c r="R35" s="190">
        <v>0</v>
      </c>
      <c r="S35" s="190">
        <v>0</v>
      </c>
      <c r="T35" s="190">
        <v>0</v>
      </c>
      <c r="U35" s="190">
        <v>0</v>
      </c>
      <c r="V35" s="235">
        <v>0</v>
      </c>
      <c r="W35" s="235">
        <v>0</v>
      </c>
      <c r="X35" s="235">
        <v>0</v>
      </c>
      <c r="Y35" s="235"/>
      <c r="Z35" s="235"/>
      <c r="AA35" s="235"/>
      <c r="AB35" s="235"/>
      <c r="AC35" s="235"/>
      <c r="AD35" s="235"/>
      <c r="AE35" s="235"/>
      <c r="AF35" s="235"/>
      <c r="AG35" s="235"/>
      <c r="AH35" s="235"/>
      <c r="AI35" s="235"/>
      <c r="AJ35" s="235"/>
      <c r="AK35" s="235"/>
      <c r="AL35" s="235"/>
      <c r="AM35" s="235"/>
      <c r="AN35" s="235"/>
      <c r="AO35" s="235"/>
    </row>
    <row r="36" spans="1:104" ht="15" thickTop="1" x14ac:dyDescent="0.3">
      <c r="A36" s="166">
        <v>0.2</v>
      </c>
      <c r="B36" s="55" t="s">
        <v>166</v>
      </c>
      <c r="C36" s="283" t="s">
        <v>138</v>
      </c>
      <c r="D36" s="286">
        <v>550</v>
      </c>
      <c r="E36" s="176">
        <v>110</v>
      </c>
      <c r="F36" s="176">
        <v>110</v>
      </c>
      <c r="G36" s="176">
        <v>110</v>
      </c>
      <c r="H36" s="176">
        <v>110</v>
      </c>
      <c r="I36" s="176">
        <v>110</v>
      </c>
      <c r="J36" s="176">
        <v>0</v>
      </c>
      <c r="K36" s="176">
        <v>0</v>
      </c>
      <c r="L36" s="176">
        <v>0</v>
      </c>
      <c r="M36" s="176">
        <v>0</v>
      </c>
      <c r="N36" s="176">
        <v>0</v>
      </c>
      <c r="O36" s="176">
        <v>0</v>
      </c>
      <c r="P36" s="176">
        <v>0</v>
      </c>
      <c r="Q36" s="176">
        <v>0</v>
      </c>
      <c r="R36" s="176">
        <v>0</v>
      </c>
      <c r="S36" s="176">
        <v>0</v>
      </c>
      <c r="T36" s="176">
        <v>0</v>
      </c>
      <c r="U36" s="176">
        <v>0</v>
      </c>
    </row>
    <row r="37" spans="1:104" x14ac:dyDescent="0.3">
      <c r="A37" s="166">
        <v>0.2</v>
      </c>
      <c r="B37" s="55" t="s">
        <v>223</v>
      </c>
      <c r="C37" s="283" t="s">
        <v>138</v>
      </c>
      <c r="D37" s="286">
        <v>65</v>
      </c>
      <c r="E37" s="310">
        <v>13</v>
      </c>
      <c r="F37" s="310">
        <v>13</v>
      </c>
      <c r="G37" s="310">
        <v>13</v>
      </c>
      <c r="H37" s="176">
        <v>13</v>
      </c>
      <c r="I37" s="176">
        <v>13</v>
      </c>
      <c r="J37" s="176">
        <v>0</v>
      </c>
      <c r="K37" s="176">
        <v>0</v>
      </c>
      <c r="L37" s="176">
        <v>0</v>
      </c>
      <c r="M37" s="176">
        <v>0</v>
      </c>
      <c r="N37" s="176">
        <v>0</v>
      </c>
      <c r="O37" s="176">
        <v>0</v>
      </c>
      <c r="P37" s="176">
        <v>0</v>
      </c>
      <c r="Q37" s="176">
        <v>0</v>
      </c>
      <c r="R37" s="176">
        <v>0</v>
      </c>
      <c r="S37" s="176">
        <v>0</v>
      </c>
      <c r="T37" s="176">
        <v>0</v>
      </c>
      <c r="U37" s="176">
        <v>0</v>
      </c>
    </row>
    <row r="38" spans="1:104" x14ac:dyDescent="0.3">
      <c r="A38" s="166">
        <v>0.2</v>
      </c>
      <c r="B38" s="55" t="s">
        <v>198</v>
      </c>
      <c r="C38" s="283" t="s">
        <v>138</v>
      </c>
      <c r="D38" s="286">
        <v>75</v>
      </c>
      <c r="E38" s="176">
        <v>15</v>
      </c>
      <c r="F38" s="176">
        <v>15</v>
      </c>
      <c r="G38" s="176">
        <v>15</v>
      </c>
      <c r="H38" s="176">
        <v>15</v>
      </c>
      <c r="I38" s="176">
        <v>15</v>
      </c>
      <c r="J38" s="176">
        <v>0</v>
      </c>
      <c r="K38" s="176">
        <v>0</v>
      </c>
      <c r="L38" s="176">
        <v>0</v>
      </c>
      <c r="M38" s="176">
        <v>0</v>
      </c>
      <c r="N38" s="176">
        <v>0</v>
      </c>
      <c r="O38" s="176">
        <v>0</v>
      </c>
      <c r="P38" s="176">
        <v>0</v>
      </c>
      <c r="Q38" s="176">
        <v>0</v>
      </c>
      <c r="R38" s="176">
        <v>0</v>
      </c>
      <c r="S38" s="176">
        <v>0</v>
      </c>
      <c r="T38" s="176">
        <v>0</v>
      </c>
      <c r="U38" s="176">
        <v>0</v>
      </c>
    </row>
    <row r="39" spans="1:104" x14ac:dyDescent="0.3">
      <c r="A39" s="166">
        <v>0</v>
      </c>
      <c r="B39" s="55" t="s">
        <v>200</v>
      </c>
      <c r="C39" s="283" t="s">
        <v>138</v>
      </c>
      <c r="D39" s="286">
        <v>0</v>
      </c>
      <c r="E39" s="176">
        <v>0</v>
      </c>
      <c r="F39" s="176">
        <v>0</v>
      </c>
      <c r="G39" s="176">
        <v>0</v>
      </c>
      <c r="H39" s="176">
        <v>0</v>
      </c>
      <c r="I39" s="176">
        <v>0</v>
      </c>
      <c r="J39" s="176">
        <v>0</v>
      </c>
      <c r="K39" s="176">
        <v>0</v>
      </c>
      <c r="L39" s="176">
        <v>0</v>
      </c>
      <c r="M39" s="176">
        <v>0</v>
      </c>
      <c r="N39" s="176">
        <v>0</v>
      </c>
      <c r="O39" s="176">
        <v>0</v>
      </c>
      <c r="P39" s="176">
        <v>0</v>
      </c>
      <c r="Q39" s="176">
        <v>0</v>
      </c>
      <c r="R39" s="176">
        <v>0</v>
      </c>
      <c r="S39" s="176">
        <v>0</v>
      </c>
      <c r="T39" s="176">
        <v>0</v>
      </c>
      <c r="U39" s="176">
        <v>0</v>
      </c>
    </row>
    <row r="40" spans="1:104" x14ac:dyDescent="0.3">
      <c r="A40" s="166">
        <v>0.25</v>
      </c>
      <c r="B40" s="55" t="s">
        <v>201</v>
      </c>
      <c r="C40" s="283" t="s">
        <v>54</v>
      </c>
      <c r="D40" s="286">
        <v>25</v>
      </c>
      <c r="E40" s="176">
        <v>0</v>
      </c>
      <c r="F40" s="176">
        <v>0</v>
      </c>
      <c r="G40" s="176">
        <v>0</v>
      </c>
      <c r="H40" s="176">
        <v>0</v>
      </c>
      <c r="I40" s="313">
        <v>0</v>
      </c>
      <c r="J40" s="176">
        <v>0</v>
      </c>
      <c r="K40" s="176">
        <v>0</v>
      </c>
      <c r="L40" s="176">
        <v>0</v>
      </c>
      <c r="M40" s="176">
        <v>0</v>
      </c>
      <c r="N40" s="176">
        <v>0</v>
      </c>
      <c r="O40" s="176">
        <v>0</v>
      </c>
      <c r="P40" s="176">
        <v>0</v>
      </c>
      <c r="Q40" s="176">
        <v>0</v>
      </c>
      <c r="R40" s="176">
        <v>0</v>
      </c>
      <c r="S40" s="176">
        <v>0</v>
      </c>
      <c r="T40" s="176">
        <v>0</v>
      </c>
      <c r="U40" s="176">
        <v>0</v>
      </c>
    </row>
    <row r="41" spans="1:104" x14ac:dyDescent="0.3">
      <c r="A41" s="166">
        <v>0.1</v>
      </c>
      <c r="B41" s="55" t="s">
        <v>225</v>
      </c>
      <c r="C41" s="283" t="s">
        <v>138</v>
      </c>
      <c r="D41" s="286">
        <v>50</v>
      </c>
      <c r="E41" s="176">
        <v>5</v>
      </c>
      <c r="F41" s="176">
        <v>5</v>
      </c>
      <c r="G41" s="176">
        <v>5</v>
      </c>
      <c r="H41" s="176">
        <v>5</v>
      </c>
      <c r="I41" s="176">
        <v>5</v>
      </c>
      <c r="J41" s="176">
        <v>5</v>
      </c>
      <c r="K41" s="176">
        <v>5</v>
      </c>
      <c r="L41" s="176">
        <v>5</v>
      </c>
      <c r="M41" s="176">
        <v>5</v>
      </c>
      <c r="N41" s="176">
        <v>5</v>
      </c>
      <c r="O41" s="176">
        <v>0</v>
      </c>
      <c r="P41" s="176">
        <v>0</v>
      </c>
      <c r="Q41" s="176">
        <v>0</v>
      </c>
      <c r="R41" s="176">
        <v>0</v>
      </c>
      <c r="S41" s="176">
        <v>0</v>
      </c>
      <c r="T41" s="176">
        <v>0</v>
      </c>
      <c r="U41" s="176">
        <v>0</v>
      </c>
      <c r="V41">
        <v>0.2</v>
      </c>
      <c r="W41">
        <v>0.2</v>
      </c>
      <c r="X41">
        <v>0.2</v>
      </c>
      <c r="Y41">
        <v>0.2</v>
      </c>
      <c r="Z41">
        <v>0.2</v>
      </c>
      <c r="AA41">
        <v>0.2</v>
      </c>
      <c r="AB41">
        <v>0.2</v>
      </c>
      <c r="AC41">
        <v>0.2</v>
      </c>
      <c r="AD41">
        <v>0.2</v>
      </c>
      <c r="AE41">
        <v>0.2</v>
      </c>
      <c r="AF41">
        <v>0.2</v>
      </c>
      <c r="AG41">
        <v>0.2</v>
      </c>
      <c r="AH41">
        <v>0.2</v>
      </c>
      <c r="AI41">
        <v>0.2</v>
      </c>
      <c r="AJ41">
        <v>0.2</v>
      </c>
      <c r="AK41">
        <v>0.2</v>
      </c>
      <c r="AL41">
        <v>0.2</v>
      </c>
      <c r="AM41">
        <v>0.2</v>
      </c>
      <c r="AN41">
        <v>0.2</v>
      </c>
      <c r="AO41">
        <v>0.2</v>
      </c>
      <c r="AP41">
        <v>0.2</v>
      </c>
      <c r="AQ41">
        <v>0.2</v>
      </c>
      <c r="AR41">
        <v>0.2</v>
      </c>
      <c r="AS41">
        <v>0.2</v>
      </c>
      <c r="AT41">
        <v>0.2</v>
      </c>
      <c r="AU41">
        <v>0.2</v>
      </c>
      <c r="AV41">
        <v>0.2</v>
      </c>
      <c r="AW41">
        <v>0.2</v>
      </c>
      <c r="AX41">
        <v>0.2</v>
      </c>
      <c r="AY41">
        <v>0.2</v>
      </c>
      <c r="AZ41">
        <v>0.2</v>
      </c>
      <c r="BA41">
        <v>0.2</v>
      </c>
      <c r="BB41">
        <v>0.2</v>
      </c>
      <c r="BC41">
        <v>0.2</v>
      </c>
      <c r="BD41">
        <v>0.2</v>
      </c>
      <c r="BE41">
        <v>0.2</v>
      </c>
      <c r="BF41">
        <v>0.2</v>
      </c>
      <c r="BG41">
        <v>0.2</v>
      </c>
      <c r="BH41">
        <v>0.2</v>
      </c>
      <c r="BI41">
        <v>0.2</v>
      </c>
      <c r="BJ41">
        <v>0.2</v>
      </c>
      <c r="BK41">
        <v>0.2</v>
      </c>
      <c r="BL41">
        <v>0.2</v>
      </c>
      <c r="BM41">
        <v>0.2</v>
      </c>
      <c r="BN41">
        <v>0.2</v>
      </c>
      <c r="BO41">
        <v>0.2</v>
      </c>
      <c r="BP41">
        <v>0.2</v>
      </c>
      <c r="BQ41">
        <v>0.2</v>
      </c>
      <c r="BR41">
        <v>0.2</v>
      </c>
      <c r="BS41">
        <v>0.2</v>
      </c>
      <c r="BT41">
        <v>0.2</v>
      </c>
      <c r="BU41">
        <v>0.2</v>
      </c>
      <c r="BV41">
        <v>0.2</v>
      </c>
      <c r="BW41">
        <v>0.2</v>
      </c>
      <c r="BX41">
        <v>0.2</v>
      </c>
      <c r="BY41">
        <v>0.2</v>
      </c>
      <c r="BZ41">
        <v>0.2</v>
      </c>
      <c r="CA41">
        <v>0.2</v>
      </c>
      <c r="CB41">
        <v>0.2</v>
      </c>
      <c r="CC41">
        <v>0.2</v>
      </c>
      <c r="CD41">
        <v>0.2</v>
      </c>
      <c r="CE41">
        <v>0.2</v>
      </c>
      <c r="CF41">
        <v>0.2</v>
      </c>
      <c r="CG41">
        <v>0.2</v>
      </c>
      <c r="CH41">
        <v>0.2</v>
      </c>
      <c r="CI41">
        <v>0.2</v>
      </c>
      <c r="CJ41">
        <v>0.2</v>
      </c>
      <c r="CK41">
        <v>0.2</v>
      </c>
      <c r="CL41">
        <v>0.2</v>
      </c>
      <c r="CM41">
        <v>0.2</v>
      </c>
      <c r="CN41">
        <v>0.2</v>
      </c>
      <c r="CO41">
        <v>0.2</v>
      </c>
      <c r="CP41">
        <v>0.2</v>
      </c>
      <c r="CQ41">
        <v>0.2</v>
      </c>
      <c r="CR41">
        <v>0.2</v>
      </c>
      <c r="CS41">
        <v>0.2</v>
      </c>
      <c r="CT41">
        <v>0.2</v>
      </c>
      <c r="CU41">
        <v>0.2</v>
      </c>
      <c r="CV41">
        <v>0.2</v>
      </c>
      <c r="CW41">
        <v>0.2</v>
      </c>
      <c r="CX41">
        <v>0.2</v>
      </c>
      <c r="CY41">
        <v>0.2</v>
      </c>
      <c r="CZ41">
        <v>0.2</v>
      </c>
    </row>
    <row r="42" spans="1:104" x14ac:dyDescent="0.3">
      <c r="A42" s="166">
        <v>0.1</v>
      </c>
      <c r="B42" s="55" t="s">
        <v>224</v>
      </c>
      <c r="C42" s="309" t="s">
        <v>138</v>
      </c>
      <c r="D42" s="287">
        <v>70</v>
      </c>
      <c r="E42" s="176">
        <v>7</v>
      </c>
      <c r="F42" s="176">
        <v>7</v>
      </c>
      <c r="G42" s="176">
        <v>7</v>
      </c>
      <c r="H42" s="176">
        <v>7</v>
      </c>
      <c r="I42" s="176">
        <v>7</v>
      </c>
      <c r="J42" s="176">
        <v>7</v>
      </c>
      <c r="K42" s="176">
        <v>7</v>
      </c>
      <c r="L42" s="176">
        <v>7</v>
      </c>
      <c r="M42" s="176">
        <v>7</v>
      </c>
      <c r="N42" s="176">
        <v>7</v>
      </c>
      <c r="O42" s="176">
        <v>0</v>
      </c>
      <c r="P42" s="176">
        <v>0</v>
      </c>
      <c r="Q42" s="176">
        <v>0</v>
      </c>
      <c r="R42" s="176">
        <v>0</v>
      </c>
      <c r="S42" s="176">
        <v>0</v>
      </c>
      <c r="T42" s="176">
        <v>0</v>
      </c>
      <c r="U42" s="176">
        <v>0</v>
      </c>
      <c r="V42">
        <v>0.1</v>
      </c>
      <c r="W42">
        <v>0.1</v>
      </c>
      <c r="X42">
        <v>0.1</v>
      </c>
      <c r="Y42">
        <v>0.1</v>
      </c>
      <c r="Z42">
        <v>0.1</v>
      </c>
      <c r="AA42">
        <v>0.1</v>
      </c>
      <c r="AB42">
        <v>0.1</v>
      </c>
      <c r="AC42">
        <v>0.1</v>
      </c>
      <c r="AD42">
        <v>0.1</v>
      </c>
      <c r="AE42">
        <v>0.1</v>
      </c>
      <c r="AF42">
        <v>0.1</v>
      </c>
      <c r="AG42">
        <v>0.1</v>
      </c>
      <c r="AH42">
        <v>0.1</v>
      </c>
      <c r="AI42">
        <v>0.1</v>
      </c>
      <c r="AJ42">
        <v>0.1</v>
      </c>
      <c r="AK42">
        <v>0.1</v>
      </c>
      <c r="AL42">
        <v>0.1</v>
      </c>
      <c r="AM42">
        <v>0.1</v>
      </c>
      <c r="AN42">
        <v>0.1</v>
      </c>
      <c r="AO42">
        <v>0.1</v>
      </c>
      <c r="AP42">
        <v>0.1</v>
      </c>
      <c r="AQ42">
        <v>0.1</v>
      </c>
      <c r="AR42">
        <v>0.1</v>
      </c>
      <c r="AS42">
        <v>0.1</v>
      </c>
      <c r="AT42">
        <v>0.1</v>
      </c>
      <c r="AU42">
        <v>0.1</v>
      </c>
      <c r="AV42">
        <v>0.1</v>
      </c>
      <c r="AW42">
        <v>0.1</v>
      </c>
      <c r="AX42">
        <v>0.1</v>
      </c>
      <c r="AY42">
        <v>0.1</v>
      </c>
      <c r="AZ42">
        <v>0.1</v>
      </c>
      <c r="BA42">
        <v>0.1</v>
      </c>
      <c r="BB42">
        <v>0.1</v>
      </c>
      <c r="BC42">
        <v>0.1</v>
      </c>
      <c r="BD42">
        <v>0.1</v>
      </c>
      <c r="BE42">
        <v>0.1</v>
      </c>
      <c r="BF42">
        <v>0.1</v>
      </c>
      <c r="BG42">
        <v>0.1</v>
      </c>
      <c r="BH42">
        <v>0.1</v>
      </c>
      <c r="BI42">
        <v>0.1</v>
      </c>
      <c r="BJ42">
        <v>0.1</v>
      </c>
      <c r="BK42">
        <v>0.1</v>
      </c>
      <c r="BL42">
        <v>0.1</v>
      </c>
      <c r="BM42">
        <v>0.1</v>
      </c>
      <c r="BN42">
        <v>0.1</v>
      </c>
      <c r="BO42">
        <v>0.1</v>
      </c>
      <c r="BP42">
        <v>0.1</v>
      </c>
      <c r="BQ42">
        <v>0.1</v>
      </c>
      <c r="BR42">
        <v>0.1</v>
      </c>
      <c r="BS42">
        <v>0.1</v>
      </c>
      <c r="BT42">
        <v>0.1</v>
      </c>
      <c r="BU42">
        <v>0.1</v>
      </c>
      <c r="BV42">
        <v>0.1</v>
      </c>
      <c r="BW42">
        <v>0.1</v>
      </c>
      <c r="BX42">
        <v>0.1</v>
      </c>
      <c r="BY42">
        <v>0.1</v>
      </c>
      <c r="BZ42">
        <v>0.1</v>
      </c>
      <c r="CA42">
        <v>0.1</v>
      </c>
      <c r="CB42">
        <v>0.1</v>
      </c>
      <c r="CC42">
        <v>0.1</v>
      </c>
      <c r="CD42">
        <v>0.1</v>
      </c>
      <c r="CE42">
        <v>0.1</v>
      </c>
      <c r="CF42">
        <v>0.1</v>
      </c>
      <c r="CG42">
        <v>0.1</v>
      </c>
      <c r="CH42">
        <v>0.1</v>
      </c>
      <c r="CI42">
        <v>0.1</v>
      </c>
      <c r="CJ42">
        <v>0.1</v>
      </c>
      <c r="CK42">
        <v>0.1</v>
      </c>
      <c r="CL42">
        <v>0.1</v>
      </c>
      <c r="CM42">
        <v>0.1</v>
      </c>
      <c r="CN42">
        <v>0.1</v>
      </c>
      <c r="CO42">
        <v>0.1</v>
      </c>
      <c r="CP42">
        <v>0.1</v>
      </c>
      <c r="CQ42">
        <v>0.1</v>
      </c>
      <c r="CR42">
        <v>0.1</v>
      </c>
      <c r="CS42">
        <v>0.1</v>
      </c>
      <c r="CT42">
        <v>0.1</v>
      </c>
      <c r="CU42">
        <v>0.1</v>
      </c>
      <c r="CV42">
        <v>0.1</v>
      </c>
      <c r="CW42">
        <v>0.1</v>
      </c>
      <c r="CX42">
        <v>0.1</v>
      </c>
      <c r="CY42">
        <v>0.1</v>
      </c>
      <c r="CZ42">
        <v>0.1</v>
      </c>
    </row>
    <row r="43" spans="1:104" x14ac:dyDescent="0.3">
      <c r="A43" s="162"/>
      <c r="B43" s="290" t="s">
        <v>167</v>
      </c>
      <c r="C43" s="163"/>
      <c r="D43" s="294">
        <v>810</v>
      </c>
      <c r="E43" s="294">
        <f>E9-SUM(E10:E42)</f>
        <v>44.521575861457393</v>
      </c>
      <c r="F43" s="294">
        <f>F9-SUM(F10:F42)</f>
        <v>23.435830861122724</v>
      </c>
      <c r="G43" s="294">
        <f t="shared" ref="G43:U43" si="13">G9-SUM(G10:G42)</f>
        <v>59.074576189473078</v>
      </c>
      <c r="H43" s="294">
        <f>H9-SUM(H10:H42)</f>
        <v>29.745422889250733</v>
      </c>
      <c r="I43" s="294">
        <f t="shared" si="13"/>
        <v>38.006047866026051</v>
      </c>
      <c r="J43" s="294">
        <f t="shared" si="13"/>
        <v>202.37872295735818</v>
      </c>
      <c r="K43" s="294">
        <f t="shared" si="13"/>
        <v>208.07337718465118</v>
      </c>
      <c r="L43" s="294">
        <f t="shared" si="13"/>
        <v>233.09969865504422</v>
      </c>
      <c r="M43" s="294">
        <f t="shared" si="13"/>
        <v>235.76858530474959</v>
      </c>
      <c r="N43" s="294">
        <f t="shared" si="13"/>
        <v>232.20313944040547</v>
      </c>
      <c r="O43" s="294">
        <f t="shared" si="13"/>
        <v>0</v>
      </c>
      <c r="P43" s="294">
        <f t="shared" si="13"/>
        <v>0</v>
      </c>
      <c r="Q43" s="294">
        <f t="shared" si="13"/>
        <v>0</v>
      </c>
      <c r="R43" s="294">
        <f t="shared" si="13"/>
        <v>0</v>
      </c>
      <c r="S43" s="294">
        <f t="shared" si="13"/>
        <v>0</v>
      </c>
      <c r="T43" s="294">
        <f t="shared" si="13"/>
        <v>0</v>
      </c>
      <c r="U43" s="294">
        <f t="shared" si="13"/>
        <v>0</v>
      </c>
    </row>
    <row r="44" spans="1:104" x14ac:dyDescent="0.3">
      <c r="A44" s="55"/>
      <c r="B44" s="289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</row>
    <row r="45" spans="1:104" x14ac:dyDescent="0.3">
      <c r="A45" s="355" t="s">
        <v>169</v>
      </c>
      <c r="B45" s="356"/>
      <c r="C45" s="163"/>
      <c r="D45" s="163"/>
      <c r="E45" s="163"/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09"/>
    </row>
    <row r="46" spans="1:104" x14ac:dyDescent="0.3">
      <c r="A46" s="55"/>
      <c r="B46" t="s">
        <v>170</v>
      </c>
      <c r="C46" s="55"/>
      <c r="D46" s="180"/>
      <c r="E46" s="176">
        <f>IF(E59&lt;0,0,E59)</f>
        <v>0</v>
      </c>
      <c r="F46" s="176">
        <f t="shared" ref="F46:U46" si="14">IF(F59&lt;0,0,F59)</f>
        <v>0</v>
      </c>
      <c r="G46" s="176">
        <f t="shared" si="14"/>
        <v>34.338647587059732</v>
      </c>
      <c r="H46" s="176">
        <f t="shared" si="14"/>
        <v>42.701852493427154</v>
      </c>
      <c r="I46" s="176">
        <f t="shared" si="14"/>
        <v>43.358795723505445</v>
      </c>
      <c r="J46" s="176">
        <f t="shared" si="14"/>
        <v>46.324396761290288</v>
      </c>
      <c r="K46" s="176">
        <f t="shared" si="14"/>
        <v>46.803389020455796</v>
      </c>
      <c r="L46" s="176">
        <f t="shared" si="14"/>
        <v>49.59905316262163</v>
      </c>
      <c r="M46" s="176">
        <f t="shared" si="14"/>
        <v>49.913445960352654</v>
      </c>
      <c r="N46" s="176">
        <f t="shared" si="14"/>
        <v>50.147561667645782</v>
      </c>
      <c r="O46" s="176">
        <f t="shared" si="14"/>
        <v>0</v>
      </c>
      <c r="P46" s="176">
        <f t="shared" si="14"/>
        <v>0</v>
      </c>
      <c r="Q46" s="176">
        <f t="shared" si="14"/>
        <v>0</v>
      </c>
      <c r="R46" s="176">
        <f t="shared" si="14"/>
        <v>0</v>
      </c>
      <c r="S46" s="176">
        <f t="shared" si="14"/>
        <v>0</v>
      </c>
      <c r="T46" s="176">
        <f t="shared" si="14"/>
        <v>0</v>
      </c>
      <c r="U46" s="176">
        <f t="shared" si="14"/>
        <v>0</v>
      </c>
    </row>
    <row r="47" spans="1:104" x14ac:dyDescent="0.3">
      <c r="A47" s="55"/>
      <c r="B47" s="55" t="s">
        <v>171</v>
      </c>
      <c r="C47" s="284"/>
      <c r="E47" s="180">
        <f>IF(E67&lt;0,0,E67)</f>
        <v>11.130393965364334</v>
      </c>
      <c r="F47" s="180">
        <f t="shared" ref="F47:U47" si="15">IF(F67&lt;0,0,F67)</f>
        <v>5.8589577152806953</v>
      </c>
      <c r="G47" s="180">
        <f t="shared" si="15"/>
        <v>14.768644047368269</v>
      </c>
      <c r="H47" s="180">
        <f t="shared" si="15"/>
        <v>7.4363557223126691</v>
      </c>
      <c r="I47" s="180">
        <f t="shared" si="15"/>
        <v>9.5015119665065129</v>
      </c>
      <c r="J47" s="180">
        <f t="shared" si="15"/>
        <v>50.594680739339537</v>
      </c>
      <c r="K47" s="180">
        <f t="shared" si="15"/>
        <v>52.01834429616278</v>
      </c>
      <c r="L47" s="180">
        <f t="shared" si="15"/>
        <v>58.274924663761055</v>
      </c>
      <c r="M47" s="180">
        <f t="shared" si="15"/>
        <v>58.942146326187384</v>
      </c>
      <c r="N47" s="180">
        <f t="shared" si="15"/>
        <v>58.050784860101373</v>
      </c>
      <c r="O47" s="180">
        <f t="shared" si="15"/>
        <v>0</v>
      </c>
      <c r="P47" s="180">
        <f t="shared" si="15"/>
        <v>0</v>
      </c>
      <c r="Q47" s="180">
        <f t="shared" si="15"/>
        <v>0</v>
      </c>
      <c r="R47" s="180">
        <f t="shared" si="15"/>
        <v>0</v>
      </c>
      <c r="S47" s="180">
        <f t="shared" si="15"/>
        <v>0</v>
      </c>
      <c r="T47" s="180">
        <f t="shared" si="15"/>
        <v>0</v>
      </c>
      <c r="U47" s="180">
        <f t="shared" si="15"/>
        <v>0</v>
      </c>
    </row>
    <row r="48" spans="1:104" x14ac:dyDescent="0.3">
      <c r="A48" s="55"/>
      <c r="B48" s="55" t="s">
        <v>172</v>
      </c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</row>
    <row r="49" spans="1:21" x14ac:dyDescent="0.3">
      <c r="A49" s="162"/>
      <c r="B49" s="290" t="s">
        <v>174</v>
      </c>
      <c r="C49" s="163"/>
      <c r="D49" s="163"/>
      <c r="E49" s="294">
        <f>E43-E47-E46</f>
        <v>33.391181896093059</v>
      </c>
      <c r="F49" s="294">
        <f>F43-F47-F46</f>
        <v>17.576873145842029</v>
      </c>
      <c r="G49" s="294">
        <f>G43-G47-G46</f>
        <v>9.9672845550450759</v>
      </c>
      <c r="H49" s="294">
        <f t="shared" ref="H49:N49" si="16">H43-H47-H46</f>
        <v>-20.39278532648909</v>
      </c>
      <c r="I49" s="294">
        <f>I43-I47-I46</f>
        <v>-14.854259823985906</v>
      </c>
      <c r="J49" s="294">
        <f t="shared" si="16"/>
        <v>105.45964545672835</v>
      </c>
      <c r="K49" s="294">
        <f t="shared" si="16"/>
        <v>109.2516438680326</v>
      </c>
      <c r="L49" s="294">
        <f t="shared" si="16"/>
        <v>125.22572082866154</v>
      </c>
      <c r="M49" s="294">
        <f t="shared" si="16"/>
        <v>126.91299301820956</v>
      </c>
      <c r="N49" s="294">
        <f t="shared" si="16"/>
        <v>124.0047929126583</v>
      </c>
      <c r="O49" s="163"/>
      <c r="P49" s="163"/>
      <c r="Q49" s="163"/>
      <c r="R49" s="163"/>
      <c r="S49" s="163"/>
      <c r="T49" s="163"/>
      <c r="U49" s="109"/>
    </row>
    <row r="50" spans="1:21" x14ac:dyDescent="0.3">
      <c r="A50" s="55"/>
      <c r="B50" s="55" t="s">
        <v>175</v>
      </c>
      <c r="C50" s="55"/>
      <c r="D50" s="55"/>
      <c r="E50" s="180">
        <f>SUM(E36:E42)</f>
        <v>150</v>
      </c>
      <c r="F50" s="180">
        <f t="shared" ref="F50:U50" si="17">SUM(F36:F42)</f>
        <v>150</v>
      </c>
      <c r="G50" s="180">
        <f t="shared" si="17"/>
        <v>150</v>
      </c>
      <c r="H50" s="180">
        <f t="shared" si="17"/>
        <v>150</v>
      </c>
      <c r="I50" s="180">
        <f t="shared" si="17"/>
        <v>150</v>
      </c>
      <c r="J50" s="180">
        <f t="shared" si="17"/>
        <v>12</v>
      </c>
      <c r="K50" s="180">
        <f t="shared" si="17"/>
        <v>12</v>
      </c>
      <c r="L50" s="180">
        <f t="shared" si="17"/>
        <v>12</v>
      </c>
      <c r="M50" s="180">
        <f t="shared" si="17"/>
        <v>12</v>
      </c>
      <c r="N50" s="180">
        <f t="shared" si="17"/>
        <v>12</v>
      </c>
      <c r="O50" s="180">
        <f t="shared" si="17"/>
        <v>0</v>
      </c>
      <c r="P50" s="180">
        <f t="shared" si="17"/>
        <v>0</v>
      </c>
      <c r="Q50" s="180">
        <f t="shared" si="17"/>
        <v>0</v>
      </c>
      <c r="R50" s="180">
        <f t="shared" si="17"/>
        <v>0</v>
      </c>
      <c r="S50" s="180">
        <f t="shared" si="17"/>
        <v>0</v>
      </c>
      <c r="T50" s="180">
        <f t="shared" si="17"/>
        <v>0</v>
      </c>
      <c r="U50" s="180">
        <f t="shared" si="17"/>
        <v>0</v>
      </c>
    </row>
    <row r="51" spans="1:21" x14ac:dyDescent="0.3">
      <c r="A51" s="55"/>
      <c r="B51" s="55" t="s">
        <v>176</v>
      </c>
      <c r="C51" s="55"/>
      <c r="D51" s="55"/>
      <c r="E51" s="180">
        <f>E50+E49</f>
        <v>183.39118189609306</v>
      </c>
      <c r="F51" s="180">
        <f t="shared" ref="F51:U51" si="18">F50+F49</f>
        <v>167.57687314584203</v>
      </c>
      <c r="G51" s="180">
        <f>G50+G49</f>
        <v>159.96728455504507</v>
      </c>
      <c r="H51" s="180">
        <f t="shared" si="18"/>
        <v>129.6072146735109</v>
      </c>
      <c r="I51" s="180">
        <f t="shared" si="18"/>
        <v>135.1457401760141</v>
      </c>
      <c r="J51" s="180">
        <f t="shared" si="18"/>
        <v>117.45964545672835</v>
      </c>
      <c r="K51" s="180">
        <f t="shared" si="18"/>
        <v>121.2516438680326</v>
      </c>
      <c r="L51" s="180">
        <f t="shared" si="18"/>
        <v>137.22572082866154</v>
      </c>
      <c r="M51" s="180">
        <f t="shared" si="18"/>
        <v>138.91299301820956</v>
      </c>
      <c r="N51" s="180">
        <f t="shared" si="18"/>
        <v>136.0047929126583</v>
      </c>
      <c r="O51" s="180">
        <f t="shared" si="18"/>
        <v>0</v>
      </c>
      <c r="P51" s="180">
        <f t="shared" si="18"/>
        <v>0</v>
      </c>
      <c r="Q51" s="180">
        <f t="shared" si="18"/>
        <v>0</v>
      </c>
      <c r="R51" s="180">
        <f t="shared" si="18"/>
        <v>0</v>
      </c>
      <c r="S51" s="180">
        <f t="shared" si="18"/>
        <v>0</v>
      </c>
      <c r="T51" s="180">
        <f t="shared" si="18"/>
        <v>0</v>
      </c>
      <c r="U51" s="180">
        <f t="shared" si="18"/>
        <v>0</v>
      </c>
    </row>
    <row r="52" spans="1:21" ht="13.8" customHeight="1" x14ac:dyDescent="0.3">
      <c r="A52" s="288"/>
      <c r="B52" s="290" t="s">
        <v>173</v>
      </c>
      <c r="C52" s="290"/>
      <c r="D52" s="302">
        <f>I2*-1</f>
        <v>-835</v>
      </c>
      <c r="E52" s="303">
        <f>E51*((1+$K$2)^(-E53))</f>
        <v>164.17660101130403</v>
      </c>
      <c r="F52" s="303">
        <f t="shared" ref="F52:N52" si="19">F51*((1+$K$2)^(-F53))</f>
        <v>134.30114149829208</v>
      </c>
      <c r="G52" s="303">
        <f t="shared" si="19"/>
        <v>114.77032325705669</v>
      </c>
      <c r="H52" s="303">
        <f t="shared" si="19"/>
        <v>83.245433715206346</v>
      </c>
      <c r="I52" s="303">
        <f t="shared" si="19"/>
        <v>77.708122253979425</v>
      </c>
      <c r="J52" s="303">
        <f t="shared" si="19"/>
        <v>60.462423360053741</v>
      </c>
      <c r="K52" s="303">
        <f t="shared" si="19"/>
        <v>55.874970937521823</v>
      </c>
      <c r="L52" s="303">
        <f t="shared" si="19"/>
        <v>56.610632402609838</v>
      </c>
      <c r="M52" s="303">
        <f t="shared" si="19"/>
        <v>51.302457012182167</v>
      </c>
      <c r="N52" s="303">
        <f t="shared" si="19"/>
        <v>44.965799602166612</v>
      </c>
      <c r="O52" s="303">
        <f t="shared" ref="O52" si="20">O51*((1+$K$2)^(-O53))</f>
        <v>0</v>
      </c>
      <c r="P52" s="303">
        <f t="shared" ref="P52" si="21">P51*((1+$K$2)^(-P53))</f>
        <v>0</v>
      </c>
      <c r="Q52" s="303">
        <f t="shared" ref="Q52" si="22">Q51*((1+$K$2)^(-Q53))</f>
        <v>0</v>
      </c>
      <c r="R52" s="303">
        <f t="shared" ref="R52" si="23">R51*((1+$K$2)^(-R53))</f>
        <v>0</v>
      </c>
      <c r="S52" s="303">
        <f t="shared" ref="S52" si="24">S51*((1+$K$2)^(-S53))</f>
        <v>0</v>
      </c>
      <c r="T52" s="303">
        <f t="shared" ref="T52" si="25">T51*((1+$K$2)^(-T53))</f>
        <v>0</v>
      </c>
      <c r="U52" s="303">
        <f t="shared" ref="U52" si="26">U51*((1+$K$2)^(-U53))</f>
        <v>0</v>
      </c>
    </row>
    <row r="53" spans="1:21" x14ac:dyDescent="0.3">
      <c r="A53" s="55"/>
      <c r="B53" s="55"/>
      <c r="C53" s="55"/>
      <c r="D53" s="55"/>
      <c r="E53" s="55">
        <v>1</v>
      </c>
      <c r="F53" s="55">
        <f>E53+1</f>
        <v>2</v>
      </c>
      <c r="G53" s="55">
        <f t="shared" ref="G53:U53" si="27">F53+1</f>
        <v>3</v>
      </c>
      <c r="H53" s="55">
        <f t="shared" si="27"/>
        <v>4</v>
      </c>
      <c r="I53" s="55">
        <f t="shared" si="27"/>
        <v>5</v>
      </c>
      <c r="J53" s="55">
        <f t="shared" si="27"/>
        <v>6</v>
      </c>
      <c r="K53" s="55">
        <f t="shared" si="27"/>
        <v>7</v>
      </c>
      <c r="L53" s="55">
        <f t="shared" si="27"/>
        <v>8</v>
      </c>
      <c r="M53" s="55">
        <f t="shared" si="27"/>
        <v>9</v>
      </c>
      <c r="N53" s="55">
        <f t="shared" si="27"/>
        <v>10</v>
      </c>
      <c r="O53" s="55">
        <f t="shared" si="27"/>
        <v>11</v>
      </c>
      <c r="P53" s="55">
        <f t="shared" si="27"/>
        <v>12</v>
      </c>
      <c r="Q53" s="55">
        <f t="shared" si="27"/>
        <v>13</v>
      </c>
      <c r="R53" s="55">
        <f t="shared" si="27"/>
        <v>14</v>
      </c>
      <c r="S53" s="55">
        <f t="shared" si="27"/>
        <v>15</v>
      </c>
      <c r="T53" s="55">
        <f t="shared" si="27"/>
        <v>16</v>
      </c>
      <c r="U53" s="55">
        <f t="shared" si="27"/>
        <v>17</v>
      </c>
    </row>
    <row r="54" spans="1:21" x14ac:dyDescent="0.3">
      <c r="A54" s="55"/>
      <c r="B54" s="162" t="s">
        <v>177</v>
      </c>
      <c r="C54" s="162"/>
      <c r="D54" s="109"/>
      <c r="E54" s="55"/>
      <c r="F54" s="180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</row>
    <row r="55" spans="1:21" x14ac:dyDescent="0.3">
      <c r="A55" s="55"/>
      <c r="B55" s="162" t="s">
        <v>178</v>
      </c>
      <c r="C55" s="50" t="s">
        <v>183</v>
      </c>
      <c r="D55" s="64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</row>
    <row r="56" spans="1:21" x14ac:dyDescent="0.3">
      <c r="A56" s="55" t="s">
        <v>47</v>
      </c>
      <c r="B56" s="55" t="s">
        <v>179</v>
      </c>
      <c r="C56" s="55"/>
      <c r="D56" s="55"/>
      <c r="E56" s="180">
        <f>0.12*E4</f>
        <v>87.812509002543152</v>
      </c>
      <c r="F56" s="180">
        <f t="shared" ref="F56:U56" si="28">0.12*F4</f>
        <v>91.200765579384921</v>
      </c>
      <c r="G56" s="180">
        <f>0.12*G4</f>
        <v>94.410160523684056</v>
      </c>
      <c r="H56" s="180">
        <f t="shared" si="28"/>
        <v>97.463949321205533</v>
      </c>
      <c r="I56" s="180">
        <f t="shared" si="28"/>
        <v>100.38083628511527</v>
      </c>
      <c r="J56" s="180">
        <f t="shared" si="28"/>
        <v>103.17612254593719</v>
      </c>
      <c r="K56" s="180">
        <f t="shared" si="28"/>
        <v>105.86250802486573</v>
      </c>
      <c r="L56" s="180">
        <f t="shared" si="28"/>
        <v>108.45066661437033</v>
      </c>
      <c r="M56" s="180">
        <f t="shared" si="28"/>
        <v>110.94966815947448</v>
      </c>
      <c r="N56" s="180">
        <f t="shared" si="28"/>
        <v>113.36729421812795</v>
      </c>
      <c r="O56" s="180">
        <f t="shared" si="28"/>
        <v>0</v>
      </c>
      <c r="P56" s="180">
        <f t="shared" si="28"/>
        <v>0</v>
      </c>
      <c r="Q56" s="180">
        <f t="shared" si="28"/>
        <v>0</v>
      </c>
      <c r="R56" s="180">
        <f t="shared" si="28"/>
        <v>0</v>
      </c>
      <c r="S56" s="180">
        <f t="shared" si="28"/>
        <v>0</v>
      </c>
      <c r="T56" s="180">
        <f t="shared" si="28"/>
        <v>0</v>
      </c>
      <c r="U56" s="180">
        <f t="shared" si="28"/>
        <v>0</v>
      </c>
    </row>
    <row r="57" spans="1:21" x14ac:dyDescent="0.3">
      <c r="A57" s="55" t="s">
        <v>191</v>
      </c>
      <c r="B57" s="55" t="s">
        <v>180</v>
      </c>
      <c r="C57" s="55"/>
      <c r="D57" s="180">
        <f>D43*0.12</f>
        <v>97.2</v>
      </c>
      <c r="E57" s="176">
        <f>SUMIF($C$6:$C$33,$Q$5,E6:E33)*0.12</f>
        <v>45.906565220756583</v>
      </c>
      <c r="F57" s="176">
        <f>SUMIF($C$6:$C$33,$Q$5,F6:F33)*0.12</f>
        <v>48.315117390568886</v>
      </c>
      <c r="G57" s="176">
        <f t="shared" ref="G57:U57" si="29">SUMIF($C$6:$C$33,$Q$5,G6:G33)*0.12</f>
        <v>47.663104907226924</v>
      </c>
      <c r="H57" s="176">
        <f t="shared" si="29"/>
        <v>54.762096827778379</v>
      </c>
      <c r="I57" s="176">
        <f t="shared" si="29"/>
        <v>57.02204056160982</v>
      </c>
      <c r="J57" s="176">
        <f t="shared" si="29"/>
        <v>56.851725784646902</v>
      </c>
      <c r="K57" s="176">
        <f t="shared" si="29"/>
        <v>59.059119004409936</v>
      </c>
      <c r="L57" s="176">
        <f t="shared" si="29"/>
        <v>58.851613451748705</v>
      </c>
      <c r="M57" s="176">
        <f t="shared" si="29"/>
        <v>61.036222199121831</v>
      </c>
      <c r="N57" s="176">
        <f t="shared" si="29"/>
        <v>63.219732550482171</v>
      </c>
      <c r="O57" s="176">
        <f t="shared" si="29"/>
        <v>0</v>
      </c>
      <c r="P57" s="176">
        <f t="shared" si="29"/>
        <v>0</v>
      </c>
      <c r="Q57" s="176">
        <f t="shared" si="29"/>
        <v>0</v>
      </c>
      <c r="R57" s="176">
        <f t="shared" si="29"/>
        <v>0</v>
      </c>
      <c r="S57" s="176">
        <f t="shared" si="29"/>
        <v>0</v>
      </c>
      <c r="T57" s="176">
        <f t="shared" si="29"/>
        <v>0</v>
      </c>
      <c r="U57" s="176">
        <f t="shared" si="29"/>
        <v>0</v>
      </c>
    </row>
    <row r="58" spans="1:21" x14ac:dyDescent="0.3">
      <c r="A58" s="55" t="s">
        <v>192</v>
      </c>
      <c r="B58" s="357" t="s">
        <v>181</v>
      </c>
      <c r="C58" s="357"/>
      <c r="D58" s="55"/>
      <c r="E58" s="176">
        <f>IF(D59&lt;0,-D59,0)</f>
        <v>97.2</v>
      </c>
      <c r="F58" s="176">
        <f t="shared" ref="F58:U58" si="30">IF(E59&lt;0,-E59,0)</f>
        <v>55.294056218213434</v>
      </c>
      <c r="G58" s="176">
        <f t="shared" si="30"/>
        <v>12.4084080293974</v>
      </c>
      <c r="H58" s="176">
        <f t="shared" si="30"/>
        <v>0</v>
      </c>
      <c r="I58" s="176">
        <f t="shared" si="30"/>
        <v>0</v>
      </c>
      <c r="J58" s="176">
        <f t="shared" si="30"/>
        <v>0</v>
      </c>
      <c r="K58" s="176">
        <f t="shared" si="30"/>
        <v>0</v>
      </c>
      <c r="L58" s="176">
        <f t="shared" si="30"/>
        <v>0</v>
      </c>
      <c r="M58" s="176">
        <f t="shared" si="30"/>
        <v>0</v>
      </c>
      <c r="N58" s="176">
        <f t="shared" si="30"/>
        <v>0</v>
      </c>
      <c r="O58" s="176">
        <f t="shared" si="30"/>
        <v>0</v>
      </c>
      <c r="P58" s="176">
        <f t="shared" si="30"/>
        <v>0</v>
      </c>
      <c r="Q58" s="176">
        <f t="shared" si="30"/>
        <v>0</v>
      </c>
      <c r="R58" s="176">
        <f t="shared" si="30"/>
        <v>0</v>
      </c>
      <c r="S58" s="176">
        <f t="shared" si="30"/>
        <v>0</v>
      </c>
      <c r="T58" s="176">
        <f t="shared" si="30"/>
        <v>0</v>
      </c>
      <c r="U58" s="176">
        <f t="shared" si="30"/>
        <v>0</v>
      </c>
    </row>
    <row r="59" spans="1:21" x14ac:dyDescent="0.3">
      <c r="A59" s="55" t="s">
        <v>193</v>
      </c>
      <c r="B59" s="162" t="s">
        <v>182</v>
      </c>
      <c r="C59" s="163"/>
      <c r="D59" s="294">
        <f>D56-D57-D58</f>
        <v>-97.2</v>
      </c>
      <c r="E59" s="294">
        <f>E56-E57-E58</f>
        <v>-55.294056218213434</v>
      </c>
      <c r="F59" s="294">
        <f t="shared" ref="F59:U59" si="31">F56-F57-F58</f>
        <v>-12.4084080293974</v>
      </c>
      <c r="G59" s="294">
        <f t="shared" si="31"/>
        <v>34.338647587059732</v>
      </c>
      <c r="H59" s="294">
        <f t="shared" si="31"/>
        <v>42.701852493427154</v>
      </c>
      <c r="I59" s="294">
        <f t="shared" si="31"/>
        <v>43.358795723505445</v>
      </c>
      <c r="J59" s="294">
        <f t="shared" si="31"/>
        <v>46.324396761290288</v>
      </c>
      <c r="K59" s="294">
        <f t="shared" si="31"/>
        <v>46.803389020455796</v>
      </c>
      <c r="L59" s="294">
        <f t="shared" si="31"/>
        <v>49.59905316262163</v>
      </c>
      <c r="M59" s="294">
        <f t="shared" si="31"/>
        <v>49.913445960352654</v>
      </c>
      <c r="N59" s="294">
        <f t="shared" si="31"/>
        <v>50.147561667645782</v>
      </c>
      <c r="O59" s="294">
        <f t="shared" si="31"/>
        <v>0</v>
      </c>
      <c r="P59" s="294">
        <f t="shared" si="31"/>
        <v>0</v>
      </c>
      <c r="Q59" s="294">
        <f t="shared" si="31"/>
        <v>0</v>
      </c>
      <c r="R59" s="294">
        <f t="shared" si="31"/>
        <v>0</v>
      </c>
      <c r="S59" s="294">
        <f t="shared" si="31"/>
        <v>0</v>
      </c>
      <c r="T59" s="294">
        <f t="shared" si="31"/>
        <v>0</v>
      </c>
      <c r="U59" s="294">
        <f t="shared" si="31"/>
        <v>0</v>
      </c>
    </row>
    <row r="60" spans="1:21" x14ac:dyDescent="0.3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</row>
    <row r="61" spans="1:21" x14ac:dyDescent="0.3">
      <c r="A61" s="55"/>
      <c r="B61" s="65" t="s">
        <v>184</v>
      </c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</row>
    <row r="62" spans="1:21" x14ac:dyDescent="0.3">
      <c r="A62" s="55"/>
      <c r="B62" s="55" t="s">
        <v>113</v>
      </c>
      <c r="C62" s="55"/>
      <c r="D62" s="55" t="s">
        <v>190</v>
      </c>
      <c r="E62" s="180">
        <f>E4</f>
        <v>731.77090835452634</v>
      </c>
      <c r="F62" s="180">
        <f t="shared" ref="F62:U62" si="32">F4</f>
        <v>760.00637982820774</v>
      </c>
      <c r="G62" s="180">
        <f t="shared" si="32"/>
        <v>786.75133769736715</v>
      </c>
      <c r="H62" s="180">
        <f t="shared" si="32"/>
        <v>812.19957767671281</v>
      </c>
      <c r="I62" s="180">
        <f t="shared" si="32"/>
        <v>836.50696904262725</v>
      </c>
      <c r="J62" s="180">
        <f t="shared" si="32"/>
        <v>859.80102121614323</v>
      </c>
      <c r="K62" s="180">
        <f t="shared" si="32"/>
        <v>882.18756687388111</v>
      </c>
      <c r="L62" s="180">
        <f t="shared" si="32"/>
        <v>903.75555511975278</v>
      </c>
      <c r="M62" s="180">
        <f t="shared" si="32"/>
        <v>924.58056799562075</v>
      </c>
      <c r="N62" s="180">
        <f t="shared" si="32"/>
        <v>944.72745181773303</v>
      </c>
      <c r="O62" s="180">
        <f t="shared" si="32"/>
        <v>0</v>
      </c>
      <c r="P62" s="180">
        <f t="shared" si="32"/>
        <v>0</v>
      </c>
      <c r="Q62" s="180">
        <f t="shared" si="32"/>
        <v>0</v>
      </c>
      <c r="R62" s="180">
        <f t="shared" si="32"/>
        <v>0</v>
      </c>
      <c r="S62" s="180">
        <f t="shared" si="32"/>
        <v>0</v>
      </c>
      <c r="T62" s="180">
        <f t="shared" si="32"/>
        <v>0</v>
      </c>
      <c r="U62" s="180">
        <f t="shared" si="32"/>
        <v>0</v>
      </c>
    </row>
    <row r="63" spans="1:21" x14ac:dyDescent="0.3">
      <c r="A63" s="55"/>
      <c r="B63" s="357" t="s">
        <v>185</v>
      </c>
      <c r="C63" s="357"/>
      <c r="D63" s="55" t="s">
        <v>190</v>
      </c>
      <c r="E63" s="180">
        <f>E5+SUM(E10:E42)</f>
        <v>687.24933249306901</v>
      </c>
      <c r="F63" s="180">
        <f t="shared" ref="F63:N63" si="33">F5+SUM(F10:F42)</f>
        <v>736.57054896708496</v>
      </c>
      <c r="G63" s="180">
        <f t="shared" si="33"/>
        <v>727.67676150789407</v>
      </c>
      <c r="H63" s="180">
        <f t="shared" si="33"/>
        <v>782.45415478746213</v>
      </c>
      <c r="I63" s="180">
        <f t="shared" si="33"/>
        <v>798.5009211766012</v>
      </c>
      <c r="J63" s="180">
        <f t="shared" si="33"/>
        <v>657.42229825878508</v>
      </c>
      <c r="K63" s="180">
        <f t="shared" si="33"/>
        <v>674.11418968922999</v>
      </c>
      <c r="L63" s="180">
        <f t="shared" si="33"/>
        <v>670.65585646470856</v>
      </c>
      <c r="M63" s="180">
        <f t="shared" si="33"/>
        <v>688.81198269087122</v>
      </c>
      <c r="N63" s="180">
        <f t="shared" si="33"/>
        <v>712.52431237732753</v>
      </c>
      <c r="O63" s="180">
        <f t="shared" ref="O63:U63" si="34">O5+SUM(O10:O14)+SUM(O34:O40)</f>
        <v>0</v>
      </c>
      <c r="P63" s="180">
        <f t="shared" si="34"/>
        <v>0</v>
      </c>
      <c r="Q63" s="180" t="e">
        <f t="shared" si="34"/>
        <v>#VALUE!</v>
      </c>
      <c r="R63" s="180">
        <f t="shared" si="34"/>
        <v>0</v>
      </c>
      <c r="S63" s="180">
        <f t="shared" si="34"/>
        <v>0</v>
      </c>
      <c r="T63" s="180">
        <f t="shared" si="34"/>
        <v>0</v>
      </c>
      <c r="U63" s="180">
        <f t="shared" si="34"/>
        <v>0</v>
      </c>
    </row>
    <row r="64" spans="1:21" x14ac:dyDescent="0.3">
      <c r="A64" s="55"/>
      <c r="B64" s="162" t="s">
        <v>186</v>
      </c>
      <c r="C64" s="163"/>
      <c r="D64" s="163"/>
      <c r="E64" s="294">
        <f>E62-E63</f>
        <v>44.521575861457336</v>
      </c>
      <c r="F64" s="294">
        <f t="shared" ref="F64:N64" si="35">F62-F63</f>
        <v>23.435830861122781</v>
      </c>
      <c r="G64" s="294">
        <f t="shared" si="35"/>
        <v>59.074576189473078</v>
      </c>
      <c r="H64" s="294">
        <f t="shared" si="35"/>
        <v>29.745422889250676</v>
      </c>
      <c r="I64" s="294">
        <f t="shared" si="35"/>
        <v>38.006047866026051</v>
      </c>
      <c r="J64" s="294">
        <f t="shared" si="35"/>
        <v>202.37872295735815</v>
      </c>
      <c r="K64" s="294">
        <f t="shared" si="35"/>
        <v>208.07337718465112</v>
      </c>
      <c r="L64" s="294">
        <f t="shared" si="35"/>
        <v>233.09969865504422</v>
      </c>
      <c r="M64" s="294">
        <f t="shared" si="35"/>
        <v>235.76858530474954</v>
      </c>
      <c r="N64" s="294">
        <f t="shared" si="35"/>
        <v>232.20313944040549</v>
      </c>
      <c r="O64" s="294">
        <f t="shared" ref="O64" si="36">O62-O63</f>
        <v>0</v>
      </c>
      <c r="P64" s="294">
        <f t="shared" ref="P64" si="37">P62-P63</f>
        <v>0</v>
      </c>
      <c r="Q64" s="294" t="e">
        <f t="shared" ref="Q64" si="38">Q62-Q63</f>
        <v>#VALUE!</v>
      </c>
      <c r="R64" s="294">
        <f t="shared" ref="R64" si="39">R62-R63</f>
        <v>0</v>
      </c>
      <c r="S64" s="294">
        <f t="shared" ref="S64" si="40">S62-S63</f>
        <v>0</v>
      </c>
      <c r="T64" s="294">
        <f t="shared" ref="T64" si="41">T62-T63</f>
        <v>0</v>
      </c>
      <c r="U64" s="294">
        <f t="shared" ref="U64" si="42">U62-U63</f>
        <v>0</v>
      </c>
    </row>
    <row r="65" spans="1:21" x14ac:dyDescent="0.3">
      <c r="A65" s="55"/>
      <c r="B65" s="55" t="s">
        <v>187</v>
      </c>
      <c r="C65" s="55"/>
      <c r="D65" s="55"/>
      <c r="E65" s="296">
        <f>E64/E62</f>
        <v>6.0840866114190546E-2</v>
      </c>
      <c r="F65" s="296">
        <f t="shared" ref="F65:N65" si="43">F64/F62</f>
        <v>3.0836360697946021E-2</v>
      </c>
      <c r="G65" s="296">
        <f t="shared" si="43"/>
        <v>7.5086718457156004E-2</v>
      </c>
      <c r="H65" s="296">
        <f t="shared" si="43"/>
        <v>3.6623292731002281E-2</v>
      </c>
      <c r="I65" s="296">
        <f t="shared" si="43"/>
        <v>4.5434227415371738E-2</v>
      </c>
      <c r="J65" s="296">
        <f t="shared" si="43"/>
        <v>0.23537855615838199</v>
      </c>
      <c r="K65" s="296">
        <f t="shared" si="43"/>
        <v>0.23586070014790586</v>
      </c>
      <c r="L65" s="296">
        <f t="shared" si="43"/>
        <v>0.25792339237589212</v>
      </c>
      <c r="M65" s="296">
        <f t="shared" si="43"/>
        <v>0.25500058455248242</v>
      </c>
      <c r="N65" s="296">
        <f t="shared" si="43"/>
        <v>0.24578849592401239</v>
      </c>
      <c r="O65" s="55"/>
      <c r="P65" s="55"/>
      <c r="Q65" s="55"/>
      <c r="R65" s="55"/>
      <c r="S65" s="55"/>
      <c r="T65" s="55"/>
      <c r="U65" s="55"/>
    </row>
    <row r="66" spans="1:21" x14ac:dyDescent="0.3">
      <c r="A66" s="55"/>
      <c r="B66" s="55" t="s">
        <v>188</v>
      </c>
      <c r="C66" s="55"/>
      <c r="D66" s="55"/>
      <c r="E66" s="164">
        <f>IF(E65&gt;=28%,7%,25%)</f>
        <v>0.25</v>
      </c>
      <c r="F66" s="164">
        <f t="shared" ref="F66:N66" si="44">IF(F65&gt;=28%,7%,25%)</f>
        <v>0.25</v>
      </c>
      <c r="G66" s="164">
        <f t="shared" si="44"/>
        <v>0.25</v>
      </c>
      <c r="H66" s="164">
        <f t="shared" si="44"/>
        <v>0.25</v>
      </c>
      <c r="I66" s="164">
        <f t="shared" si="44"/>
        <v>0.25</v>
      </c>
      <c r="J66" s="164">
        <f t="shared" si="44"/>
        <v>0.25</v>
      </c>
      <c r="K66" s="164">
        <f t="shared" si="44"/>
        <v>0.25</v>
      </c>
      <c r="L66" s="164">
        <f t="shared" si="44"/>
        <v>0.25</v>
      </c>
      <c r="M66" s="164">
        <f t="shared" si="44"/>
        <v>0.25</v>
      </c>
      <c r="N66" s="164">
        <f t="shared" si="44"/>
        <v>0.25</v>
      </c>
      <c r="O66" s="55"/>
      <c r="P66" s="55"/>
      <c r="Q66" s="55"/>
      <c r="R66" s="55"/>
      <c r="S66" s="55"/>
      <c r="T66" s="55"/>
      <c r="U66" s="55"/>
    </row>
    <row r="67" spans="1:21" x14ac:dyDescent="0.3">
      <c r="A67" s="55"/>
      <c r="B67" s="162" t="s">
        <v>189</v>
      </c>
      <c r="C67" s="163"/>
      <c r="D67" s="163"/>
      <c r="E67" s="294">
        <f>IF(E66=25%,E64*0.25,E62*0.07)</f>
        <v>11.130393965364334</v>
      </c>
      <c r="F67" s="294">
        <f t="shared" ref="F67:N67" si="45">IF(F66=25%,F64*0.25,F62*0.07)</f>
        <v>5.8589577152806953</v>
      </c>
      <c r="G67" s="294">
        <f t="shared" si="45"/>
        <v>14.768644047368269</v>
      </c>
      <c r="H67" s="294">
        <f t="shared" si="45"/>
        <v>7.4363557223126691</v>
      </c>
      <c r="I67" s="294">
        <f t="shared" si="45"/>
        <v>9.5015119665065129</v>
      </c>
      <c r="J67" s="294">
        <f t="shared" si="45"/>
        <v>50.594680739339537</v>
      </c>
      <c r="K67" s="294">
        <f t="shared" si="45"/>
        <v>52.01834429616278</v>
      </c>
      <c r="L67" s="294">
        <f t="shared" si="45"/>
        <v>58.274924663761055</v>
      </c>
      <c r="M67" s="294">
        <f t="shared" si="45"/>
        <v>58.942146326187384</v>
      </c>
      <c r="N67" s="294">
        <f t="shared" si="45"/>
        <v>58.050784860101373</v>
      </c>
      <c r="O67" s="163"/>
      <c r="P67" s="163"/>
      <c r="Q67" s="163"/>
      <c r="R67" s="163"/>
      <c r="S67" s="163"/>
      <c r="T67" s="163"/>
      <c r="U67" s="109"/>
    </row>
    <row r="68" spans="1:21" x14ac:dyDescent="0.3">
      <c r="A68" s="55"/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</row>
    <row r="69" spans="1:21" x14ac:dyDescent="0.3">
      <c r="A69" s="55"/>
      <c r="B69" s="297" t="s">
        <v>194</v>
      </c>
      <c r="C69" s="6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</row>
    <row r="70" spans="1:21" x14ac:dyDescent="0.3">
      <c r="A70" s="55"/>
      <c r="B70" s="298" t="s">
        <v>172</v>
      </c>
      <c r="C70" s="298" t="s">
        <v>195</v>
      </c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</row>
    <row r="71" spans="1:21" x14ac:dyDescent="0.3">
      <c r="A71" s="55"/>
      <c r="B71" s="162" t="s">
        <v>196</v>
      </c>
      <c r="C71" s="163"/>
      <c r="D71" s="163"/>
      <c r="E71" s="163"/>
      <c r="F71" s="163"/>
      <c r="G71" s="163"/>
      <c r="H71" s="163"/>
      <c r="I71" s="163"/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163"/>
      <c r="U71" s="109"/>
    </row>
    <row r="72" spans="1:21" x14ac:dyDescent="0.3">
      <c r="A72" s="55"/>
      <c r="B72" s="55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/>
      <c r="Q72" s="55"/>
      <c r="R72" s="55"/>
      <c r="S72" s="55"/>
      <c r="T72" s="55"/>
      <c r="U72" s="55"/>
    </row>
    <row r="73" spans="1:21" x14ac:dyDescent="0.3">
      <c r="A73" s="55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  <c r="T73" s="55"/>
      <c r="U73" s="55"/>
    </row>
    <row r="74" spans="1:21" x14ac:dyDescent="0.3">
      <c r="A74" s="55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55"/>
      <c r="U74" s="55"/>
    </row>
    <row r="75" spans="1:21" x14ac:dyDescent="0.3">
      <c r="A75" s="55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55"/>
      <c r="U75" s="55"/>
    </row>
    <row r="76" spans="1:21" x14ac:dyDescent="0.3">
      <c r="A76" s="55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</row>
    <row r="77" spans="1:21" x14ac:dyDescent="0.3">
      <c r="A77" s="55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</row>
    <row r="78" spans="1:21" x14ac:dyDescent="0.3">
      <c r="A78" s="55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</row>
    <row r="79" spans="1:21" x14ac:dyDescent="0.3">
      <c r="A79" s="55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5"/>
    </row>
    <row r="80" spans="1:21" x14ac:dyDescent="0.3">
      <c r="A80" s="55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</row>
    <row r="81" spans="1:21" x14ac:dyDescent="0.3">
      <c r="A81" s="55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5"/>
    </row>
    <row r="82" spans="1:21" x14ac:dyDescent="0.3">
      <c r="A82" s="55"/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</row>
    <row r="83" spans="1:21" x14ac:dyDescent="0.3">
      <c r="A83" s="55"/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</row>
    <row r="84" spans="1:21" x14ac:dyDescent="0.3">
      <c r="A84" s="55"/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</row>
    <row r="85" spans="1:21" x14ac:dyDescent="0.3">
      <c r="A85" s="55"/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</row>
    <row r="86" spans="1:21" x14ac:dyDescent="0.3">
      <c r="A86" s="55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</row>
    <row r="87" spans="1:21" x14ac:dyDescent="0.3">
      <c r="A87" s="55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</row>
    <row r="88" spans="1:21" x14ac:dyDescent="0.3">
      <c r="A88" s="55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</row>
    <row r="89" spans="1:21" x14ac:dyDescent="0.3">
      <c r="A89" s="55"/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</row>
    <row r="90" spans="1:21" x14ac:dyDescent="0.3">
      <c r="A90" s="55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</row>
    <row r="91" spans="1:21" x14ac:dyDescent="0.3">
      <c r="A91" s="55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</row>
    <row r="92" spans="1:21" x14ac:dyDescent="0.3">
      <c r="A92" s="55"/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</row>
    <row r="93" spans="1:21" x14ac:dyDescent="0.3">
      <c r="A93" s="55"/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</row>
    <row r="94" spans="1:21" x14ac:dyDescent="0.3">
      <c r="A94" s="55"/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</row>
    <row r="95" spans="1:21" x14ac:dyDescent="0.3">
      <c r="A95" s="55"/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</row>
    <row r="96" spans="1:21" x14ac:dyDescent="0.3">
      <c r="A96" s="55"/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</row>
    <row r="97" spans="1:21" x14ac:dyDescent="0.3">
      <c r="A97" s="55"/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</row>
    <row r="98" spans="1:21" x14ac:dyDescent="0.3">
      <c r="A98" s="55"/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</row>
    <row r="99" spans="1:21" x14ac:dyDescent="0.3">
      <c r="A99" s="55"/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</row>
    <row r="100" spans="1:21" x14ac:dyDescent="0.3">
      <c r="A100" s="55"/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</row>
    <row r="101" spans="1:21" x14ac:dyDescent="0.3">
      <c r="A101" s="55"/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</row>
    <row r="102" spans="1:21" x14ac:dyDescent="0.3">
      <c r="A102" s="55"/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</row>
    <row r="103" spans="1:21" x14ac:dyDescent="0.3">
      <c r="A103" s="55"/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</row>
    <row r="104" spans="1:21" x14ac:dyDescent="0.3">
      <c r="A104" s="55"/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</row>
    <row r="105" spans="1:21" x14ac:dyDescent="0.3">
      <c r="A105" s="55"/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</row>
    <row r="106" spans="1:21" x14ac:dyDescent="0.3">
      <c r="A106" s="55"/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</row>
    <row r="107" spans="1:21" x14ac:dyDescent="0.3">
      <c r="A107" s="55"/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</row>
    <row r="108" spans="1:21" x14ac:dyDescent="0.3">
      <c r="A108" s="55"/>
      <c r="B108" s="55"/>
      <c r="C108" s="55"/>
      <c r="D108" s="55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</row>
    <row r="109" spans="1:21" x14ac:dyDescent="0.3">
      <c r="A109" s="55"/>
      <c r="B109" s="55"/>
      <c r="C109" s="55"/>
      <c r="D109" s="55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</row>
    <row r="110" spans="1:21" x14ac:dyDescent="0.3">
      <c r="A110" s="55"/>
      <c r="B110" s="55"/>
      <c r="C110" s="55"/>
      <c r="D110" s="55"/>
      <c r="E110" s="55"/>
      <c r="F110" s="55"/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</row>
    <row r="111" spans="1:21" x14ac:dyDescent="0.3">
      <c r="A111" s="55"/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</row>
    <row r="112" spans="1:21" x14ac:dyDescent="0.3">
      <c r="A112" s="55"/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</row>
    <row r="113" spans="1:21" x14ac:dyDescent="0.3">
      <c r="A113" s="55"/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</row>
    <row r="114" spans="1:21" x14ac:dyDescent="0.3">
      <c r="A114" s="55"/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</row>
    <row r="115" spans="1:21" x14ac:dyDescent="0.3">
      <c r="A115" s="55"/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</row>
    <row r="116" spans="1:21" x14ac:dyDescent="0.3">
      <c r="A116" s="55"/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</row>
    <row r="117" spans="1:21" x14ac:dyDescent="0.3">
      <c r="A117" s="55"/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</row>
    <row r="118" spans="1:21" x14ac:dyDescent="0.3">
      <c r="A118" s="55"/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</row>
    <row r="119" spans="1:21" x14ac:dyDescent="0.3">
      <c r="A119" s="55"/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</row>
    <row r="120" spans="1:21" x14ac:dyDescent="0.3">
      <c r="A120" s="55"/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</row>
    <row r="121" spans="1:21" x14ac:dyDescent="0.3">
      <c r="A121" s="55"/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</row>
    <row r="122" spans="1:21" x14ac:dyDescent="0.3">
      <c r="A122" s="55"/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</row>
    <row r="123" spans="1:21" x14ac:dyDescent="0.3">
      <c r="A123" s="55"/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</row>
    <row r="124" spans="1:21" x14ac:dyDescent="0.3">
      <c r="A124" s="55"/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</row>
    <row r="125" spans="1:21" x14ac:dyDescent="0.3">
      <c r="A125" s="55"/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</row>
    <row r="126" spans="1:21" x14ac:dyDescent="0.3">
      <c r="A126" s="55"/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</row>
    <row r="127" spans="1:21" x14ac:dyDescent="0.3">
      <c r="A127" s="55"/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</row>
    <row r="128" spans="1:21" x14ac:dyDescent="0.3">
      <c r="A128" s="55"/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</row>
    <row r="129" spans="1:21" x14ac:dyDescent="0.3">
      <c r="A129" s="55"/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</row>
    <row r="130" spans="1:21" x14ac:dyDescent="0.3">
      <c r="A130" s="55"/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</row>
    <row r="131" spans="1:21" x14ac:dyDescent="0.3">
      <c r="A131" s="55"/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</row>
    <row r="132" spans="1:21" x14ac:dyDescent="0.3">
      <c r="A132" s="55"/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</row>
    <row r="133" spans="1:21" x14ac:dyDescent="0.3">
      <c r="A133" s="55"/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</row>
    <row r="134" spans="1:21" x14ac:dyDescent="0.3">
      <c r="A134" s="55"/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</row>
    <row r="135" spans="1:21" x14ac:dyDescent="0.3">
      <c r="A135" s="55"/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</row>
    <row r="136" spans="1:21" x14ac:dyDescent="0.3">
      <c r="A136" s="55"/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</row>
    <row r="137" spans="1:21" x14ac:dyDescent="0.3">
      <c r="A137" s="55"/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</row>
    <row r="138" spans="1:21" x14ac:dyDescent="0.3">
      <c r="A138" s="55"/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</row>
    <row r="139" spans="1:21" x14ac:dyDescent="0.3">
      <c r="A139" s="55"/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</row>
    <row r="140" spans="1:21" x14ac:dyDescent="0.3">
      <c r="A140" s="55"/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</row>
    <row r="141" spans="1:21" x14ac:dyDescent="0.3">
      <c r="A141" s="55"/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</row>
    <row r="142" spans="1:21" x14ac:dyDescent="0.3">
      <c r="A142" s="55"/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</row>
    <row r="143" spans="1:21" x14ac:dyDescent="0.3">
      <c r="A143" s="55"/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</row>
    <row r="144" spans="1:21" x14ac:dyDescent="0.3">
      <c r="A144" s="55"/>
      <c r="B144" s="55"/>
      <c r="C144" s="55"/>
      <c r="D144" s="55"/>
      <c r="E144" s="55"/>
      <c r="F144" s="55"/>
      <c r="G144" s="55"/>
      <c r="H144" s="55"/>
      <c r="I144" s="55"/>
      <c r="J144" s="55"/>
      <c r="K144" s="55"/>
      <c r="L144" s="55"/>
      <c r="M144" s="55"/>
    </row>
    <row r="145" spans="1:13" x14ac:dyDescent="0.3">
      <c r="A145" s="55"/>
      <c r="B145" s="55"/>
      <c r="C145" s="55"/>
      <c r="D145" s="55"/>
      <c r="E145" s="55"/>
      <c r="F145" s="55"/>
      <c r="G145" s="55"/>
      <c r="H145" s="55"/>
      <c r="I145" s="55"/>
      <c r="J145" s="55"/>
      <c r="K145" s="55"/>
      <c r="L145" s="55"/>
      <c r="M145" s="55"/>
    </row>
    <row r="146" spans="1:13" x14ac:dyDescent="0.3">
      <c r="A146" s="55"/>
      <c r="B146" s="55"/>
      <c r="C146" s="55"/>
      <c r="D146" s="55"/>
      <c r="E146" s="55"/>
      <c r="F146" s="55"/>
      <c r="G146" s="55"/>
      <c r="H146" s="55"/>
      <c r="I146" s="55"/>
      <c r="J146" s="55"/>
      <c r="K146" s="55"/>
      <c r="L146" s="55"/>
      <c r="M146" s="55"/>
    </row>
    <row r="147" spans="1:13" x14ac:dyDescent="0.3">
      <c r="A147" s="55"/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</row>
    <row r="148" spans="1:13" x14ac:dyDescent="0.3">
      <c r="A148" s="55"/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</row>
    <row r="149" spans="1:13" x14ac:dyDescent="0.3">
      <c r="A149" s="55"/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</row>
    <row r="150" spans="1:13" x14ac:dyDescent="0.3">
      <c r="A150" s="55"/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</row>
    <row r="151" spans="1:13" x14ac:dyDescent="0.3">
      <c r="A151" s="55"/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</row>
    <row r="152" spans="1:13" x14ac:dyDescent="0.3">
      <c r="A152" s="55"/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</row>
    <row r="153" spans="1:13" x14ac:dyDescent="0.3">
      <c r="A153" s="55"/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</row>
    <row r="154" spans="1:13" x14ac:dyDescent="0.3">
      <c r="A154" s="55"/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</row>
    <row r="155" spans="1:13" x14ac:dyDescent="0.3">
      <c r="A155" s="55"/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</row>
    <row r="156" spans="1:13" x14ac:dyDescent="0.3">
      <c r="A156" s="55"/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</row>
    <row r="157" spans="1:13" x14ac:dyDescent="0.3">
      <c r="A157" s="55"/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</row>
    <row r="158" spans="1:13" x14ac:dyDescent="0.3">
      <c r="A158" s="55"/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</row>
    <row r="159" spans="1:13" x14ac:dyDescent="0.3">
      <c r="A159" s="55"/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</row>
    <row r="160" spans="1:13" x14ac:dyDescent="0.3">
      <c r="A160" s="55"/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</row>
    <row r="161" spans="1:13" x14ac:dyDescent="0.3">
      <c r="A161" s="55"/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</row>
    <row r="162" spans="1:13" x14ac:dyDescent="0.3">
      <c r="A162" s="55"/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</row>
    <row r="163" spans="1:13" x14ac:dyDescent="0.3">
      <c r="A163" s="55"/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</row>
    <row r="164" spans="1:13" x14ac:dyDescent="0.3">
      <c r="A164" s="55"/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</row>
    <row r="165" spans="1:13" x14ac:dyDescent="0.3">
      <c r="A165" s="55"/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</row>
    <row r="166" spans="1:13" x14ac:dyDescent="0.3">
      <c r="A166" s="55"/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</row>
    <row r="167" spans="1:13" x14ac:dyDescent="0.3">
      <c r="A167" s="55"/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</row>
    <row r="168" spans="1:13" x14ac:dyDescent="0.3">
      <c r="A168" s="55"/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</row>
    <row r="169" spans="1:13" x14ac:dyDescent="0.3">
      <c r="A169" s="55"/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</row>
    <row r="170" spans="1:13" x14ac:dyDescent="0.3">
      <c r="A170" s="55"/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</row>
    <row r="171" spans="1:13" x14ac:dyDescent="0.3">
      <c r="A171" s="55"/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</row>
    <row r="172" spans="1:13" x14ac:dyDescent="0.3">
      <c r="A172" s="55"/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</row>
    <row r="173" spans="1:13" x14ac:dyDescent="0.3">
      <c r="A173" s="55"/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</row>
    <row r="174" spans="1:13" x14ac:dyDescent="0.3">
      <c r="A174" s="55"/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</row>
    <row r="175" spans="1:13" x14ac:dyDescent="0.3">
      <c r="A175" s="55"/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</row>
    <row r="176" spans="1:13" x14ac:dyDescent="0.3">
      <c r="A176" s="55"/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</row>
    <row r="177" spans="1:13" x14ac:dyDescent="0.3">
      <c r="A177" s="55"/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</row>
    <row r="178" spans="1:13" x14ac:dyDescent="0.3">
      <c r="A178" s="55"/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</row>
    <row r="179" spans="1:13" x14ac:dyDescent="0.3">
      <c r="A179" s="55"/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</row>
    <row r="180" spans="1:13" x14ac:dyDescent="0.3">
      <c r="A180" s="55"/>
      <c r="B180" s="55"/>
      <c r="C180" s="55"/>
      <c r="D180" s="55"/>
      <c r="E180" s="55"/>
      <c r="F180" s="55"/>
      <c r="G180" s="55"/>
      <c r="H180" s="55"/>
      <c r="I180" s="55"/>
      <c r="J180" s="55"/>
      <c r="K180" s="55"/>
      <c r="L180" s="55"/>
      <c r="M180" s="55"/>
    </row>
    <row r="181" spans="1:13" x14ac:dyDescent="0.3">
      <c r="A181" s="55"/>
      <c r="B181" s="55"/>
      <c r="C181" s="55"/>
      <c r="D181" s="55"/>
      <c r="E181" s="55"/>
      <c r="F181" s="55"/>
      <c r="G181" s="55"/>
      <c r="H181" s="55"/>
      <c r="I181" s="55"/>
      <c r="J181" s="55"/>
      <c r="K181" s="55"/>
      <c r="L181" s="55"/>
      <c r="M181" s="55"/>
    </row>
    <row r="182" spans="1:13" x14ac:dyDescent="0.3">
      <c r="A182" s="55"/>
      <c r="B182" s="55"/>
      <c r="C182" s="55"/>
      <c r="D182" s="55"/>
      <c r="E182" s="55"/>
      <c r="F182" s="55"/>
      <c r="G182" s="55"/>
      <c r="H182" s="55"/>
      <c r="I182" s="55"/>
      <c r="J182" s="55"/>
      <c r="K182" s="55"/>
      <c r="L182" s="55"/>
      <c r="M182" s="55"/>
    </row>
    <row r="183" spans="1:13" x14ac:dyDescent="0.3">
      <c r="A183" s="55"/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</row>
    <row r="184" spans="1:13" x14ac:dyDescent="0.3">
      <c r="A184" s="55"/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</row>
    <row r="185" spans="1:13" x14ac:dyDescent="0.3">
      <c r="A185" s="55"/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</row>
    <row r="186" spans="1:13" x14ac:dyDescent="0.3">
      <c r="A186" s="55"/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</row>
    <row r="187" spans="1:13" x14ac:dyDescent="0.3">
      <c r="A187" s="55"/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</row>
    <row r="188" spans="1:13" x14ac:dyDescent="0.3">
      <c r="A188" s="55"/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</row>
    <row r="189" spans="1:13" x14ac:dyDescent="0.3">
      <c r="A189" s="55"/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</row>
    <row r="190" spans="1:13" x14ac:dyDescent="0.3">
      <c r="A190" s="55"/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</row>
    <row r="191" spans="1:13" x14ac:dyDescent="0.3">
      <c r="A191" s="55"/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</row>
    <row r="192" spans="1:13" x14ac:dyDescent="0.3">
      <c r="A192" s="55"/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</row>
    <row r="193" spans="1:13" x14ac:dyDescent="0.3">
      <c r="A193" s="55"/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</row>
    <row r="194" spans="1:13" x14ac:dyDescent="0.3">
      <c r="A194" s="55"/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</row>
    <row r="195" spans="1:13" x14ac:dyDescent="0.3">
      <c r="A195" s="55"/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</row>
    <row r="196" spans="1:13" x14ac:dyDescent="0.3">
      <c r="A196" s="55"/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</row>
    <row r="197" spans="1:13" x14ac:dyDescent="0.3">
      <c r="A197" s="55"/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</row>
    <row r="198" spans="1:13" x14ac:dyDescent="0.3">
      <c r="A198" s="55"/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</row>
    <row r="199" spans="1:13" x14ac:dyDescent="0.3">
      <c r="A199" s="55"/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</row>
    <row r="200" spans="1:13" x14ac:dyDescent="0.3">
      <c r="A200" s="55"/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</row>
    <row r="201" spans="1:13" x14ac:dyDescent="0.3">
      <c r="A201" s="55"/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</row>
    <row r="202" spans="1:13" x14ac:dyDescent="0.3">
      <c r="A202" s="55"/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</row>
    <row r="203" spans="1:13" x14ac:dyDescent="0.3">
      <c r="A203" s="55"/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</row>
    <row r="204" spans="1:13" x14ac:dyDescent="0.3">
      <c r="A204" s="55"/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</row>
    <row r="205" spans="1:13" x14ac:dyDescent="0.3">
      <c r="A205" s="55"/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</row>
    <row r="206" spans="1:13" x14ac:dyDescent="0.3">
      <c r="A206" s="55"/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</row>
    <row r="207" spans="1:13" x14ac:dyDescent="0.3">
      <c r="A207" s="55"/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</row>
    <row r="208" spans="1:13" x14ac:dyDescent="0.3">
      <c r="A208" s="55"/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</row>
    <row r="209" spans="1:13" x14ac:dyDescent="0.3">
      <c r="A209" s="55"/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</row>
    <row r="210" spans="1:13" x14ac:dyDescent="0.3">
      <c r="A210" s="55"/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</row>
    <row r="211" spans="1:13" x14ac:dyDescent="0.3">
      <c r="A211" s="55"/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</row>
    <row r="212" spans="1:13" x14ac:dyDescent="0.3">
      <c r="A212" s="55"/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</row>
    <row r="213" spans="1:13" x14ac:dyDescent="0.3">
      <c r="A213" s="55"/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</row>
    <row r="214" spans="1:13" x14ac:dyDescent="0.3">
      <c r="A214" s="55"/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</row>
  </sheetData>
  <mergeCells count="5">
    <mergeCell ref="A2:B2"/>
    <mergeCell ref="A1:B1"/>
    <mergeCell ref="A45:B45"/>
    <mergeCell ref="B58:C58"/>
    <mergeCell ref="B63:C63"/>
  </mergeCells>
  <conditionalFormatting sqref="D59:U59">
    <cfRule type="expression" dxfId="26" priority="8">
      <formula>D59&lt;0</formula>
    </cfRule>
  </conditionalFormatting>
  <conditionalFormatting sqref="E36:U36">
    <cfRule type="expression" dxfId="25" priority="23">
      <formula>AND(SUM($E$36:$U$36)&lt;&gt;$D$36,$C$36=$Q$5)</formula>
    </cfRule>
  </conditionalFormatting>
  <conditionalFormatting sqref="E37:U37">
    <cfRule type="expression" dxfId="24" priority="24">
      <formula>AND($C$37=$Q$5,SUM($E$37:$U$37)&lt;&gt;$D$37)</formula>
    </cfRule>
  </conditionalFormatting>
  <conditionalFormatting sqref="E38:U38">
    <cfRule type="expression" dxfId="23" priority="25">
      <formula>AND($C$38=$Q$5,SUM($E$38:$U$38)&lt;&gt;$D$38)</formula>
    </cfRule>
  </conditionalFormatting>
  <conditionalFormatting sqref="E39:U39">
    <cfRule type="expression" dxfId="22" priority="26">
      <formula>AND($C$39=$Q$5,SUM($E$39:$U$39)&lt;&gt;$D$39)</formula>
    </cfRule>
  </conditionalFormatting>
  <conditionalFormatting sqref="E40:U42">
    <cfRule type="expression" dxfId="21" priority="27">
      <formula>AND($C40=$Q$5,SUM($E40:$U40)&lt;&gt;$D40)</formula>
    </cfRule>
  </conditionalFormatting>
  <conditionalFormatting sqref="D6:D33">
    <cfRule type="expression" dxfId="20" priority="7">
      <formula>D6</formula>
    </cfRule>
  </conditionalFormatting>
  <conditionalFormatting sqref="C6:C42">
    <cfRule type="expression" dxfId="19" priority="5">
      <formula>$C6=$Q$6</formula>
    </cfRule>
    <cfRule type="expression" dxfId="18" priority="6">
      <formula>$C6=$Q$5</formula>
    </cfRule>
  </conditionalFormatting>
  <conditionalFormatting sqref="E2:H2">
    <cfRule type="expression" dxfId="17" priority="3">
      <formula>$H$2&lt;&gt;"Aceptado"</formula>
    </cfRule>
    <cfRule type="expression" dxfId="16" priority="4">
      <formula>$H$2="Aceptado"</formula>
    </cfRule>
  </conditionalFormatting>
  <conditionalFormatting sqref="E43:U43">
    <cfRule type="expression" dxfId="15" priority="2">
      <formula>E43&lt;0</formula>
    </cfRule>
  </conditionalFormatting>
  <conditionalFormatting sqref="E49:U49">
    <cfRule type="expression" dxfId="14" priority="1">
      <formula>E49&lt;0</formula>
    </cfRule>
  </conditionalFormatting>
  <dataValidations count="1">
    <dataValidation type="list" allowBlank="1" showInputMessage="1" showErrorMessage="1" sqref="C6:C8 C10:C42">
      <formula1>$Q$5:$Q$6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2</xdr:col>
                <xdr:colOff>15240</xdr:colOff>
                <xdr:row>3</xdr:row>
                <xdr:rowOff>7620</xdr:rowOff>
              </from>
              <to>
                <xdr:col>2</xdr:col>
                <xdr:colOff>731520</xdr:colOff>
                <xdr:row>3</xdr:row>
                <xdr:rowOff>335280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32" r:id="rId6" name="Button 16">
          <controlPr defaultSize="0" print="0" autoFill="0" autoPict="0" macro="[0]!calcular_depreciacion">
            <anchor moveWithCells="1" sizeWithCells="1">
              <from>
                <xdr:col>2</xdr:col>
                <xdr:colOff>0</xdr:colOff>
                <xdr:row>42</xdr:row>
                <xdr:rowOff>0</xdr:rowOff>
              </from>
              <to>
                <xdr:col>2</xdr:col>
                <xdr:colOff>784860</xdr:colOff>
                <xdr:row>43</xdr:row>
                <xdr:rowOff>68580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A1:AI1076"/>
  <sheetViews>
    <sheetView topLeftCell="A34" zoomScaleNormal="100" workbookViewId="0">
      <selection activeCell="E42" sqref="E42"/>
    </sheetView>
  </sheetViews>
  <sheetFormatPr baseColWidth="10" defaultRowHeight="14.4" x14ac:dyDescent="0.3"/>
  <cols>
    <col min="2" max="2" width="15.109375" bestFit="1" customWidth="1"/>
    <col min="3" max="3" width="19.6640625" customWidth="1"/>
    <col min="4" max="4" width="16" customWidth="1"/>
    <col min="5" max="5" width="16.109375" customWidth="1"/>
    <col min="6" max="6" width="17.109375" bestFit="1" customWidth="1"/>
    <col min="7" max="7" width="21.77734375" customWidth="1"/>
    <col min="9" max="9" width="15.109375" bestFit="1" customWidth="1"/>
    <col min="10" max="10" width="16" customWidth="1"/>
  </cols>
  <sheetData>
    <row r="1" spans="1:35" x14ac:dyDescent="0.3">
      <c r="A1" s="358" t="s">
        <v>204</v>
      </c>
      <c r="B1" s="358"/>
      <c r="C1" s="358"/>
      <c r="D1" s="358"/>
    </row>
    <row r="2" spans="1:35" x14ac:dyDescent="0.3">
      <c r="A2" s="358"/>
      <c r="B2" s="358"/>
      <c r="C2" s="358"/>
      <c r="D2" s="358"/>
    </row>
    <row r="3" spans="1:35" ht="15" thickBot="1" x14ac:dyDescent="0.35">
      <c r="A3" s="197" t="s">
        <v>47</v>
      </c>
      <c r="B3" s="195">
        <v>500</v>
      </c>
      <c r="E3">
        <v>12</v>
      </c>
    </row>
    <row r="4" spans="1:35" x14ac:dyDescent="0.3">
      <c r="A4" s="198" t="s">
        <v>140</v>
      </c>
      <c r="B4" s="8">
        <v>12</v>
      </c>
      <c r="C4" s="224" t="s">
        <v>155</v>
      </c>
      <c r="D4" s="222">
        <f>D8/B4</f>
        <v>10</v>
      </c>
      <c r="E4" s="229"/>
    </row>
    <row r="5" spans="1:35" ht="15" thickBot="1" x14ac:dyDescent="0.35">
      <c r="A5" s="198" t="s">
        <v>54</v>
      </c>
      <c r="B5" s="8">
        <v>9</v>
      </c>
      <c r="C5" s="225" t="s">
        <v>156</v>
      </c>
      <c r="D5" s="223">
        <f>B8*B4</f>
        <v>12</v>
      </c>
    </row>
    <row r="6" spans="1:35" x14ac:dyDescent="0.3">
      <c r="A6" s="198" t="s">
        <v>141</v>
      </c>
      <c r="B6" s="26">
        <v>1</v>
      </c>
      <c r="C6" s="226" t="s">
        <v>143</v>
      </c>
      <c r="D6" s="272">
        <f>PMT((B7/B4),(B4*B5),(-B3))</f>
        <v>6.6396763528114526</v>
      </c>
    </row>
    <row r="7" spans="1:35" x14ac:dyDescent="0.3">
      <c r="A7" s="198" t="s">
        <v>142</v>
      </c>
      <c r="B7" s="196">
        <v>8.5000000000000006E-2</v>
      </c>
      <c r="C7" s="227" t="s">
        <v>145</v>
      </c>
      <c r="D7" s="199">
        <f>B7/B4</f>
        <v>7.0833333333333338E-3</v>
      </c>
      <c r="G7" s="243"/>
    </row>
    <row r="8" spans="1:35" x14ac:dyDescent="0.3">
      <c r="A8" s="198" t="s">
        <v>28</v>
      </c>
      <c r="B8" s="29">
        <v>1</v>
      </c>
      <c r="C8" s="228" t="s">
        <v>144</v>
      </c>
      <c r="D8" s="29">
        <f>B5*B4+(B8*B4)</f>
        <v>120</v>
      </c>
    </row>
    <row r="9" spans="1:35" x14ac:dyDescent="0.3">
      <c r="B9" s="8"/>
      <c r="I9" s="229"/>
    </row>
    <row r="10" spans="1:35" x14ac:dyDescent="0.3">
      <c r="H10" s="359"/>
      <c r="I10" s="359"/>
      <c r="J10" s="359"/>
      <c r="K10" s="359"/>
    </row>
    <row r="11" spans="1:35" x14ac:dyDescent="0.3">
      <c r="A11" s="212" t="s">
        <v>144</v>
      </c>
      <c r="B11" s="206" t="s">
        <v>143</v>
      </c>
      <c r="C11" s="206" t="s">
        <v>146</v>
      </c>
      <c r="D11" s="206" t="s">
        <v>147</v>
      </c>
      <c r="E11" s="206" t="s">
        <v>148</v>
      </c>
      <c r="F11" s="207" t="s">
        <v>149</v>
      </c>
      <c r="G11" s="336"/>
      <c r="H11" s="267" t="s">
        <v>161</v>
      </c>
      <c r="I11" s="206" t="s">
        <v>152</v>
      </c>
      <c r="J11" s="206" t="s">
        <v>157</v>
      </c>
      <c r="K11" s="328" t="s">
        <v>203</v>
      </c>
      <c r="L11" s="326" t="s">
        <v>157</v>
      </c>
      <c r="M11" s="327"/>
      <c r="O11" s="318" t="s">
        <v>146</v>
      </c>
      <c r="P11" s="320">
        <v>42.5</v>
      </c>
      <c r="Q11" s="320">
        <v>41.02</v>
      </c>
      <c r="R11" s="320">
        <v>31.11</v>
      </c>
      <c r="S11" s="320">
        <v>11.34</v>
      </c>
      <c r="T11" s="320">
        <v>1.25</v>
      </c>
      <c r="U11" s="320">
        <v>0</v>
      </c>
      <c r="V11" s="320">
        <v>0</v>
      </c>
      <c r="W11" s="320">
        <v>0</v>
      </c>
      <c r="X11" s="320">
        <v>0</v>
      </c>
      <c r="Y11" s="320">
        <v>0</v>
      </c>
      <c r="Z11" s="319">
        <v>0</v>
      </c>
      <c r="AA11" s="319">
        <v>0</v>
      </c>
      <c r="AB11" s="319">
        <v>0</v>
      </c>
      <c r="AC11" s="319">
        <v>0</v>
      </c>
      <c r="AD11" s="319">
        <v>0</v>
      </c>
      <c r="AE11" s="319">
        <v>0</v>
      </c>
      <c r="AF11" s="319">
        <v>0</v>
      </c>
      <c r="AG11" s="319">
        <v>0</v>
      </c>
      <c r="AH11" s="319">
        <v>0</v>
      </c>
      <c r="AI11" s="319">
        <v>0</v>
      </c>
    </row>
    <row r="12" spans="1:35" x14ac:dyDescent="0.3">
      <c r="A12" s="208">
        <v>0</v>
      </c>
      <c r="B12" s="203">
        <f>0</f>
        <v>0</v>
      </c>
      <c r="C12" s="204">
        <v>0</v>
      </c>
      <c r="D12" s="203">
        <f>0</f>
        <v>0</v>
      </c>
      <c r="E12" s="203">
        <f>0</f>
        <v>0</v>
      </c>
      <c r="F12" s="201">
        <f>B3</f>
        <v>500</v>
      </c>
      <c r="G12" s="315"/>
      <c r="H12" s="5" t="s">
        <v>155</v>
      </c>
      <c r="I12" s="274">
        <v>500</v>
      </c>
      <c r="J12" s="321">
        <v>127.21680000000001</v>
      </c>
      <c r="K12" s="323">
        <f>SUM(K13:K322)</f>
        <v>1</v>
      </c>
      <c r="L12" s="325">
        <f>SUM(L13:L629)</f>
        <v>127.21000000000001</v>
      </c>
      <c r="M12" s="193"/>
      <c r="O12" s="318" t="s">
        <v>152</v>
      </c>
      <c r="P12" s="319">
        <v>0</v>
      </c>
      <c r="Q12" s="319">
        <v>38.65</v>
      </c>
      <c r="R12" s="319">
        <v>198.56</v>
      </c>
      <c r="S12" s="319">
        <v>218.35</v>
      </c>
      <c r="T12" s="319">
        <v>44.44</v>
      </c>
      <c r="U12" s="319">
        <v>0</v>
      </c>
      <c r="V12" s="319">
        <v>0</v>
      </c>
      <c r="W12" s="319">
        <v>0</v>
      </c>
      <c r="X12" s="319">
        <v>0</v>
      </c>
      <c r="Y12" s="319">
        <v>0</v>
      </c>
      <c r="Z12" s="319">
        <v>0</v>
      </c>
      <c r="AA12" s="319">
        <v>0</v>
      </c>
      <c r="AB12" s="319">
        <v>0</v>
      </c>
      <c r="AC12" s="319">
        <v>0</v>
      </c>
      <c r="AD12" s="319">
        <v>0</v>
      </c>
      <c r="AE12" s="319">
        <v>0</v>
      </c>
      <c r="AF12" s="319">
        <v>0</v>
      </c>
      <c r="AG12" s="319">
        <v>0</v>
      </c>
      <c r="AH12" s="319">
        <v>0</v>
      </c>
      <c r="AI12" s="319">
        <v>0</v>
      </c>
    </row>
    <row r="13" spans="1:35" x14ac:dyDescent="0.3">
      <c r="A13" s="209">
        <v>1</v>
      </c>
      <c r="B13" s="213">
        <v>6.64</v>
      </c>
      <c r="C13" s="193">
        <v>3.541666666666667</v>
      </c>
      <c r="D13" s="215">
        <v>0</v>
      </c>
      <c r="E13" s="205">
        <v>0</v>
      </c>
      <c r="F13" s="214">
        <v>500</v>
      </c>
      <c r="G13" s="315"/>
      <c r="H13" s="8">
        <v>1</v>
      </c>
      <c r="I13" s="242">
        <v>0</v>
      </c>
      <c r="J13" s="322">
        <v>42.500399999999999</v>
      </c>
      <c r="K13" s="282">
        <v>1</v>
      </c>
      <c r="L13" s="236">
        <v>28.33</v>
      </c>
      <c r="M13" s="193"/>
      <c r="O13" s="311"/>
    </row>
    <row r="14" spans="1:35" x14ac:dyDescent="0.3">
      <c r="A14" s="209">
        <v>2</v>
      </c>
      <c r="B14" s="213">
        <v>6.64</v>
      </c>
      <c r="C14" s="193">
        <v>3.541666666666667</v>
      </c>
      <c r="D14" s="215">
        <v>0</v>
      </c>
      <c r="E14" s="205">
        <v>0</v>
      </c>
      <c r="F14" s="214">
        <v>500</v>
      </c>
      <c r="G14" s="315"/>
      <c r="H14" s="8">
        <v>2</v>
      </c>
      <c r="I14" s="242">
        <v>38.65</v>
      </c>
      <c r="J14" s="322">
        <v>41.017299999999999</v>
      </c>
      <c r="K14" s="282"/>
      <c r="L14" s="236">
        <v>41.88</v>
      </c>
      <c r="M14" s="193"/>
      <c r="O14" s="326" t="s">
        <v>146</v>
      </c>
      <c r="P14" s="320">
        <v>28.33</v>
      </c>
      <c r="Q14" s="320">
        <v>41.88</v>
      </c>
      <c r="R14" s="320">
        <v>36.64</v>
      </c>
      <c r="S14" s="320">
        <v>17.41</v>
      </c>
      <c r="T14" s="320">
        <v>2.95</v>
      </c>
      <c r="U14" s="320"/>
      <c r="V14" s="319"/>
      <c r="W14" s="319"/>
      <c r="X14" s="319"/>
      <c r="Y14" s="319"/>
      <c r="Z14" s="319">
        <v>0</v>
      </c>
      <c r="AA14" s="319">
        <v>0</v>
      </c>
      <c r="AB14" s="319">
        <v>0</v>
      </c>
      <c r="AC14" s="319">
        <v>0</v>
      </c>
      <c r="AD14" s="319">
        <v>0</v>
      </c>
      <c r="AE14" s="319">
        <v>0</v>
      </c>
      <c r="AF14" s="319">
        <v>0</v>
      </c>
      <c r="AG14" s="319">
        <v>0</v>
      </c>
      <c r="AH14" s="319">
        <v>0</v>
      </c>
      <c r="AI14" s="319">
        <v>0</v>
      </c>
    </row>
    <row r="15" spans="1:35" x14ac:dyDescent="0.3">
      <c r="A15" s="209">
        <v>3</v>
      </c>
      <c r="B15" s="213">
        <v>6.64</v>
      </c>
      <c r="C15" s="193">
        <v>3.541666666666667</v>
      </c>
      <c r="D15" s="215">
        <v>0</v>
      </c>
      <c r="E15" s="205">
        <v>0</v>
      </c>
      <c r="F15" s="214">
        <v>500</v>
      </c>
      <c r="G15" s="315"/>
      <c r="H15" s="8">
        <v>3</v>
      </c>
      <c r="I15" s="242">
        <v>198.56</v>
      </c>
      <c r="J15" s="322">
        <v>31.111699999999999</v>
      </c>
      <c r="K15" s="282"/>
      <c r="L15" s="236">
        <v>36.64</v>
      </c>
      <c r="M15" s="193"/>
      <c r="O15" s="326" t="s">
        <v>152</v>
      </c>
      <c r="P15" s="319">
        <v>1</v>
      </c>
      <c r="Q15" s="319">
        <v>0</v>
      </c>
      <c r="R15" s="319">
        <v>0</v>
      </c>
      <c r="S15" s="319">
        <v>0</v>
      </c>
      <c r="T15" s="319">
        <v>0</v>
      </c>
      <c r="U15" s="319">
        <v>0</v>
      </c>
      <c r="V15" s="319">
        <v>0</v>
      </c>
      <c r="W15" s="319">
        <v>0</v>
      </c>
      <c r="X15" s="319">
        <v>0</v>
      </c>
      <c r="Y15" s="319">
        <v>0</v>
      </c>
      <c r="Z15" s="319">
        <v>0</v>
      </c>
      <c r="AA15" s="319">
        <v>0</v>
      </c>
      <c r="AB15" s="319">
        <v>0</v>
      </c>
      <c r="AC15" s="319">
        <v>0</v>
      </c>
      <c r="AD15" s="319">
        <v>0</v>
      </c>
      <c r="AE15" s="319">
        <v>0</v>
      </c>
      <c r="AF15" s="319">
        <v>0</v>
      </c>
      <c r="AG15" s="319">
        <v>0</v>
      </c>
      <c r="AH15" s="319">
        <v>0</v>
      </c>
      <c r="AI15" s="319">
        <v>0</v>
      </c>
    </row>
    <row r="16" spans="1:35" x14ac:dyDescent="0.3">
      <c r="A16" s="209">
        <v>4</v>
      </c>
      <c r="B16" s="213">
        <v>6.64</v>
      </c>
      <c r="C16" s="193">
        <v>3.541666666666667</v>
      </c>
      <c r="D16" s="215">
        <v>0</v>
      </c>
      <c r="E16" s="205">
        <v>0</v>
      </c>
      <c r="F16" s="214">
        <v>500</v>
      </c>
      <c r="G16" s="315"/>
      <c r="H16" s="8">
        <v>4</v>
      </c>
      <c r="I16" s="242">
        <v>218.35</v>
      </c>
      <c r="J16" s="322">
        <v>11.335699999999999</v>
      </c>
      <c r="K16" s="282"/>
      <c r="L16" s="236">
        <v>17.41</v>
      </c>
      <c r="M16" s="193"/>
    </row>
    <row r="17" spans="1:13" x14ac:dyDescent="0.3">
      <c r="A17" s="209">
        <v>5</v>
      </c>
      <c r="B17" s="213">
        <v>6.64</v>
      </c>
      <c r="C17" s="193">
        <v>3.541666666666667</v>
      </c>
      <c r="D17" s="215">
        <v>0</v>
      </c>
      <c r="E17" s="205">
        <v>0</v>
      </c>
      <c r="F17" s="214">
        <v>500</v>
      </c>
      <c r="G17" s="315"/>
      <c r="H17" s="8">
        <v>5</v>
      </c>
      <c r="I17" s="242">
        <v>44.44</v>
      </c>
      <c r="J17" s="322">
        <v>1.2517</v>
      </c>
      <c r="K17" s="282"/>
      <c r="L17" s="236">
        <v>2.95</v>
      </c>
      <c r="M17" s="193"/>
    </row>
    <row r="18" spans="1:13" x14ac:dyDescent="0.3">
      <c r="A18" s="209">
        <v>6</v>
      </c>
      <c r="B18" s="213">
        <v>6.64</v>
      </c>
      <c r="C18" s="193">
        <v>3.541666666666667</v>
      </c>
      <c r="D18" s="215">
        <v>0</v>
      </c>
      <c r="E18" s="205">
        <v>0</v>
      </c>
      <c r="F18" s="214">
        <v>500</v>
      </c>
      <c r="G18" s="315"/>
      <c r="H18" s="8">
        <v>6</v>
      </c>
      <c r="I18" s="242">
        <v>0</v>
      </c>
      <c r="J18" s="322">
        <v>0</v>
      </c>
      <c r="K18" s="282"/>
      <c r="L18" s="236"/>
      <c r="M18" s="193"/>
    </row>
    <row r="19" spans="1:13" x14ac:dyDescent="0.3">
      <c r="A19" s="209">
        <v>7</v>
      </c>
      <c r="B19" s="213">
        <v>6.64</v>
      </c>
      <c r="C19" s="193">
        <v>3.541666666666667</v>
      </c>
      <c r="D19" s="215">
        <v>0</v>
      </c>
      <c r="E19" s="205">
        <v>0</v>
      </c>
      <c r="F19" s="214">
        <v>500</v>
      </c>
      <c r="G19" s="315"/>
      <c r="H19" s="8">
        <v>7</v>
      </c>
      <c r="I19" s="242">
        <v>0</v>
      </c>
      <c r="J19" s="322">
        <v>0</v>
      </c>
      <c r="K19" s="282"/>
      <c r="L19" s="236"/>
      <c r="M19" s="193"/>
    </row>
    <row r="20" spans="1:13" x14ac:dyDescent="0.3">
      <c r="A20" s="209">
        <v>8</v>
      </c>
      <c r="B20" s="213">
        <v>6.64</v>
      </c>
      <c r="C20" s="193">
        <v>3.541666666666667</v>
      </c>
      <c r="D20" s="215">
        <v>0</v>
      </c>
      <c r="E20" s="205">
        <v>0</v>
      </c>
      <c r="F20" s="214">
        <v>500</v>
      </c>
      <c r="G20" s="315"/>
      <c r="H20" s="8">
        <v>8</v>
      </c>
      <c r="I20" s="242">
        <v>0</v>
      </c>
      <c r="J20" s="322">
        <v>0</v>
      </c>
      <c r="K20" s="282"/>
      <c r="L20" s="236"/>
      <c r="M20" s="193"/>
    </row>
    <row r="21" spans="1:13" x14ac:dyDescent="0.3">
      <c r="A21" s="209">
        <v>9</v>
      </c>
      <c r="B21" s="213">
        <v>6.64</v>
      </c>
      <c r="C21" s="193">
        <v>3.541666666666667</v>
      </c>
      <c r="D21" s="215">
        <v>0</v>
      </c>
      <c r="E21" s="205">
        <v>0</v>
      </c>
      <c r="F21" s="214">
        <v>500</v>
      </c>
      <c r="G21" s="315"/>
      <c r="H21" s="8">
        <v>9</v>
      </c>
      <c r="I21" s="242">
        <v>0</v>
      </c>
      <c r="J21" s="322">
        <v>0</v>
      </c>
      <c r="K21" s="282"/>
      <c r="L21" s="236"/>
      <c r="M21" s="193"/>
    </row>
    <row r="22" spans="1:13" x14ac:dyDescent="0.3">
      <c r="A22" s="209">
        <v>10</v>
      </c>
      <c r="B22" s="213">
        <v>6.64</v>
      </c>
      <c r="C22" s="193">
        <v>3.541666666666667</v>
      </c>
      <c r="D22" s="215">
        <v>0</v>
      </c>
      <c r="E22" s="205">
        <v>0</v>
      </c>
      <c r="F22" s="214">
        <v>500</v>
      </c>
      <c r="G22" s="315"/>
      <c r="H22" s="8">
        <v>10</v>
      </c>
      <c r="I22" s="242">
        <v>0</v>
      </c>
      <c r="J22" s="322">
        <v>0</v>
      </c>
      <c r="K22" s="282"/>
      <c r="L22" s="236"/>
      <c r="M22" s="193"/>
    </row>
    <row r="23" spans="1:13" x14ac:dyDescent="0.3">
      <c r="A23" s="209">
        <v>11</v>
      </c>
      <c r="B23" s="213">
        <v>6.64</v>
      </c>
      <c r="C23" s="193">
        <v>3.541666666666667</v>
      </c>
      <c r="D23" s="215">
        <v>0</v>
      </c>
      <c r="E23" s="205">
        <v>0</v>
      </c>
      <c r="F23" s="214">
        <v>500</v>
      </c>
      <c r="H23" s="8"/>
      <c r="I23" s="242"/>
      <c r="J23" s="282"/>
      <c r="K23" s="282"/>
      <c r="L23" s="236"/>
      <c r="M23" s="193"/>
    </row>
    <row r="24" spans="1:13" x14ac:dyDescent="0.3">
      <c r="A24" s="209">
        <v>12</v>
      </c>
      <c r="B24" s="213">
        <v>6.64</v>
      </c>
      <c r="C24" s="193">
        <v>3.541666666666667</v>
      </c>
      <c r="D24" s="215">
        <v>0</v>
      </c>
      <c r="E24" s="205">
        <v>0</v>
      </c>
      <c r="F24" s="214">
        <v>500</v>
      </c>
      <c r="G24" t="str">
        <f t="shared" ref="G24:G87" si="0">IF($B$5="","",IF(ROW(A14)&gt;$B$5+$B$8,"",ROW(A14)))</f>
        <v/>
      </c>
      <c r="H24" s="8"/>
      <c r="I24" s="242"/>
      <c r="J24" s="282"/>
      <c r="K24" s="282"/>
      <c r="L24" s="236"/>
      <c r="M24" s="193"/>
    </row>
    <row r="25" spans="1:13" x14ac:dyDescent="0.3">
      <c r="A25" s="209">
        <v>13</v>
      </c>
      <c r="B25" s="213">
        <v>6.64</v>
      </c>
      <c r="C25" s="193">
        <v>3.541666666666667</v>
      </c>
      <c r="D25" s="215">
        <v>3.1</v>
      </c>
      <c r="E25" s="205">
        <v>0</v>
      </c>
      <c r="F25" s="214">
        <v>496.9</v>
      </c>
      <c r="G25" t="str">
        <f t="shared" si="0"/>
        <v/>
      </c>
      <c r="H25" s="8"/>
      <c r="I25" s="242"/>
      <c r="J25" s="282"/>
      <c r="K25" s="282"/>
      <c r="L25" s="236"/>
      <c r="M25" s="193"/>
    </row>
    <row r="26" spans="1:13" x14ac:dyDescent="0.3">
      <c r="A26" s="209">
        <v>14</v>
      </c>
      <c r="B26" s="213">
        <v>6.64</v>
      </c>
      <c r="C26" s="193">
        <v>3.5197083333333334</v>
      </c>
      <c r="D26" s="215">
        <v>3.12</v>
      </c>
      <c r="E26" s="205">
        <v>0</v>
      </c>
      <c r="F26" s="214">
        <v>493.78</v>
      </c>
      <c r="G26" t="str">
        <f t="shared" si="0"/>
        <v/>
      </c>
      <c r="H26" s="8"/>
      <c r="I26" s="236"/>
      <c r="J26" s="282"/>
      <c r="K26" s="282"/>
      <c r="L26" s="236"/>
      <c r="M26" s="193"/>
    </row>
    <row r="27" spans="1:13" x14ac:dyDescent="0.3">
      <c r="A27" s="209">
        <v>15</v>
      </c>
      <c r="B27" s="213">
        <v>6.64</v>
      </c>
      <c r="C27" s="193">
        <v>3.4976083333333334</v>
      </c>
      <c r="D27" s="215">
        <v>3.14</v>
      </c>
      <c r="E27" s="205">
        <v>0</v>
      </c>
      <c r="F27" s="214">
        <v>490.64</v>
      </c>
      <c r="G27" t="str">
        <f t="shared" si="0"/>
        <v/>
      </c>
      <c r="H27" s="8"/>
      <c r="I27" s="236"/>
      <c r="J27" s="282"/>
      <c r="K27" s="282"/>
      <c r="L27" s="236"/>
      <c r="M27" s="193"/>
    </row>
    <row r="28" spans="1:13" x14ac:dyDescent="0.3">
      <c r="A28" s="209">
        <v>16</v>
      </c>
      <c r="B28" s="213">
        <v>6.64</v>
      </c>
      <c r="C28" s="193">
        <v>3.4753666666666669</v>
      </c>
      <c r="D28" s="215">
        <v>3.16</v>
      </c>
      <c r="E28" s="205">
        <v>0</v>
      </c>
      <c r="F28" s="214">
        <v>487.47999999999996</v>
      </c>
      <c r="G28" t="str">
        <f t="shared" si="0"/>
        <v/>
      </c>
      <c r="H28" s="8"/>
      <c r="I28" s="236"/>
      <c r="J28" s="282"/>
      <c r="K28" s="282"/>
      <c r="L28" s="236"/>
      <c r="M28" s="193"/>
    </row>
    <row r="29" spans="1:13" x14ac:dyDescent="0.3">
      <c r="A29" s="209">
        <v>17</v>
      </c>
      <c r="B29" s="213">
        <v>6.64</v>
      </c>
      <c r="C29" s="193">
        <v>3.4529833333333335</v>
      </c>
      <c r="D29" s="215">
        <v>3.19</v>
      </c>
      <c r="E29" s="205">
        <v>0</v>
      </c>
      <c r="F29" s="214">
        <v>484.29</v>
      </c>
      <c r="G29" t="str">
        <f t="shared" si="0"/>
        <v/>
      </c>
      <c r="H29" s="8"/>
      <c r="I29" s="236"/>
      <c r="J29" s="282"/>
      <c r="K29" s="282"/>
      <c r="L29" s="236"/>
      <c r="M29" s="193"/>
    </row>
    <row r="30" spans="1:13" x14ac:dyDescent="0.3">
      <c r="A30" s="209">
        <v>18</v>
      </c>
      <c r="B30" s="213">
        <v>6.64</v>
      </c>
      <c r="C30" s="193">
        <v>3.4303875000000006</v>
      </c>
      <c r="D30" s="215">
        <v>3.21</v>
      </c>
      <c r="E30" s="205">
        <v>0</v>
      </c>
      <c r="F30" s="214">
        <v>481.08000000000004</v>
      </c>
      <c r="G30" t="str">
        <f t="shared" si="0"/>
        <v/>
      </c>
      <c r="H30" s="8"/>
      <c r="I30" s="236"/>
      <c r="J30" s="282"/>
      <c r="K30" s="282"/>
      <c r="L30" s="236"/>
      <c r="M30" s="193"/>
    </row>
    <row r="31" spans="1:13" x14ac:dyDescent="0.3">
      <c r="A31" s="209">
        <v>19</v>
      </c>
      <c r="B31" s="213">
        <v>6.64</v>
      </c>
      <c r="C31" s="193">
        <v>3.4076500000000007</v>
      </c>
      <c r="D31" s="215">
        <v>3.23</v>
      </c>
      <c r="E31" s="205">
        <v>0</v>
      </c>
      <c r="F31" s="214">
        <v>477.84999999999997</v>
      </c>
      <c r="G31" t="str">
        <f t="shared" si="0"/>
        <v/>
      </c>
      <c r="H31" s="8"/>
      <c r="I31" s="236"/>
      <c r="J31" s="282"/>
      <c r="K31" s="282"/>
      <c r="L31" s="236"/>
      <c r="M31" s="193"/>
    </row>
    <row r="32" spans="1:13" x14ac:dyDescent="0.3">
      <c r="A32" s="209">
        <v>20</v>
      </c>
      <c r="B32" s="213">
        <v>6.64</v>
      </c>
      <c r="C32" s="193">
        <v>3.3847708333333335</v>
      </c>
      <c r="D32" s="215">
        <v>3.25</v>
      </c>
      <c r="E32" s="205">
        <v>0</v>
      </c>
      <c r="F32" s="214">
        <v>474.6</v>
      </c>
      <c r="G32" t="str">
        <f t="shared" si="0"/>
        <v/>
      </c>
      <c r="H32" s="8"/>
      <c r="I32" s="236"/>
      <c r="J32" s="282"/>
      <c r="K32" s="282"/>
      <c r="L32" s="236"/>
      <c r="M32" s="193"/>
    </row>
    <row r="33" spans="1:13" x14ac:dyDescent="0.3">
      <c r="A33" s="209">
        <v>21</v>
      </c>
      <c r="B33" s="213">
        <v>6.64</v>
      </c>
      <c r="C33" s="193">
        <v>3.3617500000000002</v>
      </c>
      <c r="D33" s="215">
        <v>3.28</v>
      </c>
      <c r="E33" s="205">
        <v>0</v>
      </c>
      <c r="F33" s="214">
        <v>471.32000000000005</v>
      </c>
      <c r="G33" t="str">
        <f t="shared" si="0"/>
        <v/>
      </c>
      <c r="H33" s="8"/>
      <c r="I33" s="236"/>
      <c r="J33" s="282"/>
      <c r="K33" s="282"/>
      <c r="L33" s="236"/>
      <c r="M33" s="193"/>
    </row>
    <row r="34" spans="1:13" x14ac:dyDescent="0.3">
      <c r="A34" s="209">
        <v>22</v>
      </c>
      <c r="B34" s="213">
        <v>6.64</v>
      </c>
      <c r="C34" s="193">
        <v>3.3385166666666675</v>
      </c>
      <c r="D34" s="215">
        <v>3.3</v>
      </c>
      <c r="E34" s="205">
        <v>0</v>
      </c>
      <c r="F34" s="214">
        <v>468.02</v>
      </c>
      <c r="G34" t="str">
        <f t="shared" si="0"/>
        <v/>
      </c>
      <c r="H34" s="8"/>
      <c r="I34" s="236"/>
      <c r="J34" s="282"/>
      <c r="K34" s="282"/>
      <c r="L34" s="236"/>
      <c r="M34" s="193"/>
    </row>
    <row r="35" spans="1:13" x14ac:dyDescent="0.3">
      <c r="A35" s="209">
        <v>23</v>
      </c>
      <c r="B35" s="213">
        <v>6.64</v>
      </c>
      <c r="C35" s="193">
        <v>3.3151416666666669</v>
      </c>
      <c r="D35" s="215">
        <v>3.32</v>
      </c>
      <c r="E35" s="205">
        <v>0</v>
      </c>
      <c r="F35" s="214">
        <v>464.7</v>
      </c>
      <c r="G35" t="str">
        <f t="shared" si="0"/>
        <v/>
      </c>
      <c r="H35" s="8"/>
      <c r="I35" s="236"/>
      <c r="J35" s="282"/>
      <c r="K35" s="282"/>
      <c r="L35" s="236"/>
      <c r="M35" s="193"/>
    </row>
    <row r="36" spans="1:13" x14ac:dyDescent="0.3">
      <c r="A36" s="209">
        <v>24</v>
      </c>
      <c r="B36" s="213">
        <v>6.64</v>
      </c>
      <c r="C36" s="193">
        <v>3.2916250000000002</v>
      </c>
      <c r="D36" s="215">
        <v>3.35</v>
      </c>
      <c r="E36" s="205">
        <v>0</v>
      </c>
      <c r="F36" s="214">
        <v>461.34999999999997</v>
      </c>
      <c r="G36" t="str">
        <f t="shared" si="0"/>
        <v/>
      </c>
      <c r="H36" s="8"/>
      <c r="I36" s="236"/>
      <c r="J36" s="282"/>
      <c r="K36" s="282"/>
      <c r="L36" s="236"/>
      <c r="M36" s="193"/>
    </row>
    <row r="37" spans="1:13" x14ac:dyDescent="0.3">
      <c r="A37" s="209">
        <v>25</v>
      </c>
      <c r="B37" s="213">
        <v>6.64</v>
      </c>
      <c r="C37" s="193">
        <v>3.2678958333333332</v>
      </c>
      <c r="D37" s="215">
        <v>3.37</v>
      </c>
      <c r="E37" s="205">
        <v>0</v>
      </c>
      <c r="F37" s="214">
        <v>457.98</v>
      </c>
      <c r="G37" t="str">
        <f t="shared" si="0"/>
        <v/>
      </c>
      <c r="H37" s="8"/>
      <c r="I37" s="236"/>
      <c r="J37" s="282"/>
      <c r="K37" s="282"/>
      <c r="L37" s="236"/>
      <c r="M37" s="193"/>
    </row>
    <row r="38" spans="1:13" x14ac:dyDescent="0.3">
      <c r="A38" s="209">
        <v>26</v>
      </c>
      <c r="B38" s="213">
        <v>6.64</v>
      </c>
      <c r="C38" s="193">
        <v>3.2440250000000002</v>
      </c>
      <c r="D38" s="215">
        <v>3.4</v>
      </c>
      <c r="E38" s="205">
        <v>0</v>
      </c>
      <c r="F38" s="214">
        <v>454.58000000000004</v>
      </c>
      <c r="G38" t="str">
        <f t="shared" si="0"/>
        <v/>
      </c>
      <c r="H38" s="8"/>
      <c r="I38" s="236"/>
      <c r="J38" s="282"/>
      <c r="K38" s="282"/>
      <c r="L38" s="236"/>
      <c r="M38" s="193"/>
    </row>
    <row r="39" spans="1:13" x14ac:dyDescent="0.3">
      <c r="A39" s="209">
        <v>27</v>
      </c>
      <c r="B39" s="213">
        <v>6.64</v>
      </c>
      <c r="C39" s="193">
        <v>3.2199416666666671</v>
      </c>
      <c r="D39" s="215">
        <v>3.42</v>
      </c>
      <c r="E39" s="205">
        <v>0</v>
      </c>
      <c r="F39" s="214">
        <v>451.15999999999997</v>
      </c>
      <c r="G39" t="str">
        <f t="shared" si="0"/>
        <v/>
      </c>
      <c r="H39" s="8"/>
      <c r="I39" s="236"/>
      <c r="J39" s="282"/>
      <c r="K39" s="282"/>
      <c r="L39" s="236"/>
      <c r="M39" s="193"/>
    </row>
    <row r="40" spans="1:13" x14ac:dyDescent="0.3">
      <c r="A40" s="209">
        <v>28</v>
      </c>
      <c r="B40" s="213">
        <v>6.64</v>
      </c>
      <c r="C40" s="193">
        <v>3.1957166666666668</v>
      </c>
      <c r="D40" s="215">
        <v>3.44</v>
      </c>
      <c r="E40" s="205">
        <v>0</v>
      </c>
      <c r="F40" s="214">
        <v>447.72</v>
      </c>
      <c r="G40" t="str">
        <f t="shared" si="0"/>
        <v/>
      </c>
      <c r="H40" s="8"/>
      <c r="I40" s="236"/>
      <c r="J40" s="282"/>
      <c r="K40" s="282"/>
      <c r="L40" s="236"/>
      <c r="M40" s="193"/>
    </row>
    <row r="41" spans="1:13" x14ac:dyDescent="0.3">
      <c r="A41" s="209">
        <v>29</v>
      </c>
      <c r="B41" s="213">
        <v>6.64</v>
      </c>
      <c r="C41" s="193">
        <v>3.1713500000000003</v>
      </c>
      <c r="D41" s="215">
        <v>3.47</v>
      </c>
      <c r="E41" s="205">
        <v>0</v>
      </c>
      <c r="F41" s="214">
        <v>444.25</v>
      </c>
      <c r="G41" t="str">
        <f t="shared" si="0"/>
        <v/>
      </c>
      <c r="H41" s="8"/>
      <c r="I41" s="236"/>
      <c r="J41" s="282"/>
      <c r="K41" s="282"/>
      <c r="L41" s="236"/>
      <c r="M41" s="193"/>
    </row>
    <row r="42" spans="1:13" x14ac:dyDescent="0.3">
      <c r="A42" s="209">
        <v>30</v>
      </c>
      <c r="B42" s="213">
        <v>6.64</v>
      </c>
      <c r="C42" s="193">
        <v>3.1467708333333335</v>
      </c>
      <c r="D42" s="215">
        <v>3.49</v>
      </c>
      <c r="E42" s="205">
        <v>150</v>
      </c>
      <c r="F42" s="214">
        <v>290.76</v>
      </c>
      <c r="G42" t="str">
        <f t="shared" si="0"/>
        <v/>
      </c>
      <c r="H42" s="8"/>
      <c r="I42" s="236"/>
      <c r="J42" s="282"/>
      <c r="K42" s="282"/>
      <c r="L42" s="236"/>
      <c r="M42" s="193"/>
    </row>
    <row r="43" spans="1:13" x14ac:dyDescent="0.3">
      <c r="A43" s="209">
        <v>31</v>
      </c>
      <c r="B43" s="213">
        <v>6.64</v>
      </c>
      <c r="C43" s="193">
        <v>2.0595294583333335</v>
      </c>
      <c r="D43" s="215">
        <v>4.58</v>
      </c>
      <c r="E43" s="205">
        <v>0</v>
      </c>
      <c r="F43" s="214">
        <v>286.18</v>
      </c>
      <c r="G43" t="str">
        <f t="shared" si="0"/>
        <v/>
      </c>
      <c r="H43" s="8"/>
      <c r="I43" s="236"/>
      <c r="J43" s="282"/>
      <c r="K43" s="282"/>
      <c r="L43" s="236"/>
      <c r="M43" s="193"/>
    </row>
    <row r="44" spans="1:13" x14ac:dyDescent="0.3">
      <c r="A44" s="209">
        <v>32</v>
      </c>
      <c r="B44" s="213">
        <v>6.64</v>
      </c>
      <c r="C44" s="193">
        <v>2.0271083333333335</v>
      </c>
      <c r="D44" s="215">
        <v>4.6100000000000003</v>
      </c>
      <c r="E44" s="205">
        <v>0</v>
      </c>
      <c r="F44" s="214">
        <v>281.57</v>
      </c>
      <c r="G44" t="str">
        <f t="shared" si="0"/>
        <v/>
      </c>
      <c r="H44" s="8"/>
      <c r="I44" s="236"/>
      <c r="J44" s="282"/>
      <c r="K44" s="282"/>
      <c r="L44" s="236"/>
      <c r="M44" s="193"/>
    </row>
    <row r="45" spans="1:13" x14ac:dyDescent="0.3">
      <c r="A45" s="209">
        <v>33</v>
      </c>
      <c r="B45" s="213">
        <v>6.64</v>
      </c>
      <c r="C45" s="193">
        <v>1.9944541666666669</v>
      </c>
      <c r="D45" s="215">
        <v>4.6500000000000004</v>
      </c>
      <c r="E45" s="205">
        <v>0</v>
      </c>
      <c r="F45" s="214">
        <v>276.92</v>
      </c>
      <c r="G45" t="str">
        <f t="shared" si="0"/>
        <v/>
      </c>
      <c r="H45" s="8"/>
      <c r="I45" s="236"/>
      <c r="J45" s="282"/>
      <c r="K45" s="282"/>
      <c r="L45" s="236"/>
      <c r="M45" s="193"/>
    </row>
    <row r="46" spans="1:13" x14ac:dyDescent="0.3">
      <c r="A46" s="209">
        <v>34</v>
      </c>
      <c r="B46" s="213">
        <v>6.64</v>
      </c>
      <c r="C46" s="193">
        <v>1.961516666666667</v>
      </c>
      <c r="D46" s="215">
        <v>4.68</v>
      </c>
      <c r="E46" s="205">
        <v>0</v>
      </c>
      <c r="F46" s="214">
        <v>272.24</v>
      </c>
      <c r="G46" t="str">
        <f t="shared" si="0"/>
        <v/>
      </c>
      <c r="H46" s="8"/>
      <c r="I46" s="236"/>
      <c r="J46" s="282"/>
      <c r="K46" s="282"/>
      <c r="L46" s="236"/>
      <c r="M46" s="193"/>
    </row>
    <row r="47" spans="1:13" x14ac:dyDescent="0.3">
      <c r="A47" s="209">
        <v>35</v>
      </c>
      <c r="B47" s="213">
        <v>6.64</v>
      </c>
      <c r="C47" s="193">
        <v>1.9283666666666668</v>
      </c>
      <c r="D47" s="215">
        <v>4.71</v>
      </c>
      <c r="E47" s="205">
        <v>0</v>
      </c>
      <c r="F47" s="214">
        <v>267.53000000000003</v>
      </c>
      <c r="G47" t="str">
        <f t="shared" si="0"/>
        <v/>
      </c>
      <c r="H47" s="8"/>
      <c r="I47" s="236"/>
      <c r="J47" s="282"/>
      <c r="K47" s="282"/>
      <c r="L47" s="236"/>
      <c r="M47" s="193"/>
    </row>
    <row r="48" spans="1:13" x14ac:dyDescent="0.3">
      <c r="A48" s="209">
        <v>36</v>
      </c>
      <c r="B48" s="213">
        <v>6.64</v>
      </c>
      <c r="C48" s="193">
        <v>1.895004166666667</v>
      </c>
      <c r="D48" s="215">
        <v>4.74</v>
      </c>
      <c r="E48" s="205">
        <v>0</v>
      </c>
      <c r="F48" s="214">
        <v>262.78999999999996</v>
      </c>
      <c r="G48" s="229"/>
      <c r="H48" s="8"/>
      <c r="I48" s="236"/>
      <c r="J48" s="282"/>
      <c r="K48" s="282"/>
      <c r="L48" s="236"/>
      <c r="M48" s="193"/>
    </row>
    <row r="49" spans="1:13" x14ac:dyDescent="0.3">
      <c r="A49" s="209">
        <v>37</v>
      </c>
      <c r="B49" s="213">
        <v>6.64</v>
      </c>
      <c r="C49" s="193">
        <v>1.8614291666666665</v>
      </c>
      <c r="D49" s="215">
        <v>4.78</v>
      </c>
      <c r="E49" s="205">
        <v>0</v>
      </c>
      <c r="F49" s="214">
        <v>258.01000000000005</v>
      </c>
      <c r="H49" s="8"/>
      <c r="I49" s="236"/>
      <c r="J49" s="282"/>
      <c r="K49" s="282"/>
      <c r="L49" s="236"/>
      <c r="M49" s="193"/>
    </row>
    <row r="50" spans="1:13" x14ac:dyDescent="0.3">
      <c r="A50" s="209">
        <v>38</v>
      </c>
      <c r="B50" s="213">
        <v>6.64</v>
      </c>
      <c r="C50" s="193">
        <v>1.8275708333333338</v>
      </c>
      <c r="D50" s="215">
        <v>4.8099999999999996</v>
      </c>
      <c r="E50" s="205">
        <v>0</v>
      </c>
      <c r="F50" s="214">
        <v>253.2</v>
      </c>
      <c r="G50" s="278"/>
      <c r="H50" s="8"/>
      <c r="I50" s="236"/>
      <c r="J50" s="282"/>
      <c r="K50" s="282"/>
      <c r="L50" s="236"/>
      <c r="M50" s="193"/>
    </row>
    <row r="51" spans="1:13" x14ac:dyDescent="0.3">
      <c r="A51" s="209">
        <v>39</v>
      </c>
      <c r="B51" s="213">
        <v>6.64</v>
      </c>
      <c r="C51" s="193">
        <v>1.7935000000000001</v>
      </c>
      <c r="D51" s="215">
        <v>4.8499999999999996</v>
      </c>
      <c r="E51" s="205">
        <v>0</v>
      </c>
      <c r="F51" s="214">
        <v>248.35</v>
      </c>
      <c r="G51" s="229"/>
      <c r="H51" s="8"/>
      <c r="I51" s="236"/>
      <c r="J51" s="282"/>
      <c r="K51" s="282"/>
      <c r="L51" s="236"/>
      <c r="M51" s="193"/>
    </row>
    <row r="52" spans="1:13" x14ac:dyDescent="0.3">
      <c r="A52" s="209">
        <v>40</v>
      </c>
      <c r="B52" s="213">
        <v>6.64</v>
      </c>
      <c r="C52" s="193">
        <v>1.7591458333333334</v>
      </c>
      <c r="D52" s="215">
        <v>4.88</v>
      </c>
      <c r="E52" s="205">
        <v>150</v>
      </c>
      <c r="F52" s="214">
        <v>93.47</v>
      </c>
      <c r="G52" s="229"/>
      <c r="H52" s="8"/>
      <c r="I52" s="236"/>
      <c r="J52" s="282"/>
      <c r="K52" s="282"/>
      <c r="L52" s="236"/>
      <c r="M52" s="193"/>
    </row>
    <row r="53" spans="1:13" x14ac:dyDescent="0.3">
      <c r="A53" s="209">
        <v>41</v>
      </c>
      <c r="B53" s="213">
        <v>6.64</v>
      </c>
      <c r="C53" s="213">
        <v>0.66207491666666674</v>
      </c>
      <c r="D53" s="215">
        <v>5.98</v>
      </c>
      <c r="E53" s="205">
        <v>0</v>
      </c>
      <c r="F53" s="214">
        <v>87.49</v>
      </c>
      <c r="G53" t="str">
        <f t="shared" si="0"/>
        <v/>
      </c>
      <c r="H53" s="8"/>
      <c r="I53" s="236"/>
      <c r="J53" s="282"/>
      <c r="K53" s="282"/>
      <c r="L53" s="236"/>
      <c r="M53" s="193"/>
    </row>
    <row r="54" spans="1:13" x14ac:dyDescent="0.3">
      <c r="A54" s="209">
        <v>42</v>
      </c>
      <c r="B54" s="213">
        <v>6.64</v>
      </c>
      <c r="C54" s="213">
        <v>0.61972083333333339</v>
      </c>
      <c r="D54" s="215">
        <v>6.02</v>
      </c>
      <c r="E54" s="205">
        <v>0</v>
      </c>
      <c r="F54" s="214">
        <v>81.47</v>
      </c>
      <c r="G54" t="str">
        <f t="shared" si="0"/>
        <v/>
      </c>
      <c r="H54" s="8"/>
      <c r="I54" s="236"/>
      <c r="J54" s="282"/>
      <c r="K54" s="282"/>
      <c r="L54" s="236"/>
      <c r="M54" s="193"/>
    </row>
    <row r="55" spans="1:13" x14ac:dyDescent="0.3">
      <c r="A55" s="209">
        <v>43</v>
      </c>
      <c r="B55" s="213">
        <v>6.64</v>
      </c>
      <c r="C55" s="213">
        <v>0.5770791666666667</v>
      </c>
      <c r="D55" s="215">
        <v>6.06</v>
      </c>
      <c r="E55" s="205">
        <v>0</v>
      </c>
      <c r="F55" s="214">
        <v>75.41</v>
      </c>
      <c r="G55" t="str">
        <f t="shared" si="0"/>
        <v/>
      </c>
      <c r="H55" s="8"/>
      <c r="I55" s="236"/>
      <c r="J55" s="282"/>
      <c r="K55" s="282"/>
      <c r="L55" s="236"/>
      <c r="M55" s="193"/>
    </row>
    <row r="56" spans="1:13" x14ac:dyDescent="0.3">
      <c r="A56" s="209">
        <v>44</v>
      </c>
      <c r="B56" s="213">
        <v>6.64</v>
      </c>
      <c r="C56" s="193">
        <v>0.53415416666666671</v>
      </c>
      <c r="D56" s="215">
        <v>6.11</v>
      </c>
      <c r="E56" s="205">
        <v>0</v>
      </c>
      <c r="F56" s="214">
        <v>69.3</v>
      </c>
      <c r="G56" t="str">
        <f t="shared" si="0"/>
        <v/>
      </c>
      <c r="H56" s="8"/>
      <c r="I56" s="236"/>
      <c r="J56" s="282"/>
      <c r="K56" s="282"/>
      <c r="L56" s="236"/>
      <c r="M56" s="193"/>
    </row>
    <row r="57" spans="1:13" x14ac:dyDescent="0.3">
      <c r="A57" s="209">
        <v>45</v>
      </c>
      <c r="B57" s="213">
        <v>6.64</v>
      </c>
      <c r="C57" s="193">
        <v>0.49087500000000001</v>
      </c>
      <c r="D57" s="215">
        <v>6.15</v>
      </c>
      <c r="E57" s="205">
        <v>0</v>
      </c>
      <c r="F57" s="214">
        <v>63.15</v>
      </c>
      <c r="G57" t="str">
        <f t="shared" si="0"/>
        <v/>
      </c>
      <c r="H57" s="8"/>
      <c r="I57" s="236"/>
      <c r="J57" s="282"/>
      <c r="K57" s="282"/>
      <c r="L57" s="236"/>
      <c r="M57" s="193"/>
    </row>
    <row r="58" spans="1:13" x14ac:dyDescent="0.3">
      <c r="A58" s="209">
        <v>46</v>
      </c>
      <c r="B58" s="213">
        <v>6.64</v>
      </c>
      <c r="C58" s="193">
        <v>0.4473125</v>
      </c>
      <c r="D58" s="215">
        <v>6.19</v>
      </c>
      <c r="E58" s="205">
        <v>0</v>
      </c>
      <c r="F58" s="214">
        <v>56.96</v>
      </c>
      <c r="G58" t="str">
        <f t="shared" si="0"/>
        <v/>
      </c>
      <c r="H58" s="8"/>
      <c r="I58" s="236"/>
      <c r="J58" s="282"/>
      <c r="K58" s="282"/>
      <c r="L58" s="236"/>
      <c r="M58" s="193"/>
    </row>
    <row r="59" spans="1:13" x14ac:dyDescent="0.3">
      <c r="A59" s="209">
        <v>47</v>
      </c>
      <c r="B59" s="213">
        <v>6.64</v>
      </c>
      <c r="C59" s="193">
        <v>0.4034666666666667</v>
      </c>
      <c r="D59" s="215">
        <v>6.24</v>
      </c>
      <c r="E59" s="205">
        <v>0</v>
      </c>
      <c r="F59" s="214">
        <v>50.72</v>
      </c>
      <c r="G59" t="str">
        <f t="shared" si="0"/>
        <v/>
      </c>
      <c r="H59" s="8"/>
      <c r="I59" s="236"/>
      <c r="J59" s="282"/>
      <c r="K59" s="282"/>
      <c r="L59" s="236"/>
      <c r="M59" s="193"/>
    </row>
    <row r="60" spans="1:13" x14ac:dyDescent="0.3">
      <c r="A60" s="209">
        <v>48</v>
      </c>
      <c r="B60" s="213">
        <v>6.64</v>
      </c>
      <c r="C60" s="193">
        <v>0.35926666666666668</v>
      </c>
      <c r="D60" s="215">
        <v>6.28</v>
      </c>
      <c r="E60" s="205">
        <v>0</v>
      </c>
      <c r="F60" s="214">
        <v>44.44</v>
      </c>
      <c r="G60" t="str">
        <f t="shared" si="0"/>
        <v/>
      </c>
      <c r="H60" s="8"/>
      <c r="I60" s="236"/>
      <c r="J60" s="282"/>
      <c r="K60" s="282"/>
      <c r="L60" s="236"/>
      <c r="M60" s="193"/>
    </row>
    <row r="61" spans="1:13" x14ac:dyDescent="0.3">
      <c r="A61" s="209">
        <v>49</v>
      </c>
      <c r="B61" s="213">
        <v>6.64</v>
      </c>
      <c r="C61" s="193">
        <v>0.31478333333333336</v>
      </c>
      <c r="D61" s="215">
        <v>6.32</v>
      </c>
      <c r="E61" s="205">
        <v>0</v>
      </c>
      <c r="F61" s="214">
        <v>38.119999999999997</v>
      </c>
      <c r="G61" t="str">
        <f t="shared" si="0"/>
        <v/>
      </c>
      <c r="H61" s="8"/>
      <c r="I61" s="236"/>
      <c r="J61" s="282"/>
      <c r="K61" s="282"/>
      <c r="L61" s="236"/>
      <c r="M61" s="193"/>
    </row>
    <row r="62" spans="1:13" x14ac:dyDescent="0.3">
      <c r="A62" s="209">
        <v>50</v>
      </c>
      <c r="B62" s="213">
        <v>6.64</v>
      </c>
      <c r="C62" s="193">
        <v>0.27001666666666668</v>
      </c>
      <c r="D62" s="215">
        <v>6.37</v>
      </c>
      <c r="E62" s="205">
        <v>0</v>
      </c>
      <c r="F62" s="214">
        <v>31.749999999999996</v>
      </c>
      <c r="G62" t="str">
        <f t="shared" si="0"/>
        <v/>
      </c>
      <c r="H62" s="8"/>
      <c r="I62" s="236"/>
      <c r="J62" s="282"/>
      <c r="K62" s="282"/>
      <c r="L62" s="236"/>
      <c r="M62" s="193"/>
    </row>
    <row r="63" spans="1:13" x14ac:dyDescent="0.3">
      <c r="A63" s="209">
        <v>51</v>
      </c>
      <c r="B63" s="213">
        <v>6.64</v>
      </c>
      <c r="C63" s="193">
        <v>0.22489583333333332</v>
      </c>
      <c r="D63" s="215">
        <v>6.41</v>
      </c>
      <c r="E63" s="205">
        <v>0</v>
      </c>
      <c r="F63" s="214">
        <v>25.34</v>
      </c>
      <c r="G63" t="str">
        <f t="shared" si="0"/>
        <v/>
      </c>
      <c r="H63" s="8"/>
      <c r="I63" s="236"/>
      <c r="J63" s="282"/>
      <c r="K63" s="282"/>
      <c r="L63" s="236"/>
      <c r="M63" s="193"/>
    </row>
    <row r="64" spans="1:13" x14ac:dyDescent="0.3">
      <c r="A64" s="209">
        <v>52</v>
      </c>
      <c r="B64" s="213">
        <v>6.64</v>
      </c>
      <c r="C64" s="193">
        <v>0.17949166666666669</v>
      </c>
      <c r="D64" s="215">
        <v>6.46</v>
      </c>
      <c r="E64" s="205">
        <v>0</v>
      </c>
      <c r="F64" s="214">
        <v>18.88</v>
      </c>
      <c r="G64" t="str">
        <f t="shared" si="0"/>
        <v/>
      </c>
      <c r="H64" s="8"/>
      <c r="I64" s="236"/>
      <c r="J64" s="282"/>
      <c r="K64" s="282"/>
      <c r="L64" s="236"/>
      <c r="M64" s="193"/>
    </row>
    <row r="65" spans="1:13" x14ac:dyDescent="0.3">
      <c r="A65" s="209">
        <v>53</v>
      </c>
      <c r="B65" s="213">
        <v>6.64</v>
      </c>
      <c r="C65" s="193">
        <v>0.13373333333333334</v>
      </c>
      <c r="D65" s="215">
        <v>6.51</v>
      </c>
      <c r="E65" s="205">
        <v>0</v>
      </c>
      <c r="F65" s="214">
        <v>12.37</v>
      </c>
      <c r="G65" t="str">
        <f t="shared" si="0"/>
        <v/>
      </c>
      <c r="H65" s="8"/>
      <c r="I65" s="236"/>
      <c r="J65" s="282"/>
      <c r="K65" s="282"/>
      <c r="L65" s="236"/>
      <c r="M65" s="193"/>
    </row>
    <row r="66" spans="1:13" x14ac:dyDescent="0.3">
      <c r="A66" s="209">
        <v>54</v>
      </c>
      <c r="B66" s="213">
        <v>6.64</v>
      </c>
      <c r="C66" s="213">
        <v>8.7620833333333328E-2</v>
      </c>
      <c r="D66" s="215">
        <v>6.55</v>
      </c>
      <c r="E66" s="205">
        <v>0</v>
      </c>
      <c r="F66" s="214">
        <v>5.8199999999999994</v>
      </c>
      <c r="G66" t="str">
        <f t="shared" si="0"/>
        <v/>
      </c>
      <c r="H66" s="8"/>
      <c r="I66" s="236"/>
      <c r="J66" s="282"/>
      <c r="K66" s="282"/>
      <c r="L66" s="236"/>
      <c r="M66" s="193"/>
    </row>
    <row r="67" spans="1:13" x14ac:dyDescent="0.3">
      <c r="A67" s="209">
        <v>55</v>
      </c>
      <c r="B67" s="213">
        <v>5.86</v>
      </c>
      <c r="C67" s="213">
        <v>4.1224999999999998E-2</v>
      </c>
      <c r="D67" s="215">
        <v>5.82</v>
      </c>
      <c r="E67" s="205">
        <v>0</v>
      </c>
      <c r="F67" s="214">
        <v>0</v>
      </c>
      <c r="G67" t="str">
        <f t="shared" si="0"/>
        <v/>
      </c>
      <c r="H67" s="8"/>
      <c r="I67" s="236"/>
      <c r="J67" s="282"/>
      <c r="K67" s="282"/>
      <c r="L67" s="236"/>
      <c r="M67" s="193"/>
    </row>
    <row r="68" spans="1:13" x14ac:dyDescent="0.3">
      <c r="A68" s="209"/>
      <c r="B68" s="213"/>
      <c r="C68" s="193"/>
      <c r="D68" s="215"/>
      <c r="E68" s="205">
        <v>0</v>
      </c>
      <c r="F68" s="214"/>
      <c r="G68" t="str">
        <f t="shared" si="0"/>
        <v/>
      </c>
      <c r="H68" s="8"/>
      <c r="I68" s="236"/>
      <c r="J68" s="282"/>
      <c r="K68" s="282"/>
      <c r="L68" s="236"/>
      <c r="M68" s="193"/>
    </row>
    <row r="69" spans="1:13" x14ac:dyDescent="0.3">
      <c r="A69" s="209"/>
      <c r="B69" s="213"/>
      <c r="C69" s="193"/>
      <c r="D69" s="215"/>
      <c r="E69" s="205">
        <v>0</v>
      </c>
      <c r="F69" s="214"/>
      <c r="G69" t="str">
        <f t="shared" si="0"/>
        <v/>
      </c>
      <c r="H69" s="8"/>
      <c r="I69" s="236"/>
      <c r="J69" s="282"/>
      <c r="K69" s="282"/>
      <c r="L69" s="236"/>
      <c r="M69" s="193"/>
    </row>
    <row r="70" spans="1:13" x14ac:dyDescent="0.3">
      <c r="A70" s="209"/>
      <c r="B70" s="213"/>
      <c r="C70" s="193"/>
      <c r="D70" s="215"/>
      <c r="E70" s="205">
        <v>0</v>
      </c>
      <c r="F70" s="214"/>
      <c r="G70" t="str">
        <f t="shared" si="0"/>
        <v/>
      </c>
      <c r="H70" s="8"/>
      <c r="I70" s="236"/>
      <c r="J70" s="282"/>
      <c r="K70" s="282"/>
      <c r="L70" s="236"/>
      <c r="M70" s="193"/>
    </row>
    <row r="71" spans="1:13" x14ac:dyDescent="0.3">
      <c r="A71" s="209"/>
      <c r="B71" s="213"/>
      <c r="C71" s="193"/>
      <c r="D71" s="215"/>
      <c r="E71" s="205">
        <v>0</v>
      </c>
      <c r="F71" s="214"/>
      <c r="G71" t="str">
        <f t="shared" si="0"/>
        <v/>
      </c>
      <c r="H71" s="8"/>
      <c r="I71" s="236"/>
      <c r="J71" s="282"/>
      <c r="K71" s="282"/>
      <c r="L71" s="236"/>
      <c r="M71" s="193"/>
    </row>
    <row r="72" spans="1:13" x14ac:dyDescent="0.3">
      <c r="A72" s="209"/>
      <c r="B72" s="213"/>
      <c r="C72" s="193"/>
      <c r="D72" s="215"/>
      <c r="E72" s="205">
        <v>0</v>
      </c>
      <c r="F72" s="214"/>
      <c r="G72" t="str">
        <f t="shared" si="0"/>
        <v/>
      </c>
      <c r="H72" s="8"/>
      <c r="I72" s="236"/>
      <c r="J72" s="282"/>
      <c r="K72" s="282"/>
      <c r="L72" s="236"/>
      <c r="M72" s="193"/>
    </row>
    <row r="73" spans="1:13" x14ac:dyDescent="0.3">
      <c r="A73" s="209"/>
      <c r="B73" s="213"/>
      <c r="C73" s="193"/>
      <c r="D73" s="215"/>
      <c r="E73" s="205">
        <v>0</v>
      </c>
      <c r="F73" s="214"/>
      <c r="G73" t="str">
        <f t="shared" si="0"/>
        <v/>
      </c>
      <c r="H73" s="8"/>
      <c r="I73" s="236"/>
      <c r="J73" s="282"/>
      <c r="K73" s="282"/>
      <c r="L73" s="236"/>
      <c r="M73" s="193"/>
    </row>
    <row r="74" spans="1:13" x14ac:dyDescent="0.3">
      <c r="A74" s="209"/>
      <c r="B74" s="213"/>
      <c r="C74" s="193"/>
      <c r="D74" s="215"/>
      <c r="E74" s="205">
        <v>0</v>
      </c>
      <c r="F74" s="214"/>
      <c r="G74" t="str">
        <f t="shared" si="0"/>
        <v/>
      </c>
      <c r="H74" s="8"/>
      <c r="I74" s="236"/>
      <c r="J74" s="282"/>
      <c r="K74" s="282"/>
      <c r="L74" s="236"/>
      <c r="M74" s="193"/>
    </row>
    <row r="75" spans="1:13" x14ac:dyDescent="0.3">
      <c r="A75" s="209"/>
      <c r="B75" s="213"/>
      <c r="C75" s="193"/>
      <c r="D75" s="215"/>
      <c r="E75" s="205">
        <v>0</v>
      </c>
      <c r="F75" s="214"/>
      <c r="G75" t="str">
        <f t="shared" si="0"/>
        <v/>
      </c>
      <c r="H75" s="8"/>
      <c r="I75" s="236"/>
      <c r="J75" s="282"/>
      <c r="K75" s="282"/>
      <c r="L75" s="236"/>
      <c r="M75" s="193"/>
    </row>
    <row r="76" spans="1:13" x14ac:dyDescent="0.3">
      <c r="A76" s="209"/>
      <c r="B76" s="213"/>
      <c r="C76" s="193"/>
      <c r="D76" s="215"/>
      <c r="E76" s="205">
        <v>0</v>
      </c>
      <c r="F76" s="214"/>
      <c r="G76" t="str">
        <f t="shared" si="0"/>
        <v/>
      </c>
      <c r="H76" s="8"/>
      <c r="I76" s="236"/>
      <c r="J76" s="282"/>
      <c r="K76" s="282"/>
      <c r="L76" s="236"/>
      <c r="M76" s="193"/>
    </row>
    <row r="77" spans="1:13" x14ac:dyDescent="0.3">
      <c r="A77" s="209"/>
      <c r="B77" s="213"/>
      <c r="C77" s="193"/>
      <c r="D77" s="215"/>
      <c r="E77" s="205">
        <v>0</v>
      </c>
      <c r="F77" s="214"/>
      <c r="G77" t="str">
        <f t="shared" si="0"/>
        <v/>
      </c>
      <c r="H77" s="8"/>
      <c r="I77" s="236"/>
      <c r="J77" s="282"/>
      <c r="K77" s="282"/>
      <c r="L77" s="236"/>
      <c r="M77" s="193"/>
    </row>
    <row r="78" spans="1:13" x14ac:dyDescent="0.3">
      <c r="A78" s="209"/>
      <c r="B78" s="213"/>
      <c r="C78" s="193"/>
      <c r="D78" s="215"/>
      <c r="E78" s="205">
        <v>0</v>
      </c>
      <c r="F78" s="214"/>
      <c r="G78" t="str">
        <f t="shared" si="0"/>
        <v/>
      </c>
      <c r="H78" s="8"/>
      <c r="I78" s="236"/>
      <c r="J78" s="282"/>
      <c r="K78" s="282"/>
      <c r="L78" s="236"/>
      <c r="M78" s="193"/>
    </row>
    <row r="79" spans="1:13" x14ac:dyDescent="0.3">
      <c r="A79" s="209"/>
      <c r="B79" s="213"/>
      <c r="C79" s="193"/>
      <c r="D79" s="215"/>
      <c r="E79" s="205">
        <v>0</v>
      </c>
      <c r="F79" s="214"/>
      <c r="G79" t="str">
        <f t="shared" si="0"/>
        <v/>
      </c>
      <c r="H79" s="8"/>
      <c r="I79" s="236"/>
      <c r="J79" s="282"/>
      <c r="K79" s="282"/>
      <c r="L79" s="236"/>
      <c r="M79" s="193"/>
    </row>
    <row r="80" spans="1:13" x14ac:dyDescent="0.3">
      <c r="A80" s="209"/>
      <c r="B80" s="213"/>
      <c r="C80" s="193"/>
      <c r="D80" s="215"/>
      <c r="E80" s="205">
        <v>0</v>
      </c>
      <c r="F80" s="214"/>
      <c r="G80" t="str">
        <f t="shared" si="0"/>
        <v/>
      </c>
      <c r="H80" s="8"/>
      <c r="I80" s="236"/>
      <c r="J80" s="282"/>
      <c r="K80" s="282"/>
      <c r="L80" s="236"/>
      <c r="M80" s="193"/>
    </row>
    <row r="81" spans="1:13" x14ac:dyDescent="0.3">
      <c r="A81" s="209"/>
      <c r="B81" s="213"/>
      <c r="C81" s="193"/>
      <c r="D81" s="215"/>
      <c r="E81" s="205">
        <v>0</v>
      </c>
      <c r="F81" s="214"/>
      <c r="G81" t="str">
        <f t="shared" si="0"/>
        <v/>
      </c>
      <c r="H81" s="8"/>
      <c r="I81" s="236"/>
      <c r="J81" s="282"/>
      <c r="K81" s="282"/>
      <c r="L81" s="236"/>
      <c r="M81" s="193"/>
    </row>
    <row r="82" spans="1:13" x14ac:dyDescent="0.3">
      <c r="A82" s="209"/>
      <c r="B82" s="213"/>
      <c r="C82" s="193"/>
      <c r="D82" s="215"/>
      <c r="E82" s="205">
        <v>0</v>
      </c>
      <c r="F82" s="214"/>
      <c r="G82" t="str">
        <f t="shared" si="0"/>
        <v/>
      </c>
      <c r="H82" s="8"/>
      <c r="I82" s="236"/>
      <c r="J82" s="282"/>
      <c r="K82" s="282"/>
      <c r="L82" s="236"/>
      <c r="M82" s="193"/>
    </row>
    <row r="83" spans="1:13" x14ac:dyDescent="0.3">
      <c r="A83" s="209"/>
      <c r="B83" s="213"/>
      <c r="C83" s="193"/>
      <c r="D83" s="215"/>
      <c r="E83" s="205">
        <v>0</v>
      </c>
      <c r="F83" s="214"/>
      <c r="G83" t="str">
        <f t="shared" si="0"/>
        <v/>
      </c>
      <c r="H83" s="8"/>
      <c r="I83" s="236"/>
      <c r="J83" s="282"/>
      <c r="K83" s="282"/>
      <c r="L83" s="236"/>
      <c r="M83" s="193"/>
    </row>
    <row r="84" spans="1:13" x14ac:dyDescent="0.3">
      <c r="A84" s="209"/>
      <c r="B84" s="213"/>
      <c r="C84" s="193"/>
      <c r="D84" s="215"/>
      <c r="E84" s="205">
        <v>0</v>
      </c>
      <c r="F84" s="214"/>
      <c r="G84" t="str">
        <f t="shared" si="0"/>
        <v/>
      </c>
      <c r="H84" s="8"/>
      <c r="I84" s="236"/>
      <c r="J84" s="282"/>
      <c r="K84" s="282"/>
      <c r="L84" s="236"/>
      <c r="M84" s="193"/>
    </row>
    <row r="85" spans="1:13" x14ac:dyDescent="0.3">
      <c r="A85" s="209"/>
      <c r="B85" s="213"/>
      <c r="C85" s="193"/>
      <c r="D85" s="215"/>
      <c r="E85" s="205">
        <v>0</v>
      </c>
      <c r="F85" s="214"/>
      <c r="G85" t="str">
        <f t="shared" si="0"/>
        <v/>
      </c>
      <c r="H85" s="8"/>
      <c r="I85" s="236"/>
      <c r="J85" s="282"/>
      <c r="K85" s="282"/>
      <c r="L85" s="236"/>
      <c r="M85" s="193"/>
    </row>
    <row r="86" spans="1:13" x14ac:dyDescent="0.3">
      <c r="A86" s="209"/>
      <c r="B86" s="213"/>
      <c r="C86" s="193"/>
      <c r="D86" s="215"/>
      <c r="E86" s="205">
        <v>0</v>
      </c>
      <c r="F86" s="214"/>
      <c r="G86" t="str">
        <f t="shared" si="0"/>
        <v/>
      </c>
      <c r="H86" s="8"/>
      <c r="I86" s="236"/>
      <c r="J86" s="282"/>
      <c r="K86" s="282"/>
      <c r="L86" s="236"/>
      <c r="M86" s="193"/>
    </row>
    <row r="87" spans="1:13" x14ac:dyDescent="0.3">
      <c r="A87" s="209"/>
      <c r="B87" s="213"/>
      <c r="C87" s="193"/>
      <c r="D87" s="215"/>
      <c r="E87" s="205">
        <v>0</v>
      </c>
      <c r="F87" s="214"/>
      <c r="G87" t="str">
        <f t="shared" si="0"/>
        <v/>
      </c>
      <c r="H87" s="8"/>
      <c r="I87" s="236"/>
      <c r="J87" s="282"/>
      <c r="K87" s="282"/>
      <c r="L87" s="236"/>
      <c r="M87" s="193"/>
    </row>
    <row r="88" spans="1:13" x14ac:dyDescent="0.3">
      <c r="A88" s="209"/>
      <c r="B88" s="213"/>
      <c r="C88" s="193"/>
      <c r="D88" s="215"/>
      <c r="E88" s="205">
        <v>0</v>
      </c>
      <c r="F88" s="214"/>
      <c r="G88" t="str">
        <f t="shared" ref="G88:G113" si="1">IF($B$5="","",IF(ROW(A78)&gt;$B$5+$B$8,"",ROW(A78)))</f>
        <v/>
      </c>
      <c r="H88" s="8"/>
      <c r="I88" s="236"/>
      <c r="J88" s="282"/>
      <c r="K88" s="282"/>
      <c r="L88" s="236"/>
      <c r="M88" s="193"/>
    </row>
    <row r="89" spans="1:13" x14ac:dyDescent="0.3">
      <c r="A89" s="209"/>
      <c r="B89" s="213"/>
      <c r="C89" s="193"/>
      <c r="D89" s="215"/>
      <c r="E89" s="205">
        <v>0</v>
      </c>
      <c r="F89" s="214"/>
      <c r="G89" t="str">
        <f t="shared" si="1"/>
        <v/>
      </c>
      <c r="H89" s="8"/>
      <c r="I89" s="236"/>
      <c r="J89" s="282"/>
      <c r="K89" s="282"/>
      <c r="L89" s="236"/>
      <c r="M89" s="193"/>
    </row>
    <row r="90" spans="1:13" x14ac:dyDescent="0.3">
      <c r="A90" s="209"/>
      <c r="B90" s="213"/>
      <c r="C90" s="193"/>
      <c r="D90" s="215"/>
      <c r="E90" s="205">
        <v>0</v>
      </c>
      <c r="F90" s="214"/>
      <c r="G90" t="str">
        <f t="shared" si="1"/>
        <v/>
      </c>
      <c r="H90" s="8"/>
      <c r="I90" s="236"/>
      <c r="J90" s="282"/>
      <c r="K90" s="282"/>
      <c r="L90" s="236"/>
      <c r="M90" s="193"/>
    </row>
    <row r="91" spans="1:13" x14ac:dyDescent="0.3">
      <c r="A91" s="209"/>
      <c r="B91" s="213"/>
      <c r="C91" s="193"/>
      <c r="D91" s="215"/>
      <c r="E91" s="205">
        <v>0</v>
      </c>
      <c r="F91" s="214"/>
      <c r="G91" t="str">
        <f t="shared" si="1"/>
        <v/>
      </c>
      <c r="H91" s="8"/>
      <c r="I91" s="236"/>
      <c r="J91" s="282"/>
      <c r="K91" s="282"/>
      <c r="L91" s="236"/>
      <c r="M91" s="193"/>
    </row>
    <row r="92" spans="1:13" x14ac:dyDescent="0.3">
      <c r="A92" s="209"/>
      <c r="B92" s="213"/>
      <c r="C92" s="193"/>
      <c r="D92" s="215"/>
      <c r="E92" s="205">
        <v>0</v>
      </c>
      <c r="F92" s="214"/>
      <c r="G92" t="str">
        <f t="shared" si="1"/>
        <v/>
      </c>
      <c r="H92" s="8"/>
      <c r="I92" s="236"/>
      <c r="J92" s="282"/>
      <c r="K92" s="282"/>
      <c r="L92" s="236"/>
      <c r="M92" s="193"/>
    </row>
    <row r="93" spans="1:13" x14ac:dyDescent="0.3">
      <c r="A93" s="209"/>
      <c r="B93" s="213"/>
      <c r="C93" s="193"/>
      <c r="D93" s="215"/>
      <c r="E93" s="205">
        <v>0</v>
      </c>
      <c r="F93" s="214"/>
      <c r="G93" t="str">
        <f t="shared" si="1"/>
        <v/>
      </c>
      <c r="H93" s="8"/>
      <c r="I93" s="236"/>
      <c r="J93" s="282"/>
      <c r="K93" s="282"/>
      <c r="L93" s="236"/>
      <c r="M93" s="193"/>
    </row>
    <row r="94" spans="1:13" x14ac:dyDescent="0.3">
      <c r="A94" s="209"/>
      <c r="B94" s="213"/>
      <c r="C94" s="193"/>
      <c r="D94" s="215"/>
      <c r="E94" s="205">
        <v>0</v>
      </c>
      <c r="F94" s="214"/>
      <c r="G94" t="str">
        <f t="shared" si="1"/>
        <v/>
      </c>
      <c r="H94" s="8"/>
      <c r="I94" s="236"/>
      <c r="J94" s="282"/>
      <c r="K94" s="282"/>
      <c r="L94" s="236"/>
      <c r="M94" s="193"/>
    </row>
    <row r="95" spans="1:13" x14ac:dyDescent="0.3">
      <c r="A95" s="209"/>
      <c r="B95" s="213"/>
      <c r="C95" s="193"/>
      <c r="D95" s="215"/>
      <c r="E95" s="205">
        <v>0</v>
      </c>
      <c r="F95" s="214"/>
      <c r="G95" t="str">
        <f t="shared" si="1"/>
        <v/>
      </c>
      <c r="H95" s="8"/>
      <c r="I95" s="236"/>
      <c r="J95" s="282"/>
      <c r="K95" s="282"/>
      <c r="L95" s="236"/>
      <c r="M95" s="193"/>
    </row>
    <row r="96" spans="1:13" x14ac:dyDescent="0.3">
      <c r="A96" s="209"/>
      <c r="B96" s="213"/>
      <c r="C96" s="193"/>
      <c r="D96" s="215"/>
      <c r="E96" s="205">
        <v>0</v>
      </c>
      <c r="F96" s="214"/>
      <c r="G96" t="str">
        <f t="shared" si="1"/>
        <v/>
      </c>
      <c r="H96" s="8"/>
      <c r="I96" s="236"/>
      <c r="J96" s="282"/>
      <c r="K96" s="282"/>
      <c r="L96" s="236"/>
      <c r="M96" s="193"/>
    </row>
    <row r="97" spans="1:13" x14ac:dyDescent="0.3">
      <c r="A97" s="209"/>
      <c r="B97" s="213"/>
      <c r="C97" s="193"/>
      <c r="D97" s="215"/>
      <c r="E97" s="205">
        <v>0</v>
      </c>
      <c r="F97" s="214"/>
      <c r="G97" t="str">
        <f t="shared" si="1"/>
        <v/>
      </c>
      <c r="H97" s="8"/>
      <c r="I97" s="236"/>
      <c r="J97" s="282"/>
      <c r="K97" s="282"/>
      <c r="L97" s="236"/>
      <c r="M97" s="193"/>
    </row>
    <row r="98" spans="1:13" x14ac:dyDescent="0.3">
      <c r="A98" s="209"/>
      <c r="B98" s="213"/>
      <c r="C98" s="193"/>
      <c r="D98" s="215"/>
      <c r="E98" s="205">
        <v>0</v>
      </c>
      <c r="F98" s="214"/>
      <c r="G98" t="str">
        <f t="shared" si="1"/>
        <v/>
      </c>
      <c r="H98" s="8"/>
      <c r="I98" s="236"/>
      <c r="J98" s="282"/>
      <c r="K98" s="282"/>
      <c r="L98" s="236"/>
      <c r="M98" s="193"/>
    </row>
    <row r="99" spans="1:13" x14ac:dyDescent="0.3">
      <c r="A99" s="209"/>
      <c r="B99" s="213"/>
      <c r="C99" s="193"/>
      <c r="D99" s="215"/>
      <c r="E99" s="205">
        <v>0</v>
      </c>
      <c r="F99" s="214"/>
      <c r="G99" t="str">
        <f t="shared" si="1"/>
        <v/>
      </c>
      <c r="H99" s="8"/>
      <c r="I99" s="236"/>
      <c r="J99" s="282"/>
      <c r="K99" s="282"/>
      <c r="L99" s="236"/>
      <c r="M99" s="193"/>
    </row>
    <row r="100" spans="1:13" x14ac:dyDescent="0.3">
      <c r="A100" s="209"/>
      <c r="B100" s="213"/>
      <c r="C100" s="193"/>
      <c r="D100" s="215"/>
      <c r="E100" s="205">
        <v>0</v>
      </c>
      <c r="F100" s="214"/>
      <c r="G100" t="str">
        <f t="shared" si="1"/>
        <v/>
      </c>
      <c r="H100" s="8"/>
      <c r="I100" s="236"/>
      <c r="J100" s="282"/>
      <c r="K100" s="282"/>
      <c r="L100" s="236"/>
      <c r="M100" s="193"/>
    </row>
    <row r="101" spans="1:13" x14ac:dyDescent="0.3">
      <c r="A101" s="209"/>
      <c r="B101" s="213"/>
      <c r="C101" s="193"/>
      <c r="D101" s="215"/>
      <c r="E101" s="205">
        <v>0</v>
      </c>
      <c r="F101" s="214"/>
      <c r="G101" t="str">
        <f t="shared" si="1"/>
        <v/>
      </c>
      <c r="H101" s="8"/>
      <c r="I101" s="236"/>
      <c r="J101" s="282"/>
      <c r="K101" s="282"/>
      <c r="L101" s="236"/>
      <c r="M101" s="193"/>
    </row>
    <row r="102" spans="1:13" x14ac:dyDescent="0.3">
      <c r="A102" s="209"/>
      <c r="B102" s="213"/>
      <c r="C102" s="193"/>
      <c r="D102" s="215"/>
      <c r="E102" s="205">
        <v>0</v>
      </c>
      <c r="F102" s="214"/>
      <c r="G102" t="str">
        <f t="shared" si="1"/>
        <v/>
      </c>
      <c r="H102" s="8"/>
      <c r="I102" s="236"/>
      <c r="J102" s="282"/>
      <c r="K102" s="282"/>
      <c r="L102" s="236"/>
      <c r="M102" s="193"/>
    </row>
    <row r="103" spans="1:13" x14ac:dyDescent="0.3">
      <c r="A103" s="209"/>
      <c r="B103" s="213"/>
      <c r="C103" s="193"/>
      <c r="D103" s="215"/>
      <c r="E103" s="205">
        <v>0</v>
      </c>
      <c r="F103" s="214"/>
      <c r="G103" t="str">
        <f t="shared" si="1"/>
        <v/>
      </c>
      <c r="H103" s="8"/>
      <c r="I103" s="236"/>
      <c r="J103" s="282"/>
      <c r="K103" s="282"/>
      <c r="L103" s="236"/>
      <c r="M103" s="193"/>
    </row>
    <row r="104" spans="1:13" x14ac:dyDescent="0.3">
      <c r="A104" s="209"/>
      <c r="B104" s="213"/>
      <c r="C104" s="193"/>
      <c r="D104" s="215"/>
      <c r="E104" s="205">
        <v>0</v>
      </c>
      <c r="F104" s="214"/>
      <c r="G104" t="str">
        <f t="shared" si="1"/>
        <v/>
      </c>
      <c r="H104" s="8"/>
      <c r="I104" s="236"/>
      <c r="J104" s="282"/>
      <c r="K104" s="282"/>
      <c r="L104" s="236"/>
      <c r="M104" s="193"/>
    </row>
    <row r="105" spans="1:13" x14ac:dyDescent="0.3">
      <c r="A105" s="209"/>
      <c r="B105" s="213"/>
      <c r="C105" s="193"/>
      <c r="D105" s="215"/>
      <c r="E105" s="205">
        <v>0</v>
      </c>
      <c r="F105" s="214"/>
      <c r="G105" t="str">
        <f t="shared" si="1"/>
        <v/>
      </c>
      <c r="H105" s="8"/>
      <c r="I105" s="236"/>
      <c r="J105" s="282"/>
      <c r="K105" s="282"/>
      <c r="L105" s="236"/>
      <c r="M105" s="193"/>
    </row>
    <row r="106" spans="1:13" x14ac:dyDescent="0.3">
      <c r="A106" s="209"/>
      <c r="B106" s="213"/>
      <c r="C106" s="193"/>
      <c r="D106" s="215"/>
      <c r="E106" s="205">
        <v>0</v>
      </c>
      <c r="F106" s="214"/>
      <c r="G106" t="str">
        <f t="shared" si="1"/>
        <v/>
      </c>
      <c r="H106" s="8"/>
      <c r="I106" s="236"/>
      <c r="J106" s="282"/>
      <c r="K106" s="282"/>
      <c r="L106" s="236"/>
      <c r="M106" s="193"/>
    </row>
    <row r="107" spans="1:13" x14ac:dyDescent="0.3">
      <c r="A107" s="209"/>
      <c r="B107" s="213"/>
      <c r="C107" s="193"/>
      <c r="D107" s="215"/>
      <c r="E107" s="205">
        <v>0</v>
      </c>
      <c r="F107" s="214"/>
      <c r="G107" t="str">
        <f t="shared" si="1"/>
        <v/>
      </c>
      <c r="H107" s="8"/>
      <c r="I107" s="236"/>
      <c r="J107" s="282"/>
      <c r="K107" s="282"/>
      <c r="L107" s="236"/>
      <c r="M107" s="193"/>
    </row>
    <row r="108" spans="1:13" x14ac:dyDescent="0.3">
      <c r="A108" s="209"/>
      <c r="B108" s="213"/>
      <c r="C108" s="193"/>
      <c r="D108" s="215"/>
      <c r="E108" s="205">
        <v>0</v>
      </c>
      <c r="F108" s="214"/>
      <c r="G108" t="str">
        <f t="shared" si="1"/>
        <v/>
      </c>
      <c r="H108" s="8"/>
      <c r="I108" s="236"/>
      <c r="J108" s="282"/>
      <c r="K108" s="282"/>
      <c r="L108" s="236"/>
      <c r="M108" s="193"/>
    </row>
    <row r="109" spans="1:13" x14ac:dyDescent="0.3">
      <c r="A109" s="209"/>
      <c r="B109" s="213"/>
      <c r="C109" s="193"/>
      <c r="D109" s="215"/>
      <c r="E109" s="205">
        <v>0</v>
      </c>
      <c r="F109" s="214"/>
      <c r="G109" t="str">
        <f t="shared" si="1"/>
        <v/>
      </c>
      <c r="H109" s="8"/>
      <c r="I109" s="236"/>
      <c r="J109" s="282"/>
      <c r="K109" s="282"/>
      <c r="L109" s="236"/>
      <c r="M109" s="193"/>
    </row>
    <row r="110" spans="1:13" x14ac:dyDescent="0.3">
      <c r="A110" s="209"/>
      <c r="B110" s="213"/>
      <c r="C110" s="193"/>
      <c r="D110" s="215"/>
      <c r="E110" s="205">
        <v>0</v>
      </c>
      <c r="F110" s="214"/>
      <c r="G110" t="str">
        <f t="shared" si="1"/>
        <v/>
      </c>
      <c r="H110" s="8"/>
      <c r="I110" s="236"/>
      <c r="J110" s="282"/>
      <c r="K110" s="282"/>
      <c r="L110" s="236"/>
      <c r="M110" s="193"/>
    </row>
    <row r="111" spans="1:13" x14ac:dyDescent="0.3">
      <c r="A111" s="209"/>
      <c r="B111" s="213"/>
      <c r="C111" s="193"/>
      <c r="D111" s="215"/>
      <c r="E111" s="205">
        <v>0</v>
      </c>
      <c r="F111" s="214"/>
      <c r="G111" t="str">
        <f t="shared" si="1"/>
        <v/>
      </c>
      <c r="H111" s="8"/>
      <c r="I111" s="236"/>
      <c r="J111" s="282"/>
      <c r="K111" s="282"/>
      <c r="L111" s="236"/>
      <c r="M111" s="193"/>
    </row>
    <row r="112" spans="1:13" x14ac:dyDescent="0.3">
      <c r="A112" s="209"/>
      <c r="B112" s="213"/>
      <c r="C112" s="193"/>
      <c r="D112" s="215"/>
      <c r="E112" s="205">
        <v>0</v>
      </c>
      <c r="F112" s="214"/>
      <c r="G112" t="str">
        <f t="shared" si="1"/>
        <v/>
      </c>
      <c r="H112" s="8"/>
      <c r="I112" s="236"/>
      <c r="J112" s="282"/>
      <c r="K112" s="282"/>
      <c r="L112" s="236"/>
      <c r="M112" s="193"/>
    </row>
    <row r="113" spans="1:13" x14ac:dyDescent="0.3">
      <c r="A113" s="209"/>
      <c r="B113" s="213"/>
      <c r="C113" s="193"/>
      <c r="D113" s="215"/>
      <c r="E113" s="205">
        <v>0</v>
      </c>
      <c r="F113" s="214"/>
      <c r="G113" t="str">
        <f t="shared" si="1"/>
        <v/>
      </c>
      <c r="H113" s="8"/>
      <c r="I113" s="236"/>
      <c r="J113" s="282"/>
      <c r="K113" s="282"/>
      <c r="L113" s="236"/>
      <c r="M113" s="193"/>
    </row>
    <row r="114" spans="1:13" x14ac:dyDescent="0.3">
      <c r="A114" s="209"/>
      <c r="B114" s="213"/>
      <c r="C114" s="193"/>
      <c r="D114" s="215"/>
      <c r="E114" s="205">
        <v>0</v>
      </c>
      <c r="F114" s="214"/>
      <c r="H114" s="8"/>
      <c r="I114" s="236"/>
      <c r="J114" s="282"/>
      <c r="K114" s="282"/>
      <c r="L114" s="236"/>
      <c r="M114" s="193"/>
    </row>
    <row r="115" spans="1:13" x14ac:dyDescent="0.3">
      <c r="A115" s="209"/>
      <c r="B115" s="213"/>
      <c r="C115" s="193"/>
      <c r="D115" s="215"/>
      <c r="E115" s="205">
        <v>0</v>
      </c>
      <c r="F115" s="214"/>
      <c r="H115" s="8"/>
      <c r="I115" s="236"/>
      <c r="J115" s="282"/>
      <c r="K115" s="282"/>
      <c r="L115" s="236"/>
      <c r="M115" s="193"/>
    </row>
    <row r="116" spans="1:13" x14ac:dyDescent="0.3">
      <c r="A116" s="209"/>
      <c r="B116" s="213"/>
      <c r="C116" s="193"/>
      <c r="D116" s="215"/>
      <c r="E116" s="205">
        <v>0</v>
      </c>
      <c r="F116" s="214"/>
      <c r="H116" s="8"/>
      <c r="I116" s="236"/>
      <c r="J116" s="282"/>
      <c r="K116" s="282"/>
      <c r="L116" s="236"/>
      <c r="M116" s="193"/>
    </row>
    <row r="117" spans="1:13" x14ac:dyDescent="0.3">
      <c r="A117" s="209"/>
      <c r="B117" s="213"/>
      <c r="C117" s="193"/>
      <c r="D117" s="215"/>
      <c r="E117" s="205">
        <v>0</v>
      </c>
      <c r="F117" s="214"/>
      <c r="H117" s="8"/>
      <c r="I117" s="236"/>
      <c r="J117" s="282"/>
      <c r="K117" s="282"/>
      <c r="L117" s="236"/>
      <c r="M117" s="193"/>
    </row>
    <row r="118" spans="1:13" x14ac:dyDescent="0.3">
      <c r="A118" s="209"/>
      <c r="B118" s="213"/>
      <c r="C118" s="193"/>
      <c r="D118" s="215"/>
      <c r="E118" s="205">
        <v>0</v>
      </c>
      <c r="F118" s="214"/>
      <c r="H118" s="8"/>
      <c r="I118" s="236"/>
      <c r="J118" s="282"/>
      <c r="K118" s="282"/>
      <c r="L118" s="236"/>
      <c r="M118" s="193"/>
    </row>
    <row r="119" spans="1:13" x14ac:dyDescent="0.3">
      <c r="A119" s="209"/>
      <c r="B119" s="213"/>
      <c r="C119" s="193"/>
      <c r="D119" s="215"/>
      <c r="E119" s="205">
        <v>0</v>
      </c>
      <c r="F119" s="214"/>
      <c r="H119" s="8"/>
      <c r="I119" s="236"/>
      <c r="J119" s="282"/>
      <c r="K119" s="282"/>
      <c r="L119" s="236"/>
      <c r="M119" s="193"/>
    </row>
    <row r="120" spans="1:13" x14ac:dyDescent="0.3">
      <c r="A120" s="209"/>
      <c r="B120" s="213"/>
      <c r="C120" s="193"/>
      <c r="D120" s="215"/>
      <c r="E120" s="205">
        <v>0</v>
      </c>
      <c r="F120" s="214"/>
      <c r="H120" s="8"/>
      <c r="I120" s="236"/>
      <c r="J120" s="282"/>
      <c r="K120" s="282"/>
      <c r="L120" s="236"/>
      <c r="M120" s="193"/>
    </row>
    <row r="121" spans="1:13" x14ac:dyDescent="0.3">
      <c r="A121" s="209"/>
      <c r="B121" s="213"/>
      <c r="C121" s="193"/>
      <c r="D121" s="215"/>
      <c r="E121" s="205">
        <v>0</v>
      </c>
      <c r="F121" s="214"/>
      <c r="H121" s="8"/>
      <c r="I121" s="236"/>
      <c r="J121" s="282"/>
      <c r="K121" s="282"/>
      <c r="L121" s="236"/>
      <c r="M121" s="193"/>
    </row>
    <row r="122" spans="1:13" x14ac:dyDescent="0.3">
      <c r="A122" s="209"/>
      <c r="B122" s="213"/>
      <c r="C122" s="193"/>
      <c r="D122" s="215"/>
      <c r="E122" s="205">
        <v>0</v>
      </c>
      <c r="F122" s="214"/>
      <c r="H122" s="8"/>
      <c r="I122" s="236"/>
      <c r="J122" s="282"/>
      <c r="K122" s="282"/>
      <c r="L122" s="236"/>
      <c r="M122" s="193"/>
    </row>
    <row r="123" spans="1:13" x14ac:dyDescent="0.3">
      <c r="A123" s="209"/>
      <c r="B123" s="213"/>
      <c r="C123" s="193"/>
      <c r="D123" s="215"/>
      <c r="E123" s="205">
        <v>0</v>
      </c>
      <c r="F123" s="214"/>
      <c r="H123" s="8"/>
      <c r="I123" s="236"/>
      <c r="J123" s="282"/>
      <c r="K123" s="282"/>
      <c r="L123" s="236"/>
      <c r="M123" s="193"/>
    </row>
    <row r="124" spans="1:13" x14ac:dyDescent="0.3">
      <c r="A124" s="209"/>
      <c r="B124" s="213"/>
      <c r="C124" s="193"/>
      <c r="D124" s="215"/>
      <c r="E124" s="205">
        <v>0</v>
      </c>
      <c r="F124" s="214"/>
      <c r="H124" s="8"/>
      <c r="I124" s="236"/>
      <c r="J124" s="282"/>
      <c r="K124" s="282"/>
      <c r="L124" s="236"/>
      <c r="M124" s="193"/>
    </row>
    <row r="125" spans="1:13" x14ac:dyDescent="0.3">
      <c r="A125" s="209"/>
      <c r="B125" s="213"/>
      <c r="C125" s="193"/>
      <c r="D125" s="215"/>
      <c r="E125" s="205">
        <v>0</v>
      </c>
      <c r="F125" s="214"/>
      <c r="H125" s="8"/>
      <c r="I125" s="236"/>
      <c r="J125" s="282"/>
      <c r="K125" s="282"/>
      <c r="L125" s="236"/>
      <c r="M125" s="193"/>
    </row>
    <row r="126" spans="1:13" x14ac:dyDescent="0.3">
      <c r="A126" s="209"/>
      <c r="B126" s="213"/>
      <c r="C126" s="193"/>
      <c r="D126" s="215"/>
      <c r="E126" s="205">
        <v>0</v>
      </c>
      <c r="F126" s="214"/>
      <c r="H126" s="8"/>
      <c r="I126" s="236"/>
      <c r="J126" s="282"/>
      <c r="K126" s="282"/>
      <c r="L126" s="236"/>
      <c r="M126" s="193"/>
    </row>
    <row r="127" spans="1:13" x14ac:dyDescent="0.3">
      <c r="A127" s="209"/>
      <c r="B127" s="213"/>
      <c r="C127" s="193"/>
      <c r="D127" s="215"/>
      <c r="E127" s="205">
        <v>0</v>
      </c>
      <c r="F127" s="214"/>
      <c r="H127" s="8"/>
      <c r="I127" s="236"/>
      <c r="J127" s="282"/>
      <c r="K127" s="282"/>
      <c r="L127" s="236"/>
      <c r="M127" s="193"/>
    </row>
    <row r="128" spans="1:13" x14ac:dyDescent="0.3">
      <c r="A128" s="209"/>
      <c r="B128" s="213"/>
      <c r="C128" s="193"/>
      <c r="D128" s="215"/>
      <c r="E128" s="205">
        <v>0</v>
      </c>
      <c r="F128" s="214"/>
      <c r="H128" s="8"/>
      <c r="I128" s="236"/>
      <c r="J128" s="282"/>
      <c r="K128" s="282"/>
      <c r="L128" s="236"/>
      <c r="M128" s="193"/>
    </row>
    <row r="129" spans="1:13" x14ac:dyDescent="0.3">
      <c r="A129" s="209"/>
      <c r="B129" s="213"/>
      <c r="C129" s="193"/>
      <c r="D129" s="215"/>
      <c r="E129" s="205">
        <v>0</v>
      </c>
      <c r="F129" s="214"/>
      <c r="H129" s="8"/>
      <c r="I129" s="236"/>
      <c r="J129" s="282"/>
      <c r="K129" s="282"/>
      <c r="L129" s="236"/>
      <c r="M129" s="193"/>
    </row>
    <row r="130" spans="1:13" x14ac:dyDescent="0.3">
      <c r="A130" s="209"/>
      <c r="B130" s="213"/>
      <c r="C130" s="193"/>
      <c r="D130" s="215"/>
      <c r="E130" s="205">
        <v>0</v>
      </c>
      <c r="F130" s="214"/>
      <c r="H130" s="8"/>
      <c r="I130" s="236"/>
      <c r="J130" s="282"/>
      <c r="K130" s="282"/>
      <c r="L130" s="236"/>
      <c r="M130" s="193"/>
    </row>
    <row r="131" spans="1:13" x14ac:dyDescent="0.3">
      <c r="A131" s="209"/>
      <c r="B131" s="213"/>
      <c r="C131" s="193"/>
      <c r="D131" s="215"/>
      <c r="E131" s="205">
        <v>0</v>
      </c>
      <c r="F131" s="214"/>
      <c r="H131" s="8"/>
      <c r="I131" s="236"/>
      <c r="J131" s="282"/>
      <c r="K131" s="282"/>
      <c r="L131" s="236"/>
      <c r="M131" s="193"/>
    </row>
    <row r="132" spans="1:13" x14ac:dyDescent="0.3">
      <c r="A132" s="209"/>
      <c r="B132" s="213"/>
      <c r="C132" s="193"/>
      <c r="D132" s="215"/>
      <c r="E132" s="205">
        <v>0</v>
      </c>
      <c r="F132" s="214"/>
      <c r="H132" s="8"/>
      <c r="I132" s="236"/>
      <c r="J132" s="282"/>
      <c r="K132" s="282"/>
      <c r="L132" s="236"/>
      <c r="M132" s="193"/>
    </row>
    <row r="133" spans="1:13" x14ac:dyDescent="0.3">
      <c r="A133" s="216"/>
      <c r="B133" s="215"/>
      <c r="C133" s="205"/>
      <c r="D133" s="215"/>
      <c r="E133" s="205"/>
      <c r="F133" s="214"/>
      <c r="H133" s="8"/>
      <c r="I133" s="236"/>
      <c r="J133" s="282"/>
      <c r="K133" s="282"/>
      <c r="L133" s="236"/>
      <c r="M133" s="193"/>
    </row>
    <row r="134" spans="1:13" x14ac:dyDescent="0.3">
      <c r="A134" s="216"/>
      <c r="B134" s="215"/>
      <c r="C134" s="205"/>
      <c r="D134" s="215"/>
      <c r="E134" s="205"/>
      <c r="F134" s="214"/>
      <c r="H134" s="8"/>
      <c r="I134" s="236"/>
      <c r="J134" s="282"/>
      <c r="K134" s="282"/>
      <c r="L134" s="236"/>
      <c r="M134" s="193"/>
    </row>
    <row r="135" spans="1:13" x14ac:dyDescent="0.3">
      <c r="A135" s="216"/>
      <c r="B135" s="215"/>
      <c r="C135" s="205"/>
      <c r="D135" s="215"/>
      <c r="E135" s="205"/>
      <c r="F135" s="214"/>
      <c r="H135" s="8"/>
      <c r="I135" s="236"/>
      <c r="J135" s="282"/>
      <c r="K135" s="282"/>
      <c r="L135" s="236"/>
      <c r="M135" s="193"/>
    </row>
    <row r="136" spans="1:13" x14ac:dyDescent="0.3">
      <c r="A136" s="216"/>
      <c r="B136" s="215"/>
      <c r="C136" s="205"/>
      <c r="D136" s="215"/>
      <c r="E136" s="205"/>
      <c r="F136" s="214"/>
      <c r="H136" s="8"/>
      <c r="I136" s="236"/>
      <c r="J136" s="282"/>
      <c r="K136" s="282"/>
      <c r="L136" s="236"/>
      <c r="M136" s="193"/>
    </row>
    <row r="137" spans="1:13" x14ac:dyDescent="0.3">
      <c r="A137" s="216"/>
      <c r="B137" s="215"/>
      <c r="C137" s="205"/>
      <c r="D137" s="215"/>
      <c r="E137" s="205"/>
      <c r="F137" s="214"/>
      <c r="H137" s="8"/>
      <c r="I137" s="236"/>
      <c r="J137" s="282"/>
      <c r="K137" s="282"/>
      <c r="L137" s="236"/>
      <c r="M137" s="193"/>
    </row>
    <row r="138" spans="1:13" x14ac:dyDescent="0.3">
      <c r="A138" s="216"/>
      <c r="B138" s="215"/>
      <c r="C138" s="205"/>
      <c r="D138" s="215"/>
      <c r="E138" s="205"/>
      <c r="F138" s="214"/>
      <c r="H138" s="8"/>
      <c r="I138" s="236"/>
      <c r="J138" s="282"/>
      <c r="K138" s="282"/>
      <c r="L138" s="236"/>
      <c r="M138" s="193"/>
    </row>
    <row r="139" spans="1:13" x14ac:dyDescent="0.3">
      <c r="A139" s="216"/>
      <c r="B139" s="215"/>
      <c r="C139" s="205"/>
      <c r="D139" s="215"/>
      <c r="E139" s="205"/>
      <c r="F139" s="214"/>
      <c r="H139" s="8"/>
      <c r="I139" s="236"/>
      <c r="J139" s="282"/>
      <c r="K139" s="282"/>
      <c r="L139" s="236"/>
      <c r="M139" s="193"/>
    </row>
    <row r="140" spans="1:13" x14ac:dyDescent="0.3">
      <c r="A140" s="216"/>
      <c r="B140" s="215"/>
      <c r="C140" s="205"/>
      <c r="D140" s="215"/>
      <c r="E140" s="205"/>
      <c r="F140" s="214"/>
      <c r="H140" s="8"/>
      <c r="I140" s="236"/>
      <c r="J140" s="282"/>
      <c r="K140" s="282"/>
      <c r="L140" s="236"/>
      <c r="M140" s="193"/>
    </row>
    <row r="141" spans="1:13" x14ac:dyDescent="0.3">
      <c r="A141" s="216"/>
      <c r="B141" s="215"/>
      <c r="C141" s="205"/>
      <c r="D141" s="215"/>
      <c r="E141" s="205"/>
      <c r="F141" s="214"/>
      <c r="H141" s="8"/>
      <c r="I141" s="236"/>
      <c r="J141" s="282"/>
      <c r="K141" s="282"/>
      <c r="L141" s="236"/>
      <c r="M141" s="193"/>
    </row>
    <row r="142" spans="1:13" x14ac:dyDescent="0.3">
      <c r="A142" s="216"/>
      <c r="B142" s="215"/>
      <c r="C142" s="205"/>
      <c r="D142" s="215"/>
      <c r="E142" s="205"/>
      <c r="F142" s="214"/>
      <c r="H142" s="8"/>
      <c r="I142" s="236"/>
      <c r="J142" s="282"/>
      <c r="K142" s="282"/>
      <c r="L142" s="236"/>
      <c r="M142" s="193"/>
    </row>
    <row r="143" spans="1:13" x14ac:dyDescent="0.3">
      <c r="A143" s="216"/>
      <c r="B143" s="215"/>
      <c r="C143" s="205"/>
      <c r="D143" s="215"/>
      <c r="E143" s="205"/>
      <c r="F143" s="214"/>
      <c r="H143" s="8"/>
      <c r="I143" s="236"/>
      <c r="J143" s="282"/>
      <c r="K143" s="282"/>
      <c r="L143" s="236"/>
      <c r="M143" s="193"/>
    </row>
    <row r="144" spans="1:13" x14ac:dyDescent="0.3">
      <c r="A144" s="216"/>
      <c r="B144" s="215"/>
      <c r="C144" s="205"/>
      <c r="D144" s="215"/>
      <c r="E144" s="205"/>
      <c r="F144" s="214"/>
      <c r="H144" s="8"/>
      <c r="I144" s="236"/>
      <c r="J144" s="282"/>
      <c r="K144" s="282"/>
      <c r="L144" s="236"/>
      <c r="M144" s="193"/>
    </row>
    <row r="145" spans="1:13" x14ac:dyDescent="0.3">
      <c r="A145" s="216"/>
      <c r="B145" s="215"/>
      <c r="C145" s="205"/>
      <c r="D145" s="215"/>
      <c r="E145" s="205"/>
      <c r="F145" s="214"/>
      <c r="H145" s="8"/>
      <c r="I145" s="236"/>
      <c r="J145" s="282"/>
      <c r="K145" s="282"/>
      <c r="L145" s="236"/>
      <c r="M145" s="193"/>
    </row>
    <row r="146" spans="1:13" x14ac:dyDescent="0.3">
      <c r="A146" s="216"/>
      <c r="B146" s="215"/>
      <c r="C146" s="205"/>
      <c r="D146" s="215"/>
      <c r="E146" s="205"/>
      <c r="F146" s="214"/>
      <c r="H146" s="8"/>
      <c r="I146" s="236"/>
      <c r="J146" s="282"/>
      <c r="K146" s="282"/>
      <c r="L146" s="236"/>
      <c r="M146" s="193"/>
    </row>
    <row r="147" spans="1:13" x14ac:dyDescent="0.3">
      <c r="A147" s="216"/>
      <c r="B147" s="215"/>
      <c r="C147" s="205"/>
      <c r="D147" s="215"/>
      <c r="E147" s="205"/>
      <c r="F147" s="214"/>
      <c r="H147" s="8"/>
      <c r="I147" s="236"/>
      <c r="J147" s="282"/>
      <c r="K147" s="282"/>
      <c r="L147" s="236"/>
      <c r="M147" s="193"/>
    </row>
    <row r="148" spans="1:13" x14ac:dyDescent="0.3">
      <c r="A148" s="216"/>
      <c r="B148" s="215"/>
      <c r="C148" s="205"/>
      <c r="D148" s="215"/>
      <c r="E148" s="205"/>
      <c r="F148" s="214"/>
      <c r="H148" s="8"/>
      <c r="I148" s="236"/>
      <c r="J148" s="282"/>
      <c r="K148" s="282"/>
      <c r="L148" s="236"/>
      <c r="M148" s="193"/>
    </row>
    <row r="149" spans="1:13" x14ac:dyDescent="0.3">
      <c r="A149" s="216"/>
      <c r="B149" s="215"/>
      <c r="C149" s="205"/>
      <c r="D149" s="215"/>
      <c r="E149" s="205"/>
      <c r="F149" s="214"/>
      <c r="H149" s="8"/>
      <c r="I149" s="236"/>
      <c r="J149" s="282"/>
      <c r="K149" s="282"/>
      <c r="L149" s="236"/>
      <c r="M149" s="193"/>
    </row>
    <row r="150" spans="1:13" x14ac:dyDescent="0.3">
      <c r="A150" s="216"/>
      <c r="B150" s="215"/>
      <c r="C150" s="205"/>
      <c r="D150" s="215"/>
      <c r="E150" s="205"/>
      <c r="F150" s="214"/>
      <c r="H150" s="8"/>
      <c r="I150" s="236"/>
      <c r="J150" s="282"/>
      <c r="K150" s="282"/>
      <c r="L150" s="236"/>
      <c r="M150" s="193"/>
    </row>
    <row r="151" spans="1:13" x14ac:dyDescent="0.3">
      <c r="A151" s="216"/>
      <c r="B151" s="215"/>
      <c r="C151" s="205"/>
      <c r="D151" s="215"/>
      <c r="E151" s="205"/>
      <c r="F151" s="214"/>
      <c r="H151" s="8"/>
      <c r="I151" s="236"/>
      <c r="J151" s="282"/>
      <c r="K151" s="282"/>
      <c r="L151" s="236"/>
      <c r="M151" s="193"/>
    </row>
    <row r="152" spans="1:13" x14ac:dyDescent="0.3">
      <c r="A152" s="216"/>
      <c r="B152" s="215"/>
      <c r="C152" s="205"/>
      <c r="D152" s="215"/>
      <c r="E152" s="205"/>
      <c r="F152" s="214"/>
      <c r="H152" s="8"/>
      <c r="I152" s="236"/>
      <c r="J152" s="282"/>
      <c r="K152" s="282"/>
      <c r="L152" s="236"/>
      <c r="M152" s="193"/>
    </row>
    <row r="153" spans="1:13" x14ac:dyDescent="0.3">
      <c r="A153" s="216"/>
      <c r="B153" s="215"/>
      <c r="C153" s="205"/>
      <c r="D153" s="215"/>
      <c r="E153" s="205"/>
      <c r="F153" s="214"/>
      <c r="H153" s="8"/>
      <c r="I153" s="236"/>
      <c r="J153" s="282"/>
      <c r="K153" s="282"/>
      <c r="L153" s="236"/>
      <c r="M153" s="193"/>
    </row>
    <row r="154" spans="1:13" x14ac:dyDescent="0.3">
      <c r="A154" s="216"/>
      <c r="B154" s="215"/>
      <c r="C154" s="205"/>
      <c r="D154" s="215"/>
      <c r="E154" s="205"/>
      <c r="F154" s="214"/>
      <c r="H154" s="8"/>
      <c r="I154" s="236"/>
      <c r="J154" s="282"/>
      <c r="K154" s="282"/>
      <c r="L154" s="236"/>
      <c r="M154" s="193"/>
    </row>
    <row r="155" spans="1:13" x14ac:dyDescent="0.3">
      <c r="A155" s="216"/>
      <c r="B155" s="215"/>
      <c r="C155" s="205"/>
      <c r="D155" s="215"/>
      <c r="E155" s="205"/>
      <c r="F155" s="214"/>
      <c r="H155" s="8"/>
      <c r="I155" s="236"/>
      <c r="J155" s="282"/>
      <c r="K155" s="282"/>
      <c r="L155" s="236"/>
      <c r="M155" s="193"/>
    </row>
    <row r="156" spans="1:13" x14ac:dyDescent="0.3">
      <c r="A156" s="216"/>
      <c r="B156" s="215"/>
      <c r="C156" s="205"/>
      <c r="D156" s="215"/>
      <c r="E156" s="205"/>
      <c r="F156" s="214"/>
      <c r="H156" s="8"/>
      <c r="I156" s="236"/>
      <c r="J156" s="282"/>
      <c r="K156" s="282"/>
      <c r="L156" s="236"/>
      <c r="M156" s="193"/>
    </row>
    <row r="157" spans="1:13" x14ac:dyDescent="0.3">
      <c r="A157" s="216"/>
      <c r="B157" s="215"/>
      <c r="C157" s="205"/>
      <c r="D157" s="215"/>
      <c r="E157" s="205"/>
      <c r="F157" s="214"/>
      <c r="H157" s="8"/>
      <c r="I157" s="236"/>
      <c r="J157" s="282"/>
      <c r="K157" s="282"/>
      <c r="L157" s="236"/>
      <c r="M157" s="193"/>
    </row>
    <row r="158" spans="1:13" x14ac:dyDescent="0.3">
      <c r="A158" s="216"/>
      <c r="B158" s="215"/>
      <c r="C158" s="205"/>
      <c r="D158" s="215"/>
      <c r="E158" s="205"/>
      <c r="F158" s="214"/>
      <c r="H158" s="8"/>
      <c r="I158" s="236"/>
      <c r="J158" s="282"/>
      <c r="K158" s="282"/>
      <c r="L158" s="236"/>
      <c r="M158" s="193"/>
    </row>
    <row r="159" spans="1:13" x14ac:dyDescent="0.3">
      <c r="A159" s="216"/>
      <c r="B159" s="215"/>
      <c r="C159" s="205"/>
      <c r="D159" s="215"/>
      <c r="E159" s="205"/>
      <c r="F159" s="214"/>
      <c r="H159" s="8"/>
      <c r="I159" s="236"/>
      <c r="J159" s="282"/>
      <c r="K159" s="282"/>
      <c r="L159" s="236"/>
      <c r="M159" s="193"/>
    </row>
    <row r="160" spans="1:13" x14ac:dyDescent="0.3">
      <c r="A160" s="216"/>
      <c r="B160" s="215"/>
      <c r="C160" s="205"/>
      <c r="D160" s="215"/>
      <c r="E160" s="205"/>
      <c r="F160" s="214"/>
      <c r="H160" s="8"/>
      <c r="I160" s="236"/>
      <c r="J160" s="282"/>
      <c r="K160" s="282"/>
      <c r="L160" s="236"/>
      <c r="M160" s="193"/>
    </row>
    <row r="161" spans="1:13" x14ac:dyDescent="0.3">
      <c r="A161" s="216"/>
      <c r="B161" s="215"/>
      <c r="C161" s="205"/>
      <c r="D161" s="215"/>
      <c r="E161" s="205"/>
      <c r="F161" s="214"/>
      <c r="H161" s="8"/>
      <c r="I161" s="236"/>
      <c r="J161" s="282"/>
      <c r="K161" s="282"/>
      <c r="L161" s="236"/>
      <c r="M161" s="193"/>
    </row>
    <row r="162" spans="1:13" x14ac:dyDescent="0.3">
      <c r="A162" s="216"/>
      <c r="B162" s="215"/>
      <c r="C162" s="205"/>
      <c r="D162" s="215"/>
      <c r="E162" s="205"/>
      <c r="F162" s="214"/>
      <c r="H162" s="8"/>
      <c r="I162" s="236"/>
      <c r="J162" s="282"/>
      <c r="K162" s="282"/>
      <c r="L162" s="236"/>
      <c r="M162" s="193"/>
    </row>
    <row r="163" spans="1:13" x14ac:dyDescent="0.3">
      <c r="A163" s="216"/>
      <c r="B163" s="215"/>
      <c r="C163" s="205"/>
      <c r="D163" s="215"/>
      <c r="E163" s="205"/>
      <c r="F163" s="214"/>
      <c r="H163" s="8"/>
      <c r="I163" s="236"/>
      <c r="J163" s="282"/>
      <c r="K163" s="282"/>
      <c r="L163" s="236"/>
      <c r="M163" s="193"/>
    </row>
    <row r="164" spans="1:13" x14ac:dyDescent="0.3">
      <c r="A164" s="216"/>
      <c r="B164" s="215"/>
      <c r="C164" s="205"/>
      <c r="D164" s="215"/>
      <c r="E164" s="205"/>
      <c r="F164" s="214"/>
      <c r="H164" s="8"/>
      <c r="I164" s="236"/>
      <c r="J164" s="282"/>
      <c r="K164" s="282"/>
      <c r="L164" s="236"/>
      <c r="M164" s="193"/>
    </row>
    <row r="165" spans="1:13" x14ac:dyDescent="0.3">
      <c r="A165" s="216"/>
      <c r="B165" s="215"/>
      <c r="C165" s="205"/>
      <c r="D165" s="215"/>
      <c r="E165" s="205"/>
      <c r="F165" s="214"/>
      <c r="H165" s="8"/>
      <c r="I165" s="236"/>
      <c r="J165" s="282"/>
      <c r="K165" s="282"/>
      <c r="L165" s="236"/>
      <c r="M165" s="193"/>
    </row>
    <row r="166" spans="1:13" x14ac:dyDescent="0.3">
      <c r="A166" s="216"/>
      <c r="B166" s="215"/>
      <c r="C166" s="205"/>
      <c r="D166" s="215"/>
      <c r="E166" s="205"/>
      <c r="F166" s="214"/>
      <c r="H166" s="8"/>
      <c r="I166" s="236"/>
      <c r="J166" s="282"/>
      <c r="K166" s="282"/>
      <c r="L166" s="236"/>
      <c r="M166" s="193"/>
    </row>
    <row r="167" spans="1:13" x14ac:dyDescent="0.3">
      <c r="A167" s="216"/>
      <c r="B167" s="215"/>
      <c r="C167" s="205"/>
      <c r="D167" s="215"/>
      <c r="E167" s="205"/>
      <c r="F167" s="214"/>
      <c r="H167" s="8"/>
      <c r="I167" s="236"/>
      <c r="J167" s="282"/>
      <c r="K167" s="282"/>
      <c r="L167" s="236"/>
      <c r="M167" s="193"/>
    </row>
    <row r="168" spans="1:13" x14ac:dyDescent="0.3">
      <c r="A168" s="216"/>
      <c r="B168" s="215"/>
      <c r="C168" s="205"/>
      <c r="D168" s="215"/>
      <c r="E168" s="205"/>
      <c r="F168" s="214"/>
      <c r="H168" s="8"/>
      <c r="I168" s="236"/>
      <c r="J168" s="282"/>
      <c r="K168" s="282"/>
      <c r="L168" s="236"/>
      <c r="M168" s="193"/>
    </row>
    <row r="169" spans="1:13" x14ac:dyDescent="0.3">
      <c r="A169" s="216"/>
      <c r="B169" s="205"/>
      <c r="C169" s="205"/>
      <c r="D169" s="205"/>
      <c r="E169" s="205"/>
      <c r="F169" s="201"/>
      <c r="H169" s="8"/>
      <c r="I169" s="236"/>
      <c r="J169" s="282"/>
      <c r="K169" s="282"/>
      <c r="L169" s="236"/>
      <c r="M169" s="193"/>
    </row>
    <row r="170" spans="1:13" x14ac:dyDescent="0.3">
      <c r="A170" s="216"/>
      <c r="B170" s="205"/>
      <c r="C170" s="205"/>
      <c r="D170" s="205"/>
      <c r="E170" s="205"/>
      <c r="F170" s="201"/>
      <c r="H170" s="8"/>
      <c r="I170" s="236"/>
      <c r="J170" s="282"/>
      <c r="K170" s="282"/>
      <c r="L170" s="236"/>
      <c r="M170" s="193"/>
    </row>
    <row r="171" spans="1:13" x14ac:dyDescent="0.3">
      <c r="A171" s="216"/>
      <c r="B171" s="205"/>
      <c r="C171" s="205"/>
      <c r="D171" s="205"/>
      <c r="E171" s="205"/>
      <c r="F171" s="201"/>
      <c r="H171" s="8"/>
      <c r="I171" s="236"/>
      <c r="J171" s="282"/>
      <c r="K171" s="282"/>
      <c r="L171" s="236"/>
      <c r="M171" s="193"/>
    </row>
    <row r="172" spans="1:13" x14ac:dyDescent="0.3">
      <c r="A172" s="216"/>
      <c r="B172" s="205"/>
      <c r="C172" s="205"/>
      <c r="D172" s="205"/>
      <c r="E172" s="205"/>
      <c r="F172" s="201"/>
      <c r="H172" s="8"/>
      <c r="I172" s="236"/>
      <c r="J172" s="282"/>
      <c r="K172" s="282"/>
      <c r="L172" s="236"/>
      <c r="M172" s="193"/>
    </row>
    <row r="173" spans="1:13" x14ac:dyDescent="0.3">
      <c r="A173" s="216"/>
      <c r="B173" s="205"/>
      <c r="C173" s="205"/>
      <c r="D173" s="205"/>
      <c r="E173" s="205"/>
      <c r="F173" s="201"/>
      <c r="H173" s="8"/>
      <c r="I173" s="236"/>
      <c r="J173" s="282"/>
      <c r="K173" s="282"/>
      <c r="L173" s="236"/>
      <c r="M173" s="193"/>
    </row>
    <row r="174" spans="1:13" x14ac:dyDescent="0.3">
      <c r="A174" s="216"/>
      <c r="B174" s="205"/>
      <c r="C174" s="205"/>
      <c r="D174" s="205"/>
      <c r="E174" s="205"/>
      <c r="F174" s="201"/>
      <c r="H174" s="8"/>
      <c r="I174" s="236"/>
      <c r="J174" s="282"/>
      <c r="K174" s="282"/>
      <c r="L174" s="236"/>
      <c r="M174" s="193"/>
    </row>
    <row r="175" spans="1:13" x14ac:dyDescent="0.3">
      <c r="A175" s="216"/>
      <c r="B175" s="205"/>
      <c r="C175" s="205"/>
      <c r="D175" s="205"/>
      <c r="E175" s="205"/>
      <c r="F175" s="201"/>
      <c r="H175" s="8"/>
      <c r="I175" s="236"/>
      <c r="J175" s="282"/>
      <c r="K175" s="282"/>
      <c r="L175" s="236"/>
      <c r="M175" s="193"/>
    </row>
    <row r="176" spans="1:13" x14ac:dyDescent="0.3">
      <c r="A176" s="216"/>
      <c r="B176" s="205"/>
      <c r="C176" s="205"/>
      <c r="D176" s="205"/>
      <c r="E176" s="205"/>
      <c r="F176" s="201"/>
      <c r="H176" s="8"/>
      <c r="I176" s="236"/>
      <c r="J176" s="282"/>
      <c r="K176" s="282"/>
      <c r="L176" s="236"/>
      <c r="M176" s="193"/>
    </row>
    <row r="177" spans="1:13" x14ac:dyDescent="0.3">
      <c r="A177" s="216"/>
      <c r="B177" s="205"/>
      <c r="C177" s="205"/>
      <c r="D177" s="205"/>
      <c r="E177" s="205"/>
      <c r="F177" s="201"/>
      <c r="H177" s="8"/>
      <c r="I177" s="236"/>
      <c r="J177" s="282"/>
      <c r="K177" s="282"/>
      <c r="L177" s="236"/>
      <c r="M177" s="193"/>
    </row>
    <row r="178" spans="1:13" x14ac:dyDescent="0.3">
      <c r="A178" s="216"/>
      <c r="B178" s="205"/>
      <c r="C178" s="205"/>
      <c r="D178" s="205"/>
      <c r="E178" s="205"/>
      <c r="F178" s="201"/>
      <c r="H178" s="8"/>
      <c r="I178" s="236"/>
      <c r="J178" s="282"/>
      <c r="K178" s="282"/>
      <c r="L178" s="236"/>
      <c r="M178" s="193"/>
    </row>
    <row r="179" spans="1:13" x14ac:dyDescent="0.3">
      <c r="A179" s="216"/>
      <c r="B179" s="205"/>
      <c r="C179" s="205"/>
      <c r="D179" s="205"/>
      <c r="E179" s="205"/>
      <c r="F179" s="201"/>
      <c r="H179" s="8"/>
      <c r="I179" s="236"/>
      <c r="J179" s="282"/>
      <c r="K179" s="282"/>
      <c r="L179" s="236"/>
      <c r="M179" s="193"/>
    </row>
    <row r="180" spans="1:13" x14ac:dyDescent="0.3">
      <c r="A180" s="216"/>
      <c r="B180" s="205"/>
      <c r="C180" s="205"/>
      <c r="D180" s="205"/>
      <c r="E180" s="205"/>
      <c r="F180" s="201"/>
      <c r="H180" s="8"/>
      <c r="I180" s="236"/>
      <c r="J180" s="282"/>
      <c r="K180" s="282"/>
      <c r="L180" s="236"/>
      <c r="M180" s="193"/>
    </row>
    <row r="181" spans="1:13" x14ac:dyDescent="0.3">
      <c r="A181" s="216"/>
      <c r="B181" s="205"/>
      <c r="C181" s="205"/>
      <c r="D181" s="205"/>
      <c r="E181" s="205"/>
      <c r="F181" s="201"/>
      <c r="H181" s="8"/>
      <c r="I181" s="236"/>
      <c r="J181" s="282"/>
      <c r="K181" s="282"/>
      <c r="L181" s="236"/>
      <c r="M181" s="193"/>
    </row>
    <row r="182" spans="1:13" x14ac:dyDescent="0.3">
      <c r="A182" s="216"/>
      <c r="B182" s="205"/>
      <c r="C182" s="205"/>
      <c r="D182" s="205"/>
      <c r="E182" s="205"/>
      <c r="F182" s="201"/>
      <c r="H182" s="8"/>
      <c r="I182" s="236"/>
      <c r="J182" s="282"/>
      <c r="K182" s="282"/>
      <c r="L182" s="236"/>
      <c r="M182" s="193"/>
    </row>
    <row r="183" spans="1:13" x14ac:dyDescent="0.3">
      <c r="A183" s="216"/>
      <c r="B183" s="205"/>
      <c r="C183" s="205"/>
      <c r="D183" s="205"/>
      <c r="E183" s="205"/>
      <c r="F183" s="201"/>
      <c r="H183" s="8"/>
      <c r="I183" s="236"/>
      <c r="J183" s="282"/>
      <c r="K183" s="282"/>
      <c r="L183" s="236"/>
      <c r="M183" s="193"/>
    </row>
    <row r="184" spans="1:13" x14ac:dyDescent="0.3">
      <c r="A184" s="216"/>
      <c r="B184" s="205"/>
      <c r="C184" s="205"/>
      <c r="D184" s="205"/>
      <c r="E184" s="205"/>
      <c r="F184" s="201"/>
      <c r="H184" s="8"/>
      <c r="I184" s="236"/>
      <c r="J184" s="282"/>
      <c r="K184" s="282"/>
      <c r="L184" s="236"/>
      <c r="M184" s="193"/>
    </row>
    <row r="185" spans="1:13" x14ac:dyDescent="0.3">
      <c r="A185" s="216"/>
      <c r="B185" s="205"/>
      <c r="C185" s="205"/>
      <c r="D185" s="205"/>
      <c r="E185" s="205"/>
      <c r="F185" s="201"/>
      <c r="H185" s="8"/>
      <c r="I185" s="236"/>
      <c r="J185" s="282"/>
      <c r="K185" s="282"/>
      <c r="L185" s="236"/>
      <c r="M185" s="193"/>
    </row>
    <row r="186" spans="1:13" x14ac:dyDescent="0.3">
      <c r="A186" s="216"/>
      <c r="B186" s="205"/>
      <c r="C186" s="205"/>
      <c r="D186" s="205"/>
      <c r="E186" s="205"/>
      <c r="F186" s="201"/>
      <c r="H186" s="8"/>
      <c r="I186" s="236"/>
      <c r="J186" s="282"/>
      <c r="K186" s="282"/>
      <c r="L186" s="236"/>
      <c r="M186" s="193"/>
    </row>
    <row r="187" spans="1:13" x14ac:dyDescent="0.3">
      <c r="A187" s="216"/>
      <c r="B187" s="205"/>
      <c r="C187" s="205"/>
      <c r="D187" s="205"/>
      <c r="E187" s="205"/>
      <c r="F187" s="201"/>
      <c r="H187" s="8"/>
      <c r="I187" s="236"/>
      <c r="J187" s="282"/>
      <c r="K187" s="282"/>
      <c r="L187" s="236"/>
      <c r="M187" s="193"/>
    </row>
    <row r="188" spans="1:13" x14ac:dyDescent="0.3">
      <c r="A188" s="216"/>
      <c r="B188" s="205"/>
      <c r="C188" s="205"/>
      <c r="D188" s="205"/>
      <c r="E188" s="205"/>
      <c r="F188" s="201"/>
      <c r="H188" s="8"/>
      <c r="I188" s="236"/>
      <c r="J188" s="282"/>
      <c r="K188" s="282"/>
      <c r="L188" s="236"/>
      <c r="M188" s="193"/>
    </row>
    <row r="189" spans="1:13" x14ac:dyDescent="0.3">
      <c r="A189" s="216"/>
      <c r="B189" s="205"/>
      <c r="C189" s="205"/>
      <c r="D189" s="205"/>
      <c r="E189" s="205"/>
      <c r="F189" s="201"/>
      <c r="H189" s="8"/>
      <c r="I189" s="236"/>
      <c r="J189" s="282"/>
      <c r="K189" s="282"/>
      <c r="L189" s="236"/>
      <c r="M189" s="193"/>
    </row>
    <row r="190" spans="1:13" x14ac:dyDescent="0.3">
      <c r="A190" s="216"/>
      <c r="B190" s="205"/>
      <c r="C190" s="205"/>
      <c r="D190" s="205"/>
      <c r="E190" s="205"/>
      <c r="F190" s="201"/>
      <c r="H190" s="8"/>
      <c r="I190" s="236"/>
      <c r="J190" s="282"/>
      <c r="K190" s="282"/>
      <c r="L190" s="236"/>
      <c r="M190" s="193"/>
    </row>
    <row r="191" spans="1:13" x14ac:dyDescent="0.3">
      <c r="A191" s="216"/>
      <c r="B191" s="205"/>
      <c r="C191" s="205"/>
      <c r="D191" s="205"/>
      <c r="E191" s="205"/>
      <c r="F191" s="201"/>
      <c r="H191" s="8"/>
      <c r="I191" s="236"/>
      <c r="J191" s="282"/>
      <c r="K191" s="282"/>
      <c r="L191" s="236"/>
      <c r="M191" s="193"/>
    </row>
    <row r="192" spans="1:13" x14ac:dyDescent="0.3">
      <c r="A192" s="216"/>
      <c r="B192" s="205"/>
      <c r="C192" s="205"/>
      <c r="D192" s="205"/>
      <c r="E192" s="205"/>
      <c r="F192" s="201"/>
      <c r="H192" s="8"/>
      <c r="I192" s="236"/>
      <c r="J192" s="282"/>
      <c r="K192" s="282"/>
      <c r="L192" s="236"/>
      <c r="M192" s="193"/>
    </row>
    <row r="193" spans="1:13" x14ac:dyDescent="0.3">
      <c r="A193" s="216"/>
      <c r="B193" s="205"/>
      <c r="C193" s="205"/>
      <c r="D193" s="205"/>
      <c r="E193" s="205"/>
      <c r="F193" s="201"/>
      <c r="H193" s="8"/>
      <c r="I193" s="236"/>
      <c r="J193" s="282"/>
      <c r="K193" s="282"/>
      <c r="L193" s="236"/>
      <c r="M193" s="193"/>
    </row>
    <row r="194" spans="1:13" x14ac:dyDescent="0.3">
      <c r="A194" s="216"/>
      <c r="B194" s="205"/>
      <c r="C194" s="205"/>
      <c r="D194" s="205"/>
      <c r="E194" s="205"/>
      <c r="F194" s="201"/>
      <c r="H194" s="8"/>
      <c r="I194" s="236"/>
      <c r="J194" s="282"/>
      <c r="K194" s="282"/>
      <c r="L194" s="236"/>
      <c r="M194" s="193"/>
    </row>
    <row r="195" spans="1:13" x14ac:dyDescent="0.3">
      <c r="A195" s="216"/>
      <c r="B195" s="205"/>
      <c r="C195" s="205"/>
      <c r="D195" s="205"/>
      <c r="E195" s="205"/>
      <c r="F195" s="201"/>
      <c r="H195" s="8"/>
      <c r="I195" s="236"/>
      <c r="J195" s="282"/>
      <c r="K195" s="282"/>
      <c r="L195" s="236"/>
      <c r="M195" s="193"/>
    </row>
    <row r="196" spans="1:13" x14ac:dyDescent="0.3">
      <c r="A196" s="216"/>
      <c r="B196" s="205"/>
      <c r="C196" s="205"/>
      <c r="D196" s="205"/>
      <c r="E196" s="205"/>
      <c r="F196" s="201"/>
      <c r="H196" s="8"/>
      <c r="I196" s="236"/>
      <c r="J196" s="282"/>
      <c r="K196" s="282"/>
      <c r="L196" s="236"/>
      <c r="M196" s="193"/>
    </row>
    <row r="197" spans="1:13" x14ac:dyDescent="0.3">
      <c r="A197" s="216"/>
      <c r="B197" s="205"/>
      <c r="C197" s="205"/>
      <c r="D197" s="205"/>
      <c r="E197" s="205"/>
      <c r="F197" s="201"/>
      <c r="H197" s="8"/>
      <c r="I197" s="236"/>
      <c r="J197" s="282"/>
      <c r="K197" s="282"/>
      <c r="L197" s="236"/>
      <c r="M197" s="193"/>
    </row>
    <row r="198" spans="1:13" x14ac:dyDescent="0.3">
      <c r="A198" s="216"/>
      <c r="B198" s="205"/>
      <c r="C198" s="205"/>
      <c r="D198" s="205"/>
      <c r="E198" s="205"/>
      <c r="F198" s="201"/>
      <c r="H198" s="8"/>
      <c r="I198" s="236"/>
      <c r="J198" s="282"/>
      <c r="K198" s="282"/>
      <c r="L198" s="236"/>
      <c r="M198" s="193"/>
    </row>
    <row r="199" spans="1:13" x14ac:dyDescent="0.3">
      <c r="A199" s="216"/>
      <c r="B199" s="205"/>
      <c r="C199" s="205"/>
      <c r="D199" s="205"/>
      <c r="E199" s="205"/>
      <c r="F199" s="201"/>
      <c r="H199" s="8"/>
      <c r="I199" s="236"/>
      <c r="J199" s="282"/>
      <c r="K199" s="282"/>
      <c r="L199" s="236"/>
      <c r="M199" s="193"/>
    </row>
    <row r="200" spans="1:13" x14ac:dyDescent="0.3">
      <c r="A200" s="216"/>
      <c r="B200" s="205"/>
      <c r="C200" s="205"/>
      <c r="D200" s="205"/>
      <c r="E200" s="205"/>
      <c r="F200" s="201"/>
      <c r="H200" s="8"/>
      <c r="I200" s="236"/>
      <c r="J200" s="282"/>
      <c r="K200" s="282"/>
      <c r="L200" s="236"/>
      <c r="M200" s="193"/>
    </row>
    <row r="201" spans="1:13" x14ac:dyDescent="0.3">
      <c r="A201" s="216"/>
      <c r="B201" s="205"/>
      <c r="C201" s="205"/>
      <c r="D201" s="205"/>
      <c r="E201" s="205"/>
      <c r="F201" s="201"/>
      <c r="H201" s="8"/>
      <c r="I201" s="236"/>
      <c r="J201" s="282"/>
      <c r="K201" s="282"/>
      <c r="L201" s="236"/>
      <c r="M201" s="193"/>
    </row>
    <row r="202" spans="1:13" x14ac:dyDescent="0.3">
      <c r="A202" s="216"/>
      <c r="B202" s="205"/>
      <c r="C202" s="205"/>
      <c r="D202" s="205"/>
      <c r="E202" s="205"/>
      <c r="F202" s="201"/>
      <c r="H202" s="8"/>
      <c r="I202" s="236"/>
      <c r="J202" s="282"/>
      <c r="K202" s="282"/>
      <c r="L202" s="236"/>
      <c r="M202" s="193"/>
    </row>
    <row r="203" spans="1:13" x14ac:dyDescent="0.3">
      <c r="A203" s="216"/>
      <c r="B203" s="205"/>
      <c r="C203" s="205"/>
      <c r="D203" s="205"/>
      <c r="E203" s="205"/>
      <c r="F203" s="201"/>
      <c r="H203" s="8"/>
      <c r="I203" s="236"/>
      <c r="J203" s="282"/>
      <c r="K203" s="282"/>
      <c r="L203" s="236"/>
      <c r="M203" s="193"/>
    </row>
    <row r="204" spans="1:13" x14ac:dyDescent="0.3">
      <c r="A204" s="216"/>
      <c r="B204" s="205"/>
      <c r="C204" s="205"/>
      <c r="D204" s="205"/>
      <c r="E204" s="205"/>
      <c r="F204" s="201"/>
      <c r="H204" s="8"/>
      <c r="I204" s="236"/>
      <c r="J204" s="282"/>
      <c r="K204" s="282"/>
      <c r="L204" s="236"/>
      <c r="M204" s="193"/>
    </row>
    <row r="205" spans="1:13" x14ac:dyDescent="0.3">
      <c r="A205" s="216"/>
      <c r="B205" s="205"/>
      <c r="C205" s="205"/>
      <c r="D205" s="205"/>
      <c r="E205" s="205"/>
      <c r="F205" s="201"/>
      <c r="H205" s="8"/>
      <c r="I205" s="236"/>
      <c r="J205" s="282"/>
      <c r="K205" s="282"/>
      <c r="L205" s="236"/>
      <c r="M205" s="193"/>
    </row>
    <row r="206" spans="1:13" x14ac:dyDescent="0.3">
      <c r="A206" s="216"/>
      <c r="B206" s="205"/>
      <c r="C206" s="205"/>
      <c r="D206" s="205"/>
      <c r="E206" s="205"/>
      <c r="F206" s="201"/>
      <c r="H206" s="8"/>
      <c r="I206" s="236"/>
      <c r="J206" s="282"/>
      <c r="K206" s="282"/>
      <c r="L206" s="236"/>
      <c r="M206" s="193"/>
    </row>
    <row r="207" spans="1:13" x14ac:dyDescent="0.3">
      <c r="A207" s="216"/>
      <c r="B207" s="205"/>
      <c r="C207" s="205"/>
      <c r="D207" s="205"/>
      <c r="E207" s="205"/>
      <c r="F207" s="201"/>
      <c r="H207" s="8"/>
      <c r="I207" s="236"/>
      <c r="J207" s="282"/>
      <c r="K207" s="282"/>
      <c r="L207" s="236"/>
      <c r="M207" s="193"/>
    </row>
    <row r="208" spans="1:13" x14ac:dyDescent="0.3">
      <c r="A208" s="216"/>
      <c r="B208" s="205"/>
      <c r="C208" s="205"/>
      <c r="D208" s="205"/>
      <c r="E208" s="205"/>
      <c r="F208" s="201"/>
      <c r="H208" s="8"/>
      <c r="I208" s="236"/>
      <c r="J208" s="282"/>
      <c r="K208" s="282"/>
      <c r="L208" s="236"/>
      <c r="M208" s="193"/>
    </row>
    <row r="209" spans="1:13" x14ac:dyDescent="0.3">
      <c r="A209" s="216"/>
      <c r="B209" s="205"/>
      <c r="C209" s="205"/>
      <c r="D209" s="205"/>
      <c r="E209" s="205"/>
      <c r="F209" s="201"/>
      <c r="H209" s="8"/>
      <c r="I209" s="236"/>
      <c r="J209" s="282"/>
      <c r="K209" s="282"/>
      <c r="L209" s="236"/>
      <c r="M209" s="193"/>
    </row>
    <row r="210" spans="1:13" x14ac:dyDescent="0.3">
      <c r="A210" s="216"/>
      <c r="B210" s="205"/>
      <c r="C210" s="205"/>
      <c r="D210" s="205"/>
      <c r="E210" s="205"/>
      <c r="F210" s="201"/>
      <c r="H210" s="8"/>
      <c r="I210" s="236"/>
      <c r="J210" s="282"/>
      <c r="K210" s="282"/>
      <c r="L210" s="236"/>
      <c r="M210" s="193"/>
    </row>
    <row r="211" spans="1:13" x14ac:dyDescent="0.3">
      <c r="A211" s="216"/>
      <c r="B211" s="205"/>
      <c r="C211" s="205"/>
      <c r="D211" s="205"/>
      <c r="E211" s="205"/>
      <c r="F211" s="201"/>
      <c r="H211" s="8"/>
      <c r="I211" s="236"/>
      <c r="J211" s="282"/>
      <c r="K211" s="282"/>
      <c r="L211" s="236"/>
      <c r="M211" s="193"/>
    </row>
    <row r="212" spans="1:13" x14ac:dyDescent="0.3">
      <c r="A212" s="216"/>
      <c r="B212" s="205"/>
      <c r="C212" s="205"/>
      <c r="D212" s="205"/>
      <c r="E212" s="205"/>
      <c r="F212" s="201"/>
      <c r="H212" s="8"/>
      <c r="I212" s="236"/>
      <c r="J212" s="282"/>
      <c r="K212" s="282"/>
      <c r="L212" s="236"/>
      <c r="M212" s="193"/>
    </row>
    <row r="213" spans="1:13" x14ac:dyDescent="0.3">
      <c r="A213" s="216"/>
      <c r="B213" s="205"/>
      <c r="C213" s="205"/>
      <c r="D213" s="205"/>
      <c r="E213" s="205"/>
      <c r="F213" s="201"/>
      <c r="H213" s="8"/>
      <c r="I213" s="236"/>
      <c r="J213" s="282"/>
      <c r="K213" s="282"/>
      <c r="L213" s="236"/>
      <c r="M213" s="193"/>
    </row>
    <row r="214" spans="1:13" x14ac:dyDescent="0.3">
      <c r="A214" s="216"/>
      <c r="B214" s="205"/>
      <c r="C214" s="205"/>
      <c r="D214" s="205"/>
      <c r="E214" s="205"/>
      <c r="F214" s="201"/>
      <c r="H214" s="8"/>
      <c r="I214" s="236"/>
      <c r="J214" s="282"/>
      <c r="K214" s="282"/>
      <c r="L214" s="236"/>
      <c r="M214" s="193"/>
    </row>
    <row r="215" spans="1:13" x14ac:dyDescent="0.3">
      <c r="A215" s="216"/>
      <c r="B215" s="205"/>
      <c r="C215" s="205"/>
      <c r="D215" s="205"/>
      <c r="E215" s="205"/>
      <c r="F215" s="201"/>
      <c r="H215" s="8"/>
      <c r="I215" s="236"/>
      <c r="J215" s="282"/>
      <c r="K215" s="282"/>
      <c r="L215" s="236"/>
      <c r="M215" s="193"/>
    </row>
    <row r="216" spans="1:13" x14ac:dyDescent="0.3">
      <c r="A216" s="216"/>
      <c r="B216" s="205"/>
      <c r="C216" s="205"/>
      <c r="D216" s="205"/>
      <c r="E216" s="205"/>
      <c r="F216" s="201"/>
      <c r="H216" s="8"/>
      <c r="I216" s="236"/>
      <c r="J216" s="282"/>
      <c r="K216" s="282"/>
      <c r="L216" s="236"/>
      <c r="M216" s="193"/>
    </row>
    <row r="217" spans="1:13" x14ac:dyDescent="0.3">
      <c r="A217" s="216"/>
      <c r="B217" s="205"/>
      <c r="C217" s="205"/>
      <c r="D217" s="205"/>
      <c r="E217" s="205"/>
      <c r="F217" s="201"/>
      <c r="H217" s="8"/>
      <c r="I217" s="236"/>
      <c r="J217" s="282"/>
      <c r="K217" s="282"/>
      <c r="L217" s="236"/>
      <c r="M217" s="193"/>
    </row>
    <row r="218" spans="1:13" x14ac:dyDescent="0.3">
      <c r="A218" s="216"/>
      <c r="B218" s="205"/>
      <c r="C218" s="205"/>
      <c r="D218" s="205"/>
      <c r="E218" s="205"/>
      <c r="F218" s="201"/>
      <c r="H218" s="8"/>
      <c r="I218" s="236"/>
      <c r="J218" s="282"/>
      <c r="K218" s="282"/>
      <c r="L218" s="236"/>
      <c r="M218" s="193"/>
    </row>
    <row r="219" spans="1:13" x14ac:dyDescent="0.3">
      <c r="A219" s="216"/>
      <c r="B219" s="205"/>
      <c r="C219" s="205"/>
      <c r="D219" s="205"/>
      <c r="E219" s="205"/>
      <c r="F219" s="201"/>
      <c r="H219" s="8"/>
      <c r="I219" s="236"/>
      <c r="J219" s="282"/>
      <c r="K219" s="282"/>
      <c r="L219" s="236"/>
      <c r="M219" s="193"/>
    </row>
    <row r="220" spans="1:13" x14ac:dyDescent="0.3">
      <c r="A220" s="216"/>
      <c r="B220" s="205"/>
      <c r="C220" s="205"/>
      <c r="D220" s="205"/>
      <c r="E220" s="205"/>
      <c r="F220" s="201"/>
      <c r="H220" s="8"/>
      <c r="I220" s="236"/>
      <c r="J220" s="282"/>
      <c r="K220" s="282"/>
      <c r="L220" s="236"/>
      <c r="M220" s="193"/>
    </row>
    <row r="221" spans="1:13" x14ac:dyDescent="0.3">
      <c r="A221" s="216"/>
      <c r="B221" s="205"/>
      <c r="C221" s="205"/>
      <c r="D221" s="205"/>
      <c r="E221" s="205"/>
      <c r="F221" s="201"/>
      <c r="H221" s="8"/>
      <c r="I221" s="236"/>
      <c r="J221" s="282"/>
      <c r="K221" s="282"/>
      <c r="L221" s="236"/>
      <c r="M221" s="193"/>
    </row>
    <row r="222" spans="1:13" x14ac:dyDescent="0.3">
      <c r="A222" s="216"/>
      <c r="B222" s="205"/>
      <c r="C222" s="205"/>
      <c r="D222" s="205"/>
      <c r="E222" s="205"/>
      <c r="F222" s="201"/>
      <c r="H222" s="8"/>
      <c r="I222" s="236"/>
      <c r="J222" s="282"/>
      <c r="K222" s="282"/>
      <c r="L222" s="236"/>
      <c r="M222" s="193"/>
    </row>
    <row r="223" spans="1:13" x14ac:dyDescent="0.3">
      <c r="A223" s="216"/>
      <c r="B223" s="205"/>
      <c r="C223" s="205"/>
      <c r="D223" s="205"/>
      <c r="E223" s="205"/>
      <c r="F223" s="201"/>
      <c r="H223" s="8"/>
      <c r="I223" s="236"/>
      <c r="J223" s="282"/>
      <c r="K223" s="282"/>
      <c r="L223" s="236"/>
      <c r="M223" s="193"/>
    </row>
    <row r="224" spans="1:13" x14ac:dyDescent="0.3">
      <c r="A224" s="216"/>
      <c r="B224" s="205"/>
      <c r="C224" s="205"/>
      <c r="D224" s="205"/>
      <c r="E224" s="205"/>
      <c r="F224" s="201"/>
      <c r="H224" s="8"/>
      <c r="I224" s="236"/>
      <c r="J224" s="282"/>
      <c r="K224" s="282"/>
      <c r="L224" s="236"/>
      <c r="M224" s="193"/>
    </row>
    <row r="225" spans="1:13" x14ac:dyDescent="0.3">
      <c r="A225" s="216"/>
      <c r="B225" s="205"/>
      <c r="C225" s="205"/>
      <c r="D225" s="205"/>
      <c r="E225" s="205"/>
      <c r="F225" s="201"/>
      <c r="H225" s="8"/>
      <c r="I225" s="236"/>
      <c r="J225" s="282"/>
      <c r="K225" s="282"/>
      <c r="L225" s="236"/>
      <c r="M225" s="193"/>
    </row>
    <row r="226" spans="1:13" x14ac:dyDescent="0.3">
      <c r="A226" s="216"/>
      <c r="B226" s="205"/>
      <c r="C226" s="205"/>
      <c r="D226" s="205"/>
      <c r="E226" s="205"/>
      <c r="F226" s="201"/>
      <c r="H226" s="8"/>
      <c r="I226" s="236"/>
      <c r="J226" s="282"/>
      <c r="K226" s="282"/>
      <c r="L226" s="236"/>
      <c r="M226" s="193"/>
    </row>
    <row r="227" spans="1:13" x14ac:dyDescent="0.3">
      <c r="A227" s="216"/>
      <c r="B227" s="205"/>
      <c r="C227" s="205"/>
      <c r="D227" s="205"/>
      <c r="E227" s="205"/>
      <c r="F227" s="201"/>
      <c r="H227" s="8"/>
      <c r="I227" s="236"/>
      <c r="J227" s="282"/>
      <c r="K227" s="282"/>
      <c r="L227" s="236"/>
      <c r="M227" s="193"/>
    </row>
    <row r="228" spans="1:13" x14ac:dyDescent="0.3">
      <c r="A228" s="216"/>
      <c r="B228" s="205"/>
      <c r="C228" s="205"/>
      <c r="D228" s="205"/>
      <c r="E228" s="205"/>
      <c r="F228" s="201"/>
      <c r="H228" s="46"/>
      <c r="I228" s="236"/>
      <c r="J228" s="282"/>
      <c r="K228" s="282"/>
      <c r="L228" s="236"/>
      <c r="M228" s="193"/>
    </row>
    <row r="229" spans="1:13" x14ac:dyDescent="0.3">
      <c r="A229" s="216"/>
      <c r="B229" s="205"/>
      <c r="C229" s="205"/>
      <c r="D229" s="205"/>
      <c r="E229" s="205"/>
      <c r="F229" s="201"/>
      <c r="H229" s="46"/>
      <c r="I229" s="236"/>
      <c r="J229" s="282"/>
      <c r="K229" s="282"/>
      <c r="L229" s="236"/>
      <c r="M229" s="193"/>
    </row>
    <row r="230" spans="1:13" x14ac:dyDescent="0.3">
      <c r="A230" s="216"/>
      <c r="B230" s="205"/>
      <c r="C230" s="205"/>
      <c r="D230" s="205"/>
      <c r="E230" s="205"/>
      <c r="F230" s="201"/>
      <c r="H230" s="46"/>
      <c r="I230" s="236"/>
      <c r="J230" s="282"/>
      <c r="K230" s="282"/>
      <c r="L230" s="236"/>
      <c r="M230" s="193"/>
    </row>
    <row r="231" spans="1:13" x14ac:dyDescent="0.3">
      <c r="A231" s="216"/>
      <c r="B231" s="205"/>
      <c r="C231" s="205"/>
      <c r="D231" s="205"/>
      <c r="E231" s="205"/>
      <c r="F231" s="201"/>
      <c r="H231" s="46"/>
      <c r="I231" s="236"/>
      <c r="J231" s="282"/>
      <c r="K231" s="282"/>
      <c r="L231" s="236"/>
      <c r="M231" s="193"/>
    </row>
    <row r="232" spans="1:13" x14ac:dyDescent="0.3">
      <c r="A232" s="216"/>
      <c r="B232" s="205"/>
      <c r="C232" s="205"/>
      <c r="D232" s="205"/>
      <c r="E232" s="205"/>
      <c r="F232" s="201"/>
      <c r="H232" s="46"/>
      <c r="I232" s="236"/>
      <c r="J232" s="282"/>
      <c r="K232" s="282"/>
      <c r="L232" s="236"/>
      <c r="M232" s="193"/>
    </row>
    <row r="233" spans="1:13" x14ac:dyDescent="0.3">
      <c r="A233" s="216"/>
      <c r="B233" s="205"/>
      <c r="C233" s="205"/>
      <c r="D233" s="205"/>
      <c r="E233" s="205"/>
      <c r="F233" s="201"/>
      <c r="H233" s="46"/>
      <c r="I233" s="236"/>
      <c r="J233" s="282"/>
      <c r="K233" s="282"/>
      <c r="L233" s="236"/>
      <c r="M233" s="193"/>
    </row>
    <row r="234" spans="1:13" x14ac:dyDescent="0.3">
      <c r="A234" s="216"/>
      <c r="B234" s="205"/>
      <c r="C234" s="205"/>
      <c r="D234" s="205"/>
      <c r="E234" s="205"/>
      <c r="F234" s="201"/>
      <c r="H234" s="46"/>
      <c r="I234" s="236"/>
      <c r="J234" s="282"/>
      <c r="K234" s="282"/>
      <c r="L234" s="236"/>
      <c r="M234" s="193"/>
    </row>
    <row r="235" spans="1:13" x14ac:dyDescent="0.3">
      <c r="A235" s="216"/>
      <c r="B235" s="205"/>
      <c r="C235" s="205"/>
      <c r="D235" s="205"/>
      <c r="E235" s="205"/>
      <c r="F235" s="201"/>
      <c r="H235" s="46"/>
      <c r="I235" s="236"/>
      <c r="J235" s="282"/>
      <c r="K235" s="282"/>
      <c r="L235" s="236"/>
      <c r="M235" s="193"/>
    </row>
    <row r="236" spans="1:13" x14ac:dyDescent="0.3">
      <c r="A236" s="216"/>
      <c r="B236" s="205"/>
      <c r="C236" s="205"/>
      <c r="D236" s="205"/>
      <c r="E236" s="205"/>
      <c r="F236" s="201"/>
      <c r="H236" s="46"/>
      <c r="I236" s="236"/>
      <c r="J236" s="282"/>
      <c r="K236" s="282"/>
      <c r="L236" s="236"/>
      <c r="M236" s="193"/>
    </row>
    <row r="237" spans="1:13" x14ac:dyDescent="0.3">
      <c r="A237" s="216"/>
      <c r="B237" s="205"/>
      <c r="C237" s="205"/>
      <c r="D237" s="205"/>
      <c r="E237" s="205"/>
      <c r="F237" s="201"/>
      <c r="H237" s="46"/>
      <c r="I237" s="236"/>
      <c r="J237" s="282"/>
      <c r="K237" s="282"/>
      <c r="L237" s="236"/>
      <c r="M237" s="193"/>
    </row>
    <row r="238" spans="1:13" x14ac:dyDescent="0.3">
      <c r="A238" s="216"/>
      <c r="B238" s="205"/>
      <c r="C238" s="205"/>
      <c r="D238" s="205"/>
      <c r="E238" s="205"/>
      <c r="F238" s="201"/>
      <c r="H238" s="46"/>
      <c r="I238" s="236"/>
      <c r="J238" s="282"/>
      <c r="K238" s="282"/>
      <c r="L238" s="236"/>
      <c r="M238" s="193"/>
    </row>
    <row r="239" spans="1:13" x14ac:dyDescent="0.3">
      <c r="A239" s="216"/>
      <c r="B239" s="205"/>
      <c r="C239" s="205"/>
      <c r="D239" s="205"/>
      <c r="E239" s="205"/>
      <c r="F239" s="201"/>
      <c r="H239" s="46"/>
      <c r="I239" s="236"/>
      <c r="J239" s="282"/>
      <c r="K239" s="282"/>
      <c r="L239" s="236"/>
      <c r="M239" s="193"/>
    </row>
    <row r="240" spans="1:13" x14ac:dyDescent="0.3">
      <c r="A240" s="216"/>
      <c r="B240" s="205"/>
      <c r="C240" s="205"/>
      <c r="D240" s="205"/>
      <c r="E240" s="205"/>
      <c r="F240" s="201"/>
      <c r="H240" s="46"/>
      <c r="I240" s="236"/>
      <c r="J240" s="282"/>
      <c r="K240" s="282"/>
      <c r="L240" s="236"/>
      <c r="M240" s="193"/>
    </row>
    <row r="241" spans="1:13" x14ac:dyDescent="0.3">
      <c r="A241" s="216"/>
      <c r="B241" s="205"/>
      <c r="C241" s="205"/>
      <c r="D241" s="205"/>
      <c r="E241" s="205"/>
      <c r="F241" s="201"/>
      <c r="H241" s="46"/>
      <c r="I241" s="236"/>
      <c r="J241" s="282"/>
      <c r="K241" s="282"/>
      <c r="L241" s="236"/>
      <c r="M241" s="193"/>
    </row>
    <row r="242" spans="1:13" x14ac:dyDescent="0.3">
      <c r="A242" s="216"/>
      <c r="B242" s="205"/>
      <c r="C242" s="205"/>
      <c r="D242" s="205"/>
      <c r="E242" s="205"/>
      <c r="F242" s="201"/>
      <c r="H242" s="46"/>
      <c r="I242" s="236"/>
      <c r="J242" s="282"/>
      <c r="K242" s="282"/>
      <c r="L242" s="236"/>
      <c r="M242" s="193"/>
    </row>
    <row r="243" spans="1:13" x14ac:dyDescent="0.3">
      <c r="A243" s="216"/>
      <c r="B243" s="205"/>
      <c r="C243" s="205"/>
      <c r="D243" s="205"/>
      <c r="E243" s="205"/>
      <c r="F243" s="201"/>
      <c r="H243" s="46"/>
      <c r="I243" s="236"/>
      <c r="J243" s="282"/>
      <c r="K243" s="282"/>
      <c r="L243" s="236"/>
      <c r="M243" s="193"/>
    </row>
    <row r="244" spans="1:13" x14ac:dyDescent="0.3">
      <c r="A244" s="216"/>
      <c r="B244" s="205"/>
      <c r="C244" s="205"/>
      <c r="D244" s="205"/>
      <c r="E244" s="205"/>
      <c r="F244" s="201"/>
      <c r="H244" s="46"/>
      <c r="I244" s="236"/>
      <c r="J244" s="282"/>
      <c r="K244" s="282"/>
      <c r="L244" s="236"/>
      <c r="M244" s="193"/>
    </row>
    <row r="245" spans="1:13" x14ac:dyDescent="0.3">
      <c r="A245" s="216"/>
      <c r="B245" s="205"/>
      <c r="C245" s="205"/>
      <c r="D245" s="205"/>
      <c r="E245" s="205"/>
      <c r="F245" s="201"/>
      <c r="H245" s="46"/>
      <c r="I245" s="236"/>
      <c r="J245" s="282"/>
      <c r="K245" s="282"/>
      <c r="L245" s="236"/>
      <c r="M245" s="193"/>
    </row>
    <row r="246" spans="1:13" x14ac:dyDescent="0.3">
      <c r="A246" s="216"/>
      <c r="B246" s="205"/>
      <c r="C246" s="205"/>
      <c r="D246" s="205"/>
      <c r="E246" s="205"/>
      <c r="F246" s="201"/>
      <c r="H246" s="46"/>
      <c r="I246" s="236"/>
      <c r="J246" s="282"/>
      <c r="K246" s="282"/>
      <c r="L246" s="236"/>
      <c r="M246" s="193"/>
    </row>
    <row r="247" spans="1:13" x14ac:dyDescent="0.3">
      <c r="A247" s="216"/>
      <c r="B247" s="205"/>
      <c r="C247" s="205"/>
      <c r="D247" s="205"/>
      <c r="E247" s="205"/>
      <c r="F247" s="201"/>
      <c r="H247" s="46"/>
      <c r="I247" s="236"/>
      <c r="J247" s="282"/>
      <c r="K247" s="282"/>
      <c r="L247" s="236"/>
      <c r="M247" s="193"/>
    </row>
    <row r="248" spans="1:13" x14ac:dyDescent="0.3">
      <c r="A248" s="216"/>
      <c r="B248" s="205"/>
      <c r="C248" s="205"/>
      <c r="D248" s="205"/>
      <c r="E248" s="205"/>
      <c r="F248" s="201"/>
      <c r="H248" s="46"/>
      <c r="I248" s="236"/>
      <c r="J248" s="282"/>
      <c r="K248" s="282"/>
      <c r="L248" s="236"/>
      <c r="M248" s="193"/>
    </row>
    <row r="249" spans="1:13" x14ac:dyDescent="0.3">
      <c r="A249" s="216"/>
      <c r="B249" s="205"/>
      <c r="C249" s="205"/>
      <c r="D249" s="205"/>
      <c r="E249" s="205"/>
      <c r="F249" s="201"/>
      <c r="H249" s="46"/>
      <c r="I249" s="236"/>
      <c r="J249" s="282"/>
      <c r="K249" s="282"/>
      <c r="L249" s="236"/>
      <c r="M249" s="193"/>
    </row>
    <row r="250" spans="1:13" x14ac:dyDescent="0.3">
      <c r="A250" s="216"/>
      <c r="B250" s="205"/>
      <c r="C250" s="205"/>
      <c r="D250" s="205"/>
      <c r="E250" s="205"/>
      <c r="F250" s="201"/>
      <c r="H250" s="46"/>
      <c r="I250" s="236"/>
      <c r="J250" s="282"/>
      <c r="K250" s="282"/>
      <c r="L250" s="236"/>
      <c r="M250" s="193"/>
    </row>
    <row r="251" spans="1:13" x14ac:dyDescent="0.3">
      <c r="A251" s="216"/>
      <c r="B251" s="205"/>
      <c r="C251" s="205"/>
      <c r="D251" s="205"/>
      <c r="E251" s="205"/>
      <c r="F251" s="201"/>
      <c r="H251" s="46"/>
      <c r="I251" s="236"/>
      <c r="J251" s="282"/>
      <c r="K251" s="282"/>
      <c r="L251" s="236"/>
      <c r="M251" s="193"/>
    </row>
    <row r="252" spans="1:13" x14ac:dyDescent="0.3">
      <c r="A252" s="216"/>
      <c r="B252" s="205"/>
      <c r="C252" s="205"/>
      <c r="D252" s="205"/>
      <c r="E252" s="205"/>
      <c r="F252" s="201"/>
      <c r="H252" s="46"/>
      <c r="I252" s="236"/>
      <c r="J252" s="282"/>
      <c r="K252" s="282"/>
      <c r="L252" s="236"/>
      <c r="M252" s="193"/>
    </row>
    <row r="253" spans="1:13" x14ac:dyDescent="0.3">
      <c r="A253" s="216"/>
      <c r="B253" s="205"/>
      <c r="C253" s="205"/>
      <c r="D253" s="205"/>
      <c r="E253" s="205"/>
      <c r="F253" s="201"/>
      <c r="H253" s="46"/>
      <c r="I253" s="236"/>
      <c r="J253" s="282"/>
      <c r="K253" s="282"/>
      <c r="L253" s="236"/>
      <c r="M253" s="193"/>
    </row>
    <row r="254" spans="1:13" x14ac:dyDescent="0.3">
      <c r="A254" s="216"/>
      <c r="B254" s="205"/>
      <c r="C254" s="205"/>
      <c r="D254" s="205"/>
      <c r="E254" s="205"/>
      <c r="F254" s="201"/>
      <c r="H254" s="46"/>
      <c r="I254" s="236"/>
      <c r="J254" s="282"/>
      <c r="K254" s="282"/>
      <c r="L254" s="236"/>
      <c r="M254" s="193"/>
    </row>
    <row r="255" spans="1:13" x14ac:dyDescent="0.3">
      <c r="A255" s="216"/>
      <c r="B255" s="205"/>
      <c r="C255" s="205"/>
      <c r="D255" s="205"/>
      <c r="E255" s="205"/>
      <c r="F255" s="201"/>
      <c r="H255" s="46"/>
      <c r="I255" s="236"/>
      <c r="J255" s="282"/>
      <c r="K255" s="282"/>
      <c r="L255" s="236"/>
      <c r="M255" s="193"/>
    </row>
    <row r="256" spans="1:13" x14ac:dyDescent="0.3">
      <c r="A256" s="216"/>
      <c r="B256" s="205"/>
      <c r="C256" s="205"/>
      <c r="D256" s="205"/>
      <c r="E256" s="205"/>
      <c r="F256" s="201"/>
      <c r="H256" s="46"/>
      <c r="I256" s="236"/>
      <c r="J256" s="282"/>
      <c r="K256" s="282"/>
      <c r="L256" s="236"/>
      <c r="M256" s="193"/>
    </row>
    <row r="257" spans="1:13" x14ac:dyDescent="0.3">
      <c r="A257" s="216"/>
      <c r="B257" s="205"/>
      <c r="C257" s="205"/>
      <c r="D257" s="205"/>
      <c r="E257" s="205"/>
      <c r="F257" s="201"/>
      <c r="H257" s="46"/>
      <c r="I257" s="236"/>
      <c r="J257" s="282"/>
      <c r="K257" s="282"/>
      <c r="L257" s="236"/>
      <c r="M257" s="193"/>
    </row>
    <row r="258" spans="1:13" x14ac:dyDescent="0.3">
      <c r="A258" s="216"/>
      <c r="B258" s="205"/>
      <c r="C258" s="205"/>
      <c r="D258" s="205"/>
      <c r="E258" s="205"/>
      <c r="F258" s="201"/>
      <c r="H258" s="46"/>
      <c r="I258" s="236"/>
      <c r="J258" s="282"/>
      <c r="K258" s="282"/>
      <c r="L258" s="236"/>
      <c r="M258" s="193"/>
    </row>
    <row r="259" spans="1:13" x14ac:dyDescent="0.3">
      <c r="A259" s="216"/>
      <c r="B259" s="205"/>
      <c r="C259" s="205"/>
      <c r="D259" s="205"/>
      <c r="E259" s="205"/>
      <c r="F259" s="201"/>
      <c r="H259" s="46"/>
      <c r="I259" s="236"/>
      <c r="J259" s="282"/>
      <c r="K259" s="282"/>
      <c r="L259" s="236"/>
      <c r="M259" s="193"/>
    </row>
    <row r="260" spans="1:13" x14ac:dyDescent="0.3">
      <c r="A260" s="216"/>
      <c r="B260" s="205"/>
      <c r="C260" s="205"/>
      <c r="D260" s="205"/>
      <c r="E260" s="205"/>
      <c r="F260" s="201"/>
      <c r="H260" s="46"/>
      <c r="I260" s="236"/>
      <c r="J260" s="282"/>
      <c r="K260" s="282"/>
      <c r="L260" s="236"/>
      <c r="M260" s="193"/>
    </row>
    <row r="261" spans="1:13" x14ac:dyDescent="0.3">
      <c r="A261" s="216"/>
      <c r="B261" s="205"/>
      <c r="C261" s="205"/>
      <c r="D261" s="205"/>
      <c r="E261" s="205"/>
      <c r="F261" s="201"/>
      <c r="H261" s="46"/>
      <c r="I261" s="236"/>
      <c r="J261" s="282"/>
      <c r="K261" s="282"/>
      <c r="L261" s="236"/>
      <c r="M261" s="193"/>
    </row>
    <row r="262" spans="1:13" x14ac:dyDescent="0.3">
      <c r="A262" s="216"/>
      <c r="B262" s="205"/>
      <c r="C262" s="205"/>
      <c r="D262" s="205"/>
      <c r="E262" s="205"/>
      <c r="F262" s="201"/>
      <c r="H262" s="46"/>
      <c r="I262" s="236"/>
      <c r="J262" s="282"/>
      <c r="K262" s="282"/>
      <c r="L262" s="236"/>
      <c r="M262" s="193"/>
    </row>
    <row r="263" spans="1:13" x14ac:dyDescent="0.3">
      <c r="A263" s="216"/>
      <c r="B263" s="205"/>
      <c r="C263" s="205"/>
      <c r="D263" s="205"/>
      <c r="E263" s="205"/>
      <c r="F263" s="201"/>
      <c r="H263" s="46"/>
      <c r="I263" s="236"/>
      <c r="J263" s="282"/>
      <c r="K263" s="282"/>
      <c r="L263" s="236"/>
      <c r="M263" s="193"/>
    </row>
    <row r="264" spans="1:13" x14ac:dyDescent="0.3">
      <c r="A264" s="216"/>
      <c r="B264" s="205"/>
      <c r="C264" s="205"/>
      <c r="D264" s="205"/>
      <c r="E264" s="205"/>
      <c r="F264" s="201"/>
      <c r="H264" s="46"/>
      <c r="I264" s="236"/>
      <c r="J264" s="282"/>
      <c r="K264" s="282"/>
      <c r="L264" s="236"/>
      <c r="M264" s="193"/>
    </row>
    <row r="265" spans="1:13" x14ac:dyDescent="0.3">
      <c r="A265" s="216"/>
      <c r="B265" s="205"/>
      <c r="C265" s="205"/>
      <c r="D265" s="205"/>
      <c r="E265" s="205"/>
      <c r="F265" s="201"/>
      <c r="H265" s="46"/>
      <c r="I265" s="236"/>
      <c r="J265" s="282"/>
      <c r="K265" s="282"/>
      <c r="L265" s="236"/>
      <c r="M265" s="193"/>
    </row>
    <row r="266" spans="1:13" x14ac:dyDescent="0.3">
      <c r="A266" s="216"/>
      <c r="B266" s="205"/>
      <c r="C266" s="205"/>
      <c r="D266" s="205"/>
      <c r="E266" s="205"/>
      <c r="F266" s="201"/>
      <c r="H266" s="46"/>
      <c r="I266" s="236"/>
      <c r="J266" s="282"/>
      <c r="K266" s="282"/>
      <c r="L266" s="236"/>
      <c r="M266" s="193"/>
    </row>
    <row r="267" spans="1:13" x14ac:dyDescent="0.3">
      <c r="A267" s="216"/>
      <c r="B267" s="205"/>
      <c r="C267" s="205"/>
      <c r="D267" s="205"/>
      <c r="E267" s="205"/>
      <c r="F267" s="201"/>
      <c r="H267" s="46"/>
      <c r="I267" s="236"/>
      <c r="J267" s="282"/>
      <c r="K267" s="282"/>
      <c r="L267" s="236"/>
      <c r="M267" s="193"/>
    </row>
    <row r="268" spans="1:13" x14ac:dyDescent="0.3">
      <c r="A268" s="216"/>
      <c r="B268" s="205"/>
      <c r="C268" s="205"/>
      <c r="D268" s="205"/>
      <c r="E268" s="205"/>
      <c r="F268" s="201"/>
      <c r="H268" s="46"/>
      <c r="I268" s="236"/>
      <c r="J268" s="282"/>
      <c r="K268" s="282"/>
      <c r="L268" s="236"/>
      <c r="M268" s="193"/>
    </row>
    <row r="269" spans="1:13" x14ac:dyDescent="0.3">
      <c r="A269" s="216"/>
      <c r="B269" s="205"/>
      <c r="C269" s="205"/>
      <c r="D269" s="205"/>
      <c r="E269" s="205"/>
      <c r="F269" s="201"/>
      <c r="H269" s="46"/>
      <c r="I269" s="236"/>
      <c r="J269" s="282"/>
      <c r="K269" s="282"/>
      <c r="L269" s="236"/>
      <c r="M269" s="193"/>
    </row>
    <row r="270" spans="1:13" x14ac:dyDescent="0.3">
      <c r="A270" s="216"/>
      <c r="B270" s="205"/>
      <c r="C270" s="205"/>
      <c r="D270" s="205"/>
      <c r="E270" s="205"/>
      <c r="F270" s="201"/>
      <c r="H270" s="46"/>
      <c r="I270" s="236"/>
      <c r="J270" s="282"/>
      <c r="K270" s="282"/>
      <c r="L270" s="236"/>
      <c r="M270" s="193"/>
    </row>
    <row r="271" spans="1:13" x14ac:dyDescent="0.3">
      <c r="A271" s="216"/>
      <c r="B271" s="205"/>
      <c r="C271" s="205"/>
      <c r="D271" s="205"/>
      <c r="E271" s="205"/>
      <c r="F271" s="201"/>
      <c r="H271" s="46"/>
      <c r="I271" s="236"/>
      <c r="J271" s="282"/>
      <c r="K271" s="282"/>
      <c r="L271" s="236"/>
      <c r="M271" s="193"/>
    </row>
    <row r="272" spans="1:13" x14ac:dyDescent="0.3">
      <c r="A272" s="216"/>
      <c r="B272" s="205"/>
      <c r="C272" s="205"/>
      <c r="D272" s="205"/>
      <c r="E272" s="205"/>
      <c r="F272" s="201"/>
      <c r="H272" s="46"/>
      <c r="I272" s="236"/>
      <c r="J272" s="282"/>
      <c r="K272" s="282"/>
      <c r="L272" s="236"/>
      <c r="M272" s="193"/>
    </row>
    <row r="273" spans="1:13" x14ac:dyDescent="0.3">
      <c r="A273" s="216"/>
      <c r="B273" s="205"/>
      <c r="C273" s="205"/>
      <c r="D273" s="205"/>
      <c r="E273" s="205"/>
      <c r="F273" s="201"/>
      <c r="H273" s="46"/>
      <c r="I273" s="236"/>
      <c r="J273" s="282"/>
      <c r="K273" s="282"/>
      <c r="L273" s="236"/>
      <c r="M273" s="193"/>
    </row>
    <row r="274" spans="1:13" x14ac:dyDescent="0.3">
      <c r="A274" s="216"/>
      <c r="B274" s="205"/>
      <c r="C274" s="205"/>
      <c r="D274" s="205"/>
      <c r="E274" s="205"/>
      <c r="F274" s="201"/>
      <c r="H274" s="46"/>
      <c r="I274" s="236"/>
      <c r="J274" s="282"/>
      <c r="K274" s="282"/>
      <c r="L274" s="236"/>
      <c r="M274" s="193"/>
    </row>
    <row r="275" spans="1:13" x14ac:dyDescent="0.3">
      <c r="A275" s="216"/>
      <c r="B275" s="205"/>
      <c r="C275" s="205"/>
      <c r="D275" s="205"/>
      <c r="E275" s="205"/>
      <c r="F275" s="201"/>
      <c r="H275" s="46"/>
      <c r="I275" s="236"/>
      <c r="J275" s="282"/>
      <c r="K275" s="282"/>
      <c r="L275" s="236"/>
      <c r="M275" s="193"/>
    </row>
    <row r="276" spans="1:13" x14ac:dyDescent="0.3">
      <c r="A276" s="216"/>
      <c r="B276" s="205"/>
      <c r="C276" s="205"/>
      <c r="D276" s="205"/>
      <c r="E276" s="205"/>
      <c r="F276" s="201"/>
      <c r="H276" s="46"/>
      <c r="I276" s="236"/>
      <c r="J276" s="282"/>
      <c r="K276" s="282"/>
      <c r="L276" s="236"/>
      <c r="M276" s="193"/>
    </row>
    <row r="277" spans="1:13" x14ac:dyDescent="0.3">
      <c r="A277" s="216"/>
      <c r="B277" s="205"/>
      <c r="C277" s="205"/>
      <c r="D277" s="205"/>
      <c r="E277" s="205"/>
      <c r="F277" s="201"/>
      <c r="H277" s="46"/>
      <c r="I277" s="236"/>
      <c r="J277" s="282"/>
      <c r="K277" s="282"/>
      <c r="L277" s="236"/>
      <c r="M277" s="193"/>
    </row>
    <row r="278" spans="1:13" x14ac:dyDescent="0.3">
      <c r="A278" s="216"/>
      <c r="B278" s="205"/>
      <c r="C278" s="205"/>
      <c r="D278" s="205"/>
      <c r="E278" s="205"/>
      <c r="F278" s="201"/>
      <c r="H278" s="46"/>
      <c r="I278" s="236"/>
      <c r="J278" s="282"/>
      <c r="K278" s="282"/>
      <c r="L278" s="236"/>
      <c r="M278" s="193"/>
    </row>
    <row r="279" spans="1:13" x14ac:dyDescent="0.3">
      <c r="A279" s="216"/>
      <c r="B279" s="205"/>
      <c r="C279" s="205"/>
      <c r="D279" s="205"/>
      <c r="E279" s="205"/>
      <c r="F279" s="201"/>
      <c r="H279" s="46"/>
      <c r="I279" s="236"/>
      <c r="J279" s="282"/>
      <c r="K279" s="282"/>
      <c r="L279" s="236"/>
      <c r="M279" s="193"/>
    </row>
    <row r="280" spans="1:13" x14ac:dyDescent="0.3">
      <c r="A280" s="216"/>
      <c r="B280" s="205"/>
      <c r="C280" s="205"/>
      <c r="D280" s="205"/>
      <c r="E280" s="205"/>
      <c r="F280" s="201"/>
      <c r="H280" s="46"/>
      <c r="I280" s="236"/>
      <c r="J280" s="282"/>
      <c r="K280" s="282"/>
      <c r="L280" s="236"/>
      <c r="M280" s="193"/>
    </row>
    <row r="281" spans="1:13" x14ac:dyDescent="0.3">
      <c r="A281" s="216"/>
      <c r="B281" s="205"/>
      <c r="C281" s="205"/>
      <c r="D281" s="205"/>
      <c r="E281" s="205"/>
      <c r="F281" s="201"/>
      <c r="H281" s="46"/>
      <c r="I281" s="236"/>
      <c r="J281" s="282"/>
      <c r="K281" s="282"/>
      <c r="L281" s="236"/>
      <c r="M281" s="193"/>
    </row>
    <row r="282" spans="1:13" x14ac:dyDescent="0.3">
      <c r="A282" s="216"/>
      <c r="B282" s="205"/>
      <c r="C282" s="205"/>
      <c r="D282" s="205"/>
      <c r="E282" s="205"/>
      <c r="F282" s="201"/>
      <c r="H282" s="46"/>
      <c r="I282" s="236"/>
      <c r="J282" s="282"/>
      <c r="K282" s="282"/>
      <c r="L282" s="236"/>
      <c r="M282" s="193"/>
    </row>
    <row r="283" spans="1:13" x14ac:dyDescent="0.3">
      <c r="A283" s="216"/>
      <c r="B283" s="205"/>
      <c r="C283" s="205"/>
      <c r="D283" s="205"/>
      <c r="E283" s="205"/>
      <c r="F283" s="201"/>
      <c r="H283" s="46"/>
      <c r="I283" s="236"/>
      <c r="J283" s="282"/>
      <c r="K283" s="282"/>
      <c r="L283" s="236"/>
      <c r="M283" s="193"/>
    </row>
    <row r="284" spans="1:13" x14ac:dyDescent="0.3">
      <c r="A284" s="216"/>
      <c r="B284" s="205"/>
      <c r="C284" s="205"/>
      <c r="D284" s="205"/>
      <c r="E284" s="205"/>
      <c r="F284" s="201"/>
      <c r="H284" s="46"/>
      <c r="I284" s="236"/>
      <c r="J284" s="282"/>
      <c r="K284" s="282"/>
      <c r="L284" s="236"/>
      <c r="M284" s="193"/>
    </row>
    <row r="285" spans="1:13" x14ac:dyDescent="0.3">
      <c r="A285" s="216"/>
      <c r="B285" s="205"/>
      <c r="C285" s="205"/>
      <c r="D285" s="205"/>
      <c r="E285" s="205"/>
      <c r="F285" s="201"/>
      <c r="H285" s="46"/>
      <c r="I285" s="236"/>
      <c r="J285" s="282"/>
      <c r="K285" s="282"/>
      <c r="L285" s="236"/>
      <c r="M285" s="193"/>
    </row>
    <row r="286" spans="1:13" x14ac:dyDescent="0.3">
      <c r="A286" s="216"/>
      <c r="B286" s="205"/>
      <c r="C286" s="205"/>
      <c r="D286" s="205"/>
      <c r="E286" s="205"/>
      <c r="F286" s="201"/>
      <c r="H286" s="46"/>
      <c r="I286" s="236"/>
      <c r="J286" s="282"/>
      <c r="K286" s="282"/>
      <c r="L286" s="236"/>
      <c r="M286" s="193"/>
    </row>
    <row r="287" spans="1:13" x14ac:dyDescent="0.3">
      <c r="A287" s="216"/>
      <c r="B287" s="205"/>
      <c r="C287" s="205"/>
      <c r="D287" s="205"/>
      <c r="E287" s="205"/>
      <c r="F287" s="201"/>
      <c r="H287" s="46"/>
      <c r="I287" s="236"/>
      <c r="J287" s="282"/>
      <c r="K287" s="282"/>
      <c r="L287" s="236"/>
      <c r="M287" s="193"/>
    </row>
    <row r="288" spans="1:13" x14ac:dyDescent="0.3">
      <c r="A288" s="216"/>
      <c r="B288" s="205"/>
      <c r="C288" s="205"/>
      <c r="D288" s="205"/>
      <c r="E288" s="205"/>
      <c r="F288" s="201"/>
      <c r="H288" s="46"/>
      <c r="I288" s="236"/>
      <c r="J288" s="282"/>
      <c r="K288" s="282"/>
      <c r="L288" s="236"/>
      <c r="M288" s="193"/>
    </row>
    <row r="289" spans="1:13" x14ac:dyDescent="0.3">
      <c r="A289" s="216"/>
      <c r="B289" s="205"/>
      <c r="C289" s="205"/>
      <c r="D289" s="205"/>
      <c r="E289" s="205"/>
      <c r="F289" s="201"/>
      <c r="H289" s="46"/>
      <c r="I289" s="236"/>
      <c r="J289" s="282"/>
      <c r="K289" s="282"/>
      <c r="L289" s="236"/>
      <c r="M289" s="193"/>
    </row>
    <row r="290" spans="1:13" x14ac:dyDescent="0.3">
      <c r="A290" s="216"/>
      <c r="B290" s="205"/>
      <c r="C290" s="205"/>
      <c r="D290" s="205"/>
      <c r="E290" s="205"/>
      <c r="F290" s="201"/>
      <c r="H290" s="46"/>
      <c r="I290" s="236"/>
      <c r="J290" s="282"/>
      <c r="K290" s="282"/>
      <c r="L290" s="236"/>
      <c r="M290" s="193"/>
    </row>
    <row r="291" spans="1:13" x14ac:dyDescent="0.3">
      <c r="A291" s="216"/>
      <c r="B291" s="205"/>
      <c r="C291" s="205"/>
      <c r="D291" s="205"/>
      <c r="E291" s="205"/>
      <c r="F291" s="201"/>
      <c r="H291" s="46"/>
      <c r="I291" s="236"/>
      <c r="J291" s="282"/>
      <c r="K291" s="282"/>
      <c r="L291" s="236"/>
      <c r="M291" s="193"/>
    </row>
    <row r="292" spans="1:13" x14ac:dyDescent="0.3">
      <c r="A292" s="216"/>
      <c r="B292" s="205"/>
      <c r="C292" s="205"/>
      <c r="D292" s="205"/>
      <c r="E292" s="205"/>
      <c r="F292" s="201"/>
      <c r="H292" s="46"/>
      <c r="I292" s="236"/>
      <c r="J292" s="282"/>
      <c r="K292" s="282"/>
      <c r="L292" s="236"/>
      <c r="M292" s="193"/>
    </row>
    <row r="293" spans="1:13" x14ac:dyDescent="0.3">
      <c r="A293" s="216"/>
      <c r="B293" s="205"/>
      <c r="C293" s="205"/>
      <c r="D293" s="205"/>
      <c r="E293" s="205"/>
      <c r="F293" s="201"/>
      <c r="H293" s="46"/>
      <c r="I293" s="236"/>
      <c r="J293" s="282"/>
      <c r="K293" s="282"/>
      <c r="L293" s="236"/>
      <c r="M293" s="193"/>
    </row>
    <row r="294" spans="1:13" x14ac:dyDescent="0.3">
      <c r="A294" s="216"/>
      <c r="B294" s="205"/>
      <c r="C294" s="205"/>
      <c r="D294" s="205"/>
      <c r="E294" s="205"/>
      <c r="F294" s="201"/>
      <c r="H294" s="46"/>
      <c r="I294" s="236"/>
      <c r="J294" s="282"/>
      <c r="K294" s="282"/>
      <c r="L294" s="236"/>
      <c r="M294" s="193"/>
    </row>
    <row r="295" spans="1:13" x14ac:dyDescent="0.3">
      <c r="A295" s="216"/>
      <c r="B295" s="205"/>
      <c r="C295" s="205"/>
      <c r="D295" s="205"/>
      <c r="E295" s="205"/>
      <c r="F295" s="201"/>
      <c r="H295" s="46"/>
      <c r="I295" s="236"/>
      <c r="J295" s="282"/>
      <c r="K295" s="282"/>
      <c r="L295" s="236"/>
      <c r="M295" s="193"/>
    </row>
    <row r="296" spans="1:13" x14ac:dyDescent="0.3">
      <c r="A296" s="216"/>
      <c r="B296" s="205"/>
      <c r="C296" s="205"/>
      <c r="D296" s="205"/>
      <c r="E296" s="205"/>
      <c r="F296" s="201"/>
      <c r="H296" s="46"/>
      <c r="I296" s="236"/>
      <c r="J296" s="282"/>
      <c r="K296" s="282"/>
      <c r="L296" s="236"/>
      <c r="M296" s="193"/>
    </row>
    <row r="297" spans="1:13" x14ac:dyDescent="0.3">
      <c r="A297" s="216"/>
      <c r="B297" s="205"/>
      <c r="C297" s="205"/>
      <c r="D297" s="205"/>
      <c r="E297" s="205"/>
      <c r="F297" s="201"/>
      <c r="H297" s="46"/>
      <c r="I297" s="236"/>
      <c r="J297" s="282"/>
      <c r="K297" s="282"/>
      <c r="L297" s="236"/>
      <c r="M297" s="193"/>
    </row>
    <row r="298" spans="1:13" x14ac:dyDescent="0.3">
      <c r="A298" s="216"/>
      <c r="B298" s="205"/>
      <c r="C298" s="205"/>
      <c r="D298" s="205"/>
      <c r="E298" s="205"/>
      <c r="F298" s="201"/>
      <c r="H298" s="46"/>
      <c r="I298" s="236"/>
      <c r="J298" s="282"/>
      <c r="K298" s="282"/>
      <c r="L298" s="236"/>
      <c r="M298" s="193"/>
    </row>
    <row r="299" spans="1:13" x14ac:dyDescent="0.3">
      <c r="A299" s="216"/>
      <c r="B299" s="205"/>
      <c r="C299" s="205"/>
      <c r="D299" s="205"/>
      <c r="E299" s="205"/>
      <c r="F299" s="201"/>
      <c r="H299" s="46"/>
      <c r="I299" s="236"/>
      <c r="J299" s="282"/>
      <c r="K299" s="282"/>
      <c r="L299" s="236"/>
      <c r="M299" s="193"/>
    </row>
    <row r="300" spans="1:13" x14ac:dyDescent="0.3">
      <c r="A300" s="216"/>
      <c r="B300" s="205"/>
      <c r="C300" s="205"/>
      <c r="D300" s="205"/>
      <c r="E300" s="205"/>
      <c r="F300" s="201"/>
      <c r="H300" s="46"/>
      <c r="I300" s="236"/>
      <c r="J300" s="282"/>
      <c r="K300" s="282"/>
      <c r="L300" s="236"/>
      <c r="M300" s="193"/>
    </row>
    <row r="301" spans="1:13" x14ac:dyDescent="0.3">
      <c r="A301" s="216"/>
      <c r="B301" s="205"/>
      <c r="C301" s="205"/>
      <c r="D301" s="205"/>
      <c r="E301" s="205"/>
      <c r="F301" s="201"/>
      <c r="H301" s="46"/>
      <c r="I301" s="236"/>
      <c r="J301" s="282"/>
      <c r="K301" s="282"/>
      <c r="L301" s="236"/>
      <c r="M301" s="193"/>
    </row>
    <row r="302" spans="1:13" x14ac:dyDescent="0.3">
      <c r="A302" s="216"/>
      <c r="B302" s="205"/>
      <c r="C302" s="205"/>
      <c r="D302" s="205"/>
      <c r="E302" s="205"/>
      <c r="F302" s="201"/>
      <c r="H302" s="46"/>
      <c r="I302" s="236"/>
      <c r="J302" s="282"/>
      <c r="K302" s="282"/>
      <c r="L302" s="236"/>
      <c r="M302" s="193"/>
    </row>
    <row r="303" spans="1:13" x14ac:dyDescent="0.3">
      <c r="A303" s="216"/>
      <c r="B303" s="205"/>
      <c r="C303" s="205"/>
      <c r="D303" s="205"/>
      <c r="E303" s="205"/>
      <c r="F303" s="201"/>
      <c r="H303" s="46"/>
      <c r="I303" s="236"/>
      <c r="J303" s="282"/>
      <c r="K303" s="282"/>
      <c r="L303" s="236"/>
      <c r="M303" s="193"/>
    </row>
    <row r="304" spans="1:13" x14ac:dyDescent="0.3">
      <c r="A304" s="216"/>
      <c r="B304" s="205"/>
      <c r="C304" s="205"/>
      <c r="D304" s="205"/>
      <c r="E304" s="205"/>
      <c r="F304" s="201"/>
      <c r="H304" s="46"/>
      <c r="I304" s="236"/>
      <c r="J304" s="282"/>
      <c r="K304" s="282"/>
      <c r="L304" s="236"/>
      <c r="M304" s="193"/>
    </row>
    <row r="305" spans="1:13" x14ac:dyDescent="0.3">
      <c r="A305" s="216"/>
      <c r="B305" s="205"/>
      <c r="C305" s="205"/>
      <c r="D305" s="205"/>
      <c r="E305" s="205"/>
      <c r="F305" s="201"/>
      <c r="H305" s="46"/>
      <c r="I305" s="236"/>
      <c r="J305" s="282"/>
      <c r="K305" s="282"/>
      <c r="L305" s="236"/>
      <c r="M305" s="193"/>
    </row>
    <row r="306" spans="1:13" x14ac:dyDescent="0.3">
      <c r="A306" s="216"/>
      <c r="B306" s="205"/>
      <c r="C306" s="205"/>
      <c r="D306" s="205"/>
      <c r="E306" s="205"/>
      <c r="F306" s="201"/>
      <c r="H306" s="46"/>
      <c r="I306" s="236"/>
      <c r="J306" s="282"/>
      <c r="K306" s="282"/>
      <c r="L306" s="236"/>
      <c r="M306" s="193"/>
    </row>
    <row r="307" spans="1:13" x14ac:dyDescent="0.3">
      <c r="A307" s="216"/>
      <c r="B307" s="205"/>
      <c r="C307" s="205"/>
      <c r="D307" s="205"/>
      <c r="E307" s="205"/>
      <c r="F307" s="201"/>
      <c r="H307" s="46"/>
      <c r="I307" s="236"/>
      <c r="J307" s="282"/>
      <c r="K307" s="282"/>
      <c r="L307" s="236"/>
      <c r="M307" s="193"/>
    </row>
    <row r="308" spans="1:13" x14ac:dyDescent="0.3">
      <c r="A308" s="216"/>
      <c r="B308" s="205"/>
      <c r="C308" s="205"/>
      <c r="D308" s="205"/>
      <c r="E308" s="205"/>
      <c r="F308" s="201"/>
      <c r="H308" s="46"/>
      <c r="I308" s="236"/>
      <c r="J308" s="282"/>
      <c r="K308" s="282"/>
      <c r="L308" s="236"/>
      <c r="M308" s="193"/>
    </row>
    <row r="309" spans="1:13" x14ac:dyDescent="0.3">
      <c r="A309" s="216"/>
      <c r="B309" s="205"/>
      <c r="C309" s="205"/>
      <c r="D309" s="205"/>
      <c r="E309" s="205"/>
      <c r="F309" s="201"/>
      <c r="H309" s="46"/>
      <c r="I309" s="236"/>
      <c r="J309" s="282"/>
      <c r="K309" s="282"/>
      <c r="L309" s="236"/>
      <c r="M309" s="193"/>
    </row>
    <row r="310" spans="1:13" x14ac:dyDescent="0.3">
      <c r="A310" s="216"/>
      <c r="B310" s="205"/>
      <c r="C310" s="205"/>
      <c r="D310" s="205"/>
      <c r="E310" s="205"/>
      <c r="F310" s="201"/>
      <c r="H310" s="46"/>
      <c r="I310" s="236"/>
      <c r="J310" s="282"/>
      <c r="K310" s="282"/>
      <c r="L310" s="236"/>
      <c r="M310" s="193"/>
    </row>
    <row r="311" spans="1:13" x14ac:dyDescent="0.3">
      <c r="A311" s="216"/>
      <c r="B311" s="205"/>
      <c r="C311" s="205"/>
      <c r="D311" s="205"/>
      <c r="E311" s="205"/>
      <c r="F311" s="201"/>
      <c r="H311" s="46"/>
      <c r="I311" s="236"/>
      <c r="J311" s="282"/>
      <c r="K311" s="282"/>
      <c r="L311" s="236"/>
      <c r="M311" s="193"/>
    </row>
    <row r="312" spans="1:13" x14ac:dyDescent="0.3">
      <c r="A312" s="216"/>
      <c r="B312" s="205"/>
      <c r="C312" s="205"/>
      <c r="D312" s="205"/>
      <c r="E312" s="205"/>
      <c r="F312" s="201"/>
      <c r="H312" s="46"/>
      <c r="I312" s="236"/>
      <c r="J312" s="282"/>
      <c r="K312" s="282"/>
      <c r="L312" s="236"/>
      <c r="M312" s="193"/>
    </row>
    <row r="313" spans="1:13" x14ac:dyDescent="0.3">
      <c r="A313" s="216"/>
      <c r="B313" s="205"/>
      <c r="C313" s="205"/>
      <c r="D313" s="205"/>
      <c r="E313" s="205"/>
      <c r="F313" s="201"/>
      <c r="H313" s="46"/>
      <c r="I313" s="236"/>
      <c r="J313" s="282"/>
      <c r="K313" s="282"/>
      <c r="L313" s="236"/>
      <c r="M313" s="193"/>
    </row>
    <row r="314" spans="1:13" x14ac:dyDescent="0.3">
      <c r="A314" s="216"/>
      <c r="B314" s="205"/>
      <c r="C314" s="205"/>
      <c r="D314" s="205"/>
      <c r="E314" s="205"/>
      <c r="F314" s="201"/>
      <c r="H314" s="46"/>
      <c r="I314" s="236"/>
      <c r="J314" s="282"/>
      <c r="K314" s="282"/>
      <c r="L314" s="236"/>
      <c r="M314" s="193"/>
    </row>
    <row r="315" spans="1:13" x14ac:dyDescent="0.3">
      <c r="A315" s="216"/>
      <c r="B315" s="205"/>
      <c r="C315" s="205"/>
      <c r="D315" s="205"/>
      <c r="E315" s="205"/>
      <c r="F315" s="201"/>
      <c r="H315" s="46"/>
      <c r="I315" s="236"/>
      <c r="J315" s="282"/>
      <c r="K315" s="282"/>
      <c r="L315" s="236"/>
      <c r="M315" s="193"/>
    </row>
    <row r="316" spans="1:13" x14ac:dyDescent="0.3">
      <c r="A316" s="216"/>
      <c r="B316" s="205"/>
      <c r="C316" s="205"/>
      <c r="D316" s="205"/>
      <c r="E316" s="205"/>
      <c r="F316" s="201"/>
      <c r="H316" s="46"/>
      <c r="I316" s="236"/>
      <c r="J316" s="282"/>
      <c r="K316" s="282"/>
      <c r="L316" s="236"/>
      <c r="M316" s="193"/>
    </row>
    <row r="317" spans="1:13" x14ac:dyDescent="0.3">
      <c r="A317" s="216"/>
      <c r="B317" s="205"/>
      <c r="C317" s="205"/>
      <c r="D317" s="205"/>
      <c r="E317" s="205"/>
      <c r="F317" s="201"/>
      <c r="H317" s="46"/>
      <c r="I317" s="236"/>
      <c r="J317" s="282"/>
      <c r="K317" s="282"/>
      <c r="L317" s="236"/>
      <c r="M317" s="193"/>
    </row>
    <row r="318" spans="1:13" x14ac:dyDescent="0.3">
      <c r="A318" s="216"/>
      <c r="B318" s="205"/>
      <c r="C318" s="205"/>
      <c r="D318" s="205"/>
      <c r="E318" s="205"/>
      <c r="F318" s="201"/>
      <c r="H318" s="46"/>
      <c r="I318" s="236"/>
      <c r="J318" s="282"/>
      <c r="K318" s="282"/>
      <c r="L318" s="236"/>
      <c r="M318" s="193"/>
    </row>
    <row r="319" spans="1:13" x14ac:dyDescent="0.3">
      <c r="A319" s="216"/>
      <c r="B319" s="205"/>
      <c r="C319" s="205"/>
      <c r="D319" s="205"/>
      <c r="E319" s="205"/>
      <c r="F319" s="201"/>
      <c r="H319" s="46"/>
      <c r="I319" s="236"/>
      <c r="J319" s="282"/>
      <c r="K319" s="282"/>
      <c r="L319" s="236"/>
      <c r="M319" s="193"/>
    </row>
    <row r="320" spans="1:13" x14ac:dyDescent="0.3">
      <c r="A320" s="216"/>
      <c r="B320" s="205"/>
      <c r="C320" s="205"/>
      <c r="D320" s="205"/>
      <c r="E320" s="205"/>
      <c r="F320" s="201"/>
      <c r="H320" s="46"/>
      <c r="I320" s="236"/>
      <c r="J320" s="282"/>
      <c r="K320" s="282"/>
      <c r="L320" s="236"/>
      <c r="M320" s="193"/>
    </row>
    <row r="321" spans="1:13" x14ac:dyDescent="0.3">
      <c r="A321" s="216"/>
      <c r="B321" s="205"/>
      <c r="C321" s="205"/>
      <c r="D321" s="205"/>
      <c r="E321" s="205"/>
      <c r="F321" s="201"/>
      <c r="H321" s="46"/>
      <c r="I321" s="236"/>
      <c r="J321" s="282"/>
      <c r="K321" s="282"/>
      <c r="L321" s="236"/>
      <c r="M321" s="193"/>
    </row>
    <row r="322" spans="1:13" x14ac:dyDescent="0.3">
      <c r="A322" s="216"/>
      <c r="B322" s="205"/>
      <c r="C322" s="205"/>
      <c r="D322" s="205"/>
      <c r="E322" s="205"/>
      <c r="F322" s="201"/>
      <c r="H322" s="46"/>
      <c r="I322" s="236"/>
      <c r="J322" s="282"/>
      <c r="K322" s="282"/>
      <c r="L322" s="236"/>
      <c r="M322" s="193"/>
    </row>
    <row r="323" spans="1:13" x14ac:dyDescent="0.3">
      <c r="A323" s="216"/>
      <c r="B323" s="205"/>
      <c r="C323" s="205"/>
      <c r="D323" s="205"/>
      <c r="E323" s="205"/>
      <c r="F323" s="201"/>
      <c r="H323" s="46"/>
      <c r="I323" s="236"/>
      <c r="J323" s="282"/>
      <c r="K323" s="282"/>
      <c r="L323" s="236"/>
      <c r="M323" s="193"/>
    </row>
    <row r="324" spans="1:13" x14ac:dyDescent="0.3">
      <c r="A324" s="216"/>
      <c r="B324" s="205"/>
      <c r="C324" s="205"/>
      <c r="D324" s="205"/>
      <c r="E324" s="205"/>
      <c r="F324" s="201"/>
      <c r="H324" s="46"/>
      <c r="I324" s="236"/>
      <c r="J324" s="282"/>
      <c r="K324" s="282"/>
      <c r="L324" s="236"/>
      <c r="M324" s="193"/>
    </row>
    <row r="325" spans="1:13" x14ac:dyDescent="0.3">
      <c r="A325" s="216"/>
      <c r="B325" s="205"/>
      <c r="C325" s="205"/>
      <c r="D325" s="205"/>
      <c r="E325" s="205"/>
      <c r="F325" s="201"/>
      <c r="H325" s="46"/>
      <c r="I325" s="236"/>
      <c r="J325" s="282"/>
      <c r="K325" s="282"/>
      <c r="L325" s="236"/>
      <c r="M325" s="193"/>
    </row>
    <row r="326" spans="1:13" x14ac:dyDescent="0.3">
      <c r="A326" s="216"/>
      <c r="B326" s="205"/>
      <c r="C326" s="205"/>
      <c r="D326" s="205"/>
      <c r="E326" s="205"/>
      <c r="F326" s="201"/>
      <c r="H326" s="46"/>
      <c r="I326" s="236"/>
      <c r="J326" s="282"/>
      <c r="K326" s="282"/>
      <c r="L326" s="236"/>
      <c r="M326" s="193"/>
    </row>
    <row r="327" spans="1:13" x14ac:dyDescent="0.3">
      <c r="A327" s="216"/>
      <c r="B327" s="205"/>
      <c r="C327" s="205"/>
      <c r="D327" s="205"/>
      <c r="E327" s="205"/>
      <c r="F327" s="201"/>
      <c r="H327" s="46"/>
      <c r="I327" s="236"/>
      <c r="J327" s="282"/>
      <c r="K327" s="282"/>
      <c r="L327" s="236"/>
      <c r="M327" s="193"/>
    </row>
    <row r="328" spans="1:13" x14ac:dyDescent="0.3">
      <c r="A328" s="216"/>
      <c r="B328" s="205"/>
      <c r="C328" s="205"/>
      <c r="D328" s="205"/>
      <c r="E328" s="205"/>
      <c r="F328" s="201"/>
      <c r="H328" s="46"/>
      <c r="I328" s="236"/>
      <c r="J328" s="282"/>
      <c r="K328" s="282"/>
      <c r="L328" s="236"/>
      <c r="M328" s="193"/>
    </row>
    <row r="329" spans="1:13" x14ac:dyDescent="0.3">
      <c r="A329" s="216"/>
      <c r="B329" s="205"/>
      <c r="C329" s="205"/>
      <c r="D329" s="205"/>
      <c r="E329" s="205"/>
      <c r="F329" s="201"/>
      <c r="H329" s="46"/>
      <c r="I329" s="236"/>
      <c r="J329" s="282"/>
      <c r="K329" s="282"/>
      <c r="L329" s="236"/>
      <c r="M329" s="193"/>
    </row>
    <row r="330" spans="1:13" x14ac:dyDescent="0.3">
      <c r="A330" s="216"/>
      <c r="B330" s="205"/>
      <c r="C330" s="205"/>
      <c r="D330" s="205"/>
      <c r="E330" s="205"/>
      <c r="F330" s="201"/>
      <c r="H330" s="46"/>
      <c r="I330" s="236"/>
      <c r="J330" s="282"/>
      <c r="K330" s="282"/>
      <c r="L330" s="236"/>
      <c r="M330" s="193"/>
    </row>
    <row r="331" spans="1:13" x14ac:dyDescent="0.3">
      <c r="A331" s="216"/>
      <c r="B331" s="205"/>
      <c r="C331" s="205"/>
      <c r="D331" s="205"/>
      <c r="E331" s="205"/>
      <c r="F331" s="201"/>
      <c r="H331" s="46"/>
      <c r="I331" s="236"/>
      <c r="J331" s="282"/>
      <c r="K331" s="282"/>
      <c r="L331" s="236"/>
      <c r="M331" s="193"/>
    </row>
    <row r="332" spans="1:13" x14ac:dyDescent="0.3">
      <c r="A332" s="216"/>
      <c r="B332" s="205"/>
      <c r="C332" s="205"/>
      <c r="D332" s="205"/>
      <c r="E332" s="205"/>
      <c r="F332" s="201"/>
      <c r="H332" s="46"/>
      <c r="I332" s="236"/>
      <c r="J332" s="282"/>
      <c r="K332" s="282"/>
      <c r="L332" s="236"/>
      <c r="M332" s="193"/>
    </row>
    <row r="333" spans="1:13" x14ac:dyDescent="0.3">
      <c r="A333" s="216"/>
      <c r="B333" s="205"/>
      <c r="C333" s="205"/>
      <c r="D333" s="205"/>
      <c r="E333" s="205"/>
      <c r="F333" s="201"/>
      <c r="H333" s="46"/>
      <c r="I333" s="236"/>
      <c r="J333" s="282"/>
      <c r="K333" s="282"/>
      <c r="L333" s="236"/>
      <c r="M333" s="193"/>
    </row>
    <row r="334" spans="1:13" x14ac:dyDescent="0.3">
      <c r="A334" s="216"/>
      <c r="B334" s="205"/>
      <c r="C334" s="205"/>
      <c r="D334" s="205"/>
      <c r="E334" s="205"/>
      <c r="F334" s="201"/>
      <c r="H334" s="46"/>
      <c r="I334" s="236"/>
      <c r="J334" s="282"/>
      <c r="K334" s="282"/>
      <c r="L334" s="236"/>
      <c r="M334" s="193"/>
    </row>
    <row r="335" spans="1:13" x14ac:dyDescent="0.3">
      <c r="A335" s="216"/>
      <c r="B335" s="205"/>
      <c r="C335" s="205"/>
      <c r="D335" s="205"/>
      <c r="E335" s="205"/>
      <c r="F335" s="201"/>
      <c r="H335" s="46"/>
      <c r="I335" s="236"/>
      <c r="J335" s="282"/>
      <c r="K335" s="282"/>
      <c r="L335" s="236"/>
      <c r="M335" s="193"/>
    </row>
    <row r="336" spans="1:13" x14ac:dyDescent="0.3">
      <c r="A336" s="216"/>
      <c r="B336" s="205"/>
      <c r="C336" s="205"/>
      <c r="D336" s="205"/>
      <c r="E336" s="205"/>
      <c r="F336" s="201"/>
      <c r="H336" s="46"/>
      <c r="I336" s="236"/>
      <c r="J336" s="282"/>
      <c r="K336" s="282"/>
      <c r="L336" s="236"/>
      <c r="M336" s="193"/>
    </row>
    <row r="337" spans="1:13" x14ac:dyDescent="0.3">
      <c r="A337" s="216"/>
      <c r="B337" s="205"/>
      <c r="C337" s="205"/>
      <c r="D337" s="205"/>
      <c r="E337" s="205"/>
      <c r="F337" s="201"/>
      <c r="H337" s="46"/>
      <c r="I337" s="236"/>
      <c r="J337" s="282"/>
      <c r="K337" s="282"/>
      <c r="L337" s="236"/>
      <c r="M337" s="193"/>
    </row>
    <row r="338" spans="1:13" x14ac:dyDescent="0.3">
      <c r="A338" s="216"/>
      <c r="B338" s="205"/>
      <c r="C338" s="205"/>
      <c r="D338" s="205"/>
      <c r="E338" s="205"/>
      <c r="F338" s="201"/>
      <c r="H338" s="46"/>
      <c r="I338" s="236"/>
      <c r="J338" s="282"/>
      <c r="K338" s="282"/>
      <c r="L338" s="236"/>
      <c r="M338" s="193"/>
    </row>
    <row r="339" spans="1:13" x14ac:dyDescent="0.3">
      <c r="A339" s="216"/>
      <c r="B339" s="205"/>
      <c r="C339" s="205"/>
      <c r="D339" s="205"/>
      <c r="E339" s="205"/>
      <c r="F339" s="201"/>
      <c r="H339" s="46"/>
      <c r="I339" s="236"/>
      <c r="J339" s="282"/>
      <c r="K339" s="282"/>
      <c r="L339" s="236"/>
      <c r="M339" s="193"/>
    </row>
    <row r="340" spans="1:13" x14ac:dyDescent="0.3">
      <c r="A340" s="216"/>
      <c r="B340" s="205"/>
      <c r="C340" s="205"/>
      <c r="D340" s="205"/>
      <c r="E340" s="205"/>
      <c r="F340" s="201"/>
      <c r="H340" s="46"/>
      <c r="I340" s="236"/>
      <c r="J340" s="282"/>
      <c r="K340" s="282"/>
      <c r="L340" s="236"/>
      <c r="M340" s="193"/>
    </row>
    <row r="341" spans="1:13" x14ac:dyDescent="0.3">
      <c r="A341" s="216"/>
      <c r="B341" s="205"/>
      <c r="C341" s="205"/>
      <c r="D341" s="205"/>
      <c r="E341" s="205"/>
      <c r="F341" s="201"/>
      <c r="H341" s="46"/>
      <c r="I341" s="236"/>
      <c r="J341" s="282"/>
      <c r="K341" s="282"/>
      <c r="L341" s="236"/>
      <c r="M341" s="193"/>
    </row>
    <row r="342" spans="1:13" x14ac:dyDescent="0.3">
      <c r="A342" s="216"/>
      <c r="B342" s="205"/>
      <c r="C342" s="205"/>
      <c r="D342" s="205"/>
      <c r="E342" s="205"/>
      <c r="F342" s="201"/>
      <c r="H342" s="46"/>
      <c r="I342" s="236"/>
      <c r="J342" s="282"/>
      <c r="K342" s="282"/>
      <c r="L342" s="236"/>
      <c r="M342" s="193"/>
    </row>
    <row r="343" spans="1:13" x14ac:dyDescent="0.3">
      <c r="A343" s="216"/>
      <c r="B343" s="205"/>
      <c r="C343" s="205"/>
      <c r="D343" s="205"/>
      <c r="E343" s="205"/>
      <c r="F343" s="201"/>
      <c r="H343" s="46"/>
      <c r="I343" s="236"/>
      <c r="J343" s="282"/>
      <c r="K343" s="282"/>
      <c r="L343" s="236"/>
      <c r="M343" s="193"/>
    </row>
    <row r="344" spans="1:13" x14ac:dyDescent="0.3">
      <c r="A344" s="216"/>
      <c r="B344" s="205"/>
      <c r="C344" s="205"/>
      <c r="D344" s="205"/>
      <c r="E344" s="205"/>
      <c r="F344" s="201"/>
      <c r="H344" s="46"/>
      <c r="I344" s="236"/>
      <c r="J344" s="282"/>
      <c r="K344" s="282"/>
      <c r="L344" s="236"/>
      <c r="M344" s="193"/>
    </row>
    <row r="345" spans="1:13" x14ac:dyDescent="0.3">
      <c r="A345" s="216"/>
      <c r="B345" s="205"/>
      <c r="C345" s="205"/>
      <c r="D345" s="205"/>
      <c r="E345" s="205"/>
      <c r="F345" s="201"/>
      <c r="H345" s="46"/>
      <c r="I345" s="236"/>
      <c r="J345" s="282"/>
      <c r="K345" s="282"/>
      <c r="L345" s="236"/>
      <c r="M345" s="193"/>
    </row>
    <row r="346" spans="1:13" x14ac:dyDescent="0.3">
      <c r="A346" s="216"/>
      <c r="B346" s="205"/>
      <c r="C346" s="205"/>
      <c r="D346" s="205"/>
      <c r="E346" s="205"/>
      <c r="F346" s="201"/>
      <c r="H346" s="46"/>
      <c r="I346" s="236"/>
      <c r="J346" s="282"/>
      <c r="K346" s="282"/>
      <c r="L346" s="236"/>
      <c r="M346" s="193"/>
    </row>
    <row r="347" spans="1:13" x14ac:dyDescent="0.3">
      <c r="A347" s="216"/>
      <c r="B347" s="205"/>
      <c r="C347" s="205"/>
      <c r="D347" s="205"/>
      <c r="E347" s="205"/>
      <c r="F347" s="201"/>
      <c r="H347" s="46"/>
      <c r="I347" s="236"/>
      <c r="J347" s="282"/>
      <c r="K347" s="324"/>
      <c r="L347" s="237"/>
      <c r="M347" s="193"/>
    </row>
    <row r="348" spans="1:13" x14ac:dyDescent="0.3">
      <c r="A348" s="216"/>
      <c r="B348" s="205"/>
      <c r="C348" s="205"/>
      <c r="D348" s="205"/>
      <c r="E348" s="205"/>
      <c r="F348" s="201"/>
      <c r="H348" s="46"/>
      <c r="I348" s="236"/>
      <c r="J348" s="236"/>
      <c r="K348" s="282"/>
      <c r="L348" s="236"/>
      <c r="M348" s="193"/>
    </row>
    <row r="349" spans="1:13" x14ac:dyDescent="0.3">
      <c r="A349" s="216"/>
      <c r="B349" s="205"/>
      <c r="C349" s="205"/>
      <c r="D349" s="205"/>
      <c r="E349" s="205"/>
      <c r="F349" s="201"/>
      <c r="H349" s="46"/>
      <c r="I349" s="236"/>
      <c r="J349" s="236"/>
      <c r="K349" s="282"/>
      <c r="L349" s="236"/>
      <c r="M349" s="193"/>
    </row>
    <row r="350" spans="1:13" x14ac:dyDescent="0.3">
      <c r="A350" s="216"/>
      <c r="B350" s="205"/>
      <c r="C350" s="205"/>
      <c r="D350" s="205"/>
      <c r="E350" s="205"/>
      <c r="F350" s="201"/>
      <c r="H350" s="46"/>
      <c r="I350" s="236"/>
      <c r="J350" s="236"/>
      <c r="K350" s="282"/>
      <c r="L350" s="236"/>
      <c r="M350" s="193"/>
    </row>
    <row r="351" spans="1:13" x14ac:dyDescent="0.3">
      <c r="A351" s="216"/>
      <c r="B351" s="205"/>
      <c r="C351" s="205"/>
      <c r="D351" s="205"/>
      <c r="E351" s="205"/>
      <c r="F351" s="201"/>
      <c r="H351" s="46"/>
      <c r="I351" s="236"/>
      <c r="J351" s="236"/>
      <c r="K351" s="282"/>
      <c r="L351" s="236"/>
      <c r="M351" s="193"/>
    </row>
    <row r="352" spans="1:13" x14ac:dyDescent="0.3">
      <c r="A352" s="216"/>
      <c r="B352" s="205"/>
      <c r="C352" s="205"/>
      <c r="D352" s="205"/>
      <c r="E352" s="205"/>
      <c r="F352" s="201"/>
      <c r="H352" s="46"/>
      <c r="I352" s="236"/>
      <c r="J352" s="236"/>
      <c r="K352" s="282"/>
      <c r="L352" s="236"/>
      <c r="M352" s="193"/>
    </row>
    <row r="353" spans="1:13" x14ac:dyDescent="0.3">
      <c r="A353" s="216"/>
      <c r="B353" s="205"/>
      <c r="C353" s="205"/>
      <c r="D353" s="205"/>
      <c r="E353" s="205"/>
      <c r="F353" s="201"/>
      <c r="H353" s="46"/>
      <c r="I353" s="236"/>
      <c r="J353" s="236"/>
      <c r="K353" s="282"/>
      <c r="L353" s="236"/>
      <c r="M353" s="193"/>
    </row>
    <row r="354" spans="1:13" x14ac:dyDescent="0.3">
      <c r="A354" s="216"/>
      <c r="B354" s="205"/>
      <c r="C354" s="205"/>
      <c r="D354" s="205"/>
      <c r="E354" s="205"/>
      <c r="F354" s="201"/>
      <c r="H354" s="46"/>
      <c r="I354" s="236"/>
      <c r="J354" s="236"/>
      <c r="K354" s="282"/>
      <c r="L354" s="236"/>
      <c r="M354" s="193"/>
    </row>
    <row r="355" spans="1:13" x14ac:dyDescent="0.3">
      <c r="A355" s="216"/>
      <c r="B355" s="205"/>
      <c r="C355" s="205"/>
      <c r="D355" s="205"/>
      <c r="E355" s="205"/>
      <c r="F355" s="201"/>
      <c r="H355" s="46"/>
      <c r="I355" s="236"/>
      <c r="J355" s="236"/>
      <c r="K355" s="282"/>
      <c r="L355" s="236"/>
      <c r="M355" s="193"/>
    </row>
    <row r="356" spans="1:13" x14ac:dyDescent="0.3">
      <c r="A356" s="216"/>
      <c r="B356" s="205"/>
      <c r="C356" s="205"/>
      <c r="D356" s="205"/>
      <c r="E356" s="205"/>
      <c r="F356" s="201"/>
      <c r="H356" s="46"/>
      <c r="I356" s="236"/>
      <c r="J356" s="236"/>
      <c r="K356" s="282"/>
      <c r="L356" s="236"/>
      <c r="M356" s="193"/>
    </row>
    <row r="357" spans="1:13" x14ac:dyDescent="0.3">
      <c r="A357" s="216"/>
      <c r="B357" s="205"/>
      <c r="C357" s="205"/>
      <c r="D357" s="205"/>
      <c r="E357" s="205"/>
      <c r="F357" s="201"/>
      <c r="H357" s="46"/>
      <c r="I357" s="236"/>
      <c r="J357" s="236"/>
      <c r="K357" s="282"/>
      <c r="L357" s="236"/>
      <c r="M357" s="193"/>
    </row>
    <row r="358" spans="1:13" x14ac:dyDescent="0.3">
      <c r="A358" s="216"/>
      <c r="B358" s="205"/>
      <c r="C358" s="205"/>
      <c r="D358" s="205"/>
      <c r="E358" s="205"/>
      <c r="F358" s="201"/>
      <c r="H358" s="46"/>
      <c r="I358" s="236"/>
      <c r="J358" s="236"/>
      <c r="K358" s="282"/>
      <c r="L358" s="236"/>
      <c r="M358" s="193"/>
    </row>
    <row r="359" spans="1:13" x14ac:dyDescent="0.3">
      <c r="A359" s="216"/>
      <c r="B359" s="205"/>
      <c r="C359" s="205"/>
      <c r="D359" s="205"/>
      <c r="E359" s="205"/>
      <c r="F359" s="201"/>
      <c r="H359" s="46"/>
      <c r="I359" s="236"/>
      <c r="J359" s="236"/>
      <c r="K359" s="282"/>
      <c r="L359" s="236"/>
      <c r="M359" s="193"/>
    </row>
    <row r="360" spans="1:13" x14ac:dyDescent="0.3">
      <c r="A360" s="216"/>
      <c r="B360" s="205"/>
      <c r="C360" s="205"/>
      <c r="D360" s="205"/>
      <c r="E360" s="205"/>
      <c r="F360" s="201"/>
      <c r="H360" s="46"/>
      <c r="I360" s="236"/>
      <c r="J360" s="236"/>
      <c r="K360" s="282"/>
      <c r="L360" s="236"/>
      <c r="M360" s="193"/>
    </row>
    <row r="361" spans="1:13" x14ac:dyDescent="0.3">
      <c r="A361" s="216"/>
      <c r="B361" s="205"/>
      <c r="C361" s="205"/>
      <c r="D361" s="205"/>
      <c r="E361" s="205"/>
      <c r="F361" s="201"/>
      <c r="H361" s="46"/>
      <c r="I361" s="236"/>
      <c r="J361" s="236"/>
      <c r="K361" s="282"/>
      <c r="L361" s="236"/>
      <c r="M361" s="193"/>
    </row>
    <row r="362" spans="1:13" x14ac:dyDescent="0.3">
      <c r="A362" s="216"/>
      <c r="B362" s="205"/>
      <c r="C362" s="205"/>
      <c r="D362" s="205"/>
      <c r="E362" s="205"/>
      <c r="F362" s="201"/>
      <c r="H362" s="46"/>
      <c r="I362" s="236"/>
      <c r="J362" s="236"/>
      <c r="K362" s="282"/>
      <c r="L362" s="236"/>
      <c r="M362" s="193"/>
    </row>
    <row r="363" spans="1:13" x14ac:dyDescent="0.3">
      <c r="A363" s="216"/>
      <c r="B363" s="205"/>
      <c r="C363" s="205"/>
      <c r="D363" s="205"/>
      <c r="E363" s="205"/>
      <c r="F363" s="201"/>
      <c r="H363" s="46"/>
      <c r="I363" s="236"/>
      <c r="J363" s="236"/>
      <c r="K363" s="282"/>
      <c r="L363" s="236"/>
      <c r="M363" s="193"/>
    </row>
    <row r="364" spans="1:13" x14ac:dyDescent="0.3">
      <c r="A364" s="216"/>
      <c r="B364" s="205"/>
      <c r="C364" s="205"/>
      <c r="D364" s="205"/>
      <c r="E364" s="205"/>
      <c r="F364" s="201"/>
      <c r="H364" s="46"/>
      <c r="I364" s="236"/>
      <c r="J364" s="236"/>
      <c r="K364" s="282"/>
      <c r="L364" s="236"/>
      <c r="M364" s="193"/>
    </row>
    <row r="365" spans="1:13" x14ac:dyDescent="0.3">
      <c r="A365" s="216"/>
      <c r="B365" s="205"/>
      <c r="C365" s="205"/>
      <c r="D365" s="205"/>
      <c r="E365" s="205"/>
      <c r="F365" s="201"/>
      <c r="H365" s="46"/>
      <c r="I365" s="236"/>
      <c r="J365" s="236"/>
      <c r="K365" s="282"/>
      <c r="L365" s="236"/>
      <c r="M365" s="193"/>
    </row>
    <row r="366" spans="1:13" x14ac:dyDescent="0.3">
      <c r="A366" s="216"/>
      <c r="B366" s="205"/>
      <c r="C366" s="205"/>
      <c r="D366" s="205"/>
      <c r="E366" s="205"/>
      <c r="F366" s="201"/>
      <c r="H366" s="46"/>
      <c r="I366" s="236"/>
      <c r="J366" s="236"/>
      <c r="K366" s="282"/>
      <c r="L366" s="236"/>
      <c r="M366" s="193"/>
    </row>
    <row r="367" spans="1:13" x14ac:dyDescent="0.3">
      <c r="A367" s="216"/>
      <c r="B367" s="205"/>
      <c r="C367" s="205"/>
      <c r="D367" s="205"/>
      <c r="E367" s="205"/>
      <c r="F367" s="201"/>
      <c r="H367" s="46"/>
      <c r="I367" s="236"/>
      <c r="J367" s="236"/>
      <c r="K367" s="282"/>
      <c r="L367" s="236"/>
      <c r="M367" s="193"/>
    </row>
    <row r="368" spans="1:13" x14ac:dyDescent="0.3">
      <c r="A368" s="216"/>
      <c r="B368" s="205"/>
      <c r="C368" s="205"/>
      <c r="D368" s="205"/>
      <c r="E368" s="205"/>
      <c r="F368" s="201"/>
      <c r="H368" s="46"/>
      <c r="I368" s="236"/>
      <c r="J368" s="236"/>
      <c r="K368" s="282"/>
      <c r="L368" s="236"/>
      <c r="M368" s="193"/>
    </row>
    <row r="369" spans="1:13" x14ac:dyDescent="0.3">
      <c r="A369" s="216"/>
      <c r="B369" s="205"/>
      <c r="C369" s="205"/>
      <c r="D369" s="205"/>
      <c r="E369" s="205"/>
      <c r="F369" s="201"/>
      <c r="H369" s="46"/>
      <c r="I369" s="236"/>
      <c r="J369" s="236"/>
      <c r="K369" s="282"/>
      <c r="L369" s="236"/>
      <c r="M369" s="193"/>
    </row>
    <row r="370" spans="1:13" x14ac:dyDescent="0.3">
      <c r="A370" s="216"/>
      <c r="B370" s="205"/>
      <c r="C370" s="205"/>
      <c r="D370" s="205"/>
      <c r="E370" s="205"/>
      <c r="F370" s="201"/>
      <c r="H370" s="46"/>
      <c r="I370" s="236"/>
      <c r="J370" s="236"/>
      <c r="K370" s="282"/>
      <c r="L370" s="236"/>
      <c r="M370" s="193"/>
    </row>
    <row r="371" spans="1:13" x14ac:dyDescent="0.3">
      <c r="A371" s="216"/>
      <c r="B371" s="205"/>
      <c r="C371" s="205"/>
      <c r="D371" s="205"/>
      <c r="E371" s="205"/>
      <c r="F371" s="201"/>
      <c r="H371" s="46"/>
      <c r="I371" s="236"/>
      <c r="J371" s="236"/>
      <c r="K371" s="282"/>
      <c r="L371" s="236"/>
      <c r="M371" s="193"/>
    </row>
    <row r="372" spans="1:13" x14ac:dyDescent="0.3">
      <c r="A372" s="216"/>
      <c r="B372" s="205"/>
      <c r="C372" s="205"/>
      <c r="D372" s="205"/>
      <c r="E372" s="205"/>
      <c r="F372" s="201"/>
      <c r="H372" s="46"/>
      <c r="I372" s="236"/>
      <c r="J372" s="236"/>
      <c r="K372" s="282"/>
      <c r="L372" s="236"/>
      <c r="M372" s="193"/>
    </row>
    <row r="373" spans="1:13" x14ac:dyDescent="0.3">
      <c r="A373" s="216"/>
      <c r="B373" s="205"/>
      <c r="C373" s="205"/>
      <c r="D373" s="205"/>
      <c r="E373" s="205"/>
      <c r="F373" s="201"/>
      <c r="H373" s="46"/>
      <c r="I373" s="236"/>
      <c r="J373" s="236"/>
      <c r="K373" s="282"/>
      <c r="L373" s="236"/>
      <c r="M373" s="193"/>
    </row>
    <row r="374" spans="1:13" x14ac:dyDescent="0.3">
      <c r="A374" s="216"/>
      <c r="B374" s="205"/>
      <c r="C374" s="205"/>
      <c r="D374" s="205"/>
      <c r="E374" s="205"/>
      <c r="F374" s="201"/>
      <c r="H374" s="46"/>
      <c r="I374" s="236"/>
      <c r="J374" s="236"/>
      <c r="K374" s="282"/>
      <c r="L374" s="236"/>
      <c r="M374" s="193"/>
    </row>
    <row r="375" spans="1:13" x14ac:dyDescent="0.3">
      <c r="A375" s="216"/>
      <c r="B375" s="205"/>
      <c r="C375" s="205"/>
      <c r="D375" s="205"/>
      <c r="E375" s="205"/>
      <c r="F375" s="201"/>
      <c r="H375" s="46"/>
      <c r="I375" s="236"/>
      <c r="J375" s="236"/>
      <c r="K375" s="282"/>
      <c r="L375" s="236"/>
      <c r="M375" s="193"/>
    </row>
    <row r="376" spans="1:13" x14ac:dyDescent="0.3">
      <c r="A376" s="216"/>
      <c r="B376" s="205"/>
      <c r="C376" s="205"/>
      <c r="D376" s="205"/>
      <c r="E376" s="205"/>
      <c r="F376" s="201"/>
      <c r="H376" s="46"/>
      <c r="I376" s="236"/>
      <c r="J376" s="236"/>
      <c r="K376" s="282"/>
      <c r="L376" s="236"/>
      <c r="M376" s="193"/>
    </row>
    <row r="377" spans="1:13" x14ac:dyDescent="0.3">
      <c r="A377" s="216"/>
      <c r="B377" s="205"/>
      <c r="C377" s="205"/>
      <c r="D377" s="205"/>
      <c r="E377" s="205"/>
      <c r="F377" s="201"/>
      <c r="H377" s="46"/>
      <c r="I377" s="236"/>
      <c r="J377" s="236"/>
      <c r="K377" s="282"/>
      <c r="L377" s="236"/>
      <c r="M377" s="193"/>
    </row>
    <row r="378" spans="1:13" x14ac:dyDescent="0.3">
      <c r="A378" s="216"/>
      <c r="B378" s="205"/>
      <c r="C378" s="205"/>
      <c r="D378" s="205"/>
      <c r="E378" s="205"/>
      <c r="F378" s="201"/>
      <c r="H378" s="46"/>
      <c r="I378" s="236"/>
      <c r="J378" s="236"/>
      <c r="K378" s="282"/>
      <c r="L378" s="236"/>
      <c r="M378" s="193"/>
    </row>
    <row r="379" spans="1:13" x14ac:dyDescent="0.3">
      <c r="A379" s="216"/>
      <c r="B379" s="205"/>
      <c r="C379" s="205"/>
      <c r="D379" s="205"/>
      <c r="E379" s="205"/>
      <c r="F379" s="201"/>
      <c r="H379" s="46"/>
      <c r="I379" s="236"/>
      <c r="J379" s="236"/>
      <c r="K379" s="282"/>
      <c r="L379" s="236"/>
      <c r="M379" s="193"/>
    </row>
    <row r="380" spans="1:13" x14ac:dyDescent="0.3">
      <c r="A380" s="216"/>
      <c r="B380" s="205"/>
      <c r="C380" s="205"/>
      <c r="D380" s="205"/>
      <c r="E380" s="205"/>
      <c r="F380" s="201"/>
      <c r="H380" s="46"/>
      <c r="I380" s="236"/>
      <c r="J380" s="236"/>
      <c r="K380" s="282"/>
      <c r="L380" s="236"/>
      <c r="M380" s="193"/>
    </row>
    <row r="381" spans="1:13" x14ac:dyDescent="0.3">
      <c r="A381" s="216"/>
      <c r="B381" s="205"/>
      <c r="C381" s="205"/>
      <c r="D381" s="205"/>
      <c r="E381" s="205"/>
      <c r="F381" s="201"/>
      <c r="H381" s="46"/>
      <c r="I381" s="236"/>
      <c r="J381" s="236"/>
      <c r="K381" s="282"/>
      <c r="L381" s="236"/>
      <c r="M381" s="193"/>
    </row>
    <row r="382" spans="1:13" x14ac:dyDescent="0.3">
      <c r="A382" s="216"/>
      <c r="B382" s="205"/>
      <c r="C382" s="205"/>
      <c r="D382" s="205"/>
      <c r="E382" s="205"/>
      <c r="F382" s="201"/>
      <c r="H382" s="46"/>
      <c r="I382" s="236"/>
      <c r="J382" s="236"/>
      <c r="K382" s="282"/>
      <c r="L382" s="236"/>
      <c r="M382" s="193"/>
    </row>
    <row r="383" spans="1:13" x14ac:dyDescent="0.3">
      <c r="A383" s="216"/>
      <c r="B383" s="205"/>
      <c r="C383" s="205"/>
      <c r="D383" s="205"/>
      <c r="E383" s="205"/>
      <c r="F383" s="201"/>
      <c r="H383" s="46"/>
      <c r="I383" s="236"/>
      <c r="J383" s="236"/>
      <c r="K383" s="282"/>
      <c r="L383" s="236"/>
      <c r="M383" s="193"/>
    </row>
    <row r="384" spans="1:13" x14ac:dyDescent="0.3">
      <c r="A384" s="216"/>
      <c r="B384" s="205"/>
      <c r="C384" s="205"/>
      <c r="D384" s="205"/>
      <c r="E384" s="205"/>
      <c r="F384" s="201"/>
      <c r="H384" s="46"/>
      <c r="I384" s="236"/>
      <c r="J384" s="236"/>
      <c r="K384" s="282"/>
      <c r="L384" s="236"/>
      <c r="M384" s="193"/>
    </row>
    <row r="385" spans="1:13" x14ac:dyDescent="0.3">
      <c r="A385" s="216"/>
      <c r="B385" s="205"/>
      <c r="C385" s="205"/>
      <c r="D385" s="205"/>
      <c r="E385" s="205"/>
      <c r="F385" s="201"/>
      <c r="H385" s="46"/>
      <c r="I385" s="236"/>
      <c r="J385" s="236"/>
      <c r="K385" s="282"/>
      <c r="L385" s="236"/>
      <c r="M385" s="193"/>
    </row>
    <row r="386" spans="1:13" x14ac:dyDescent="0.3">
      <c r="A386" s="216"/>
      <c r="B386" s="205"/>
      <c r="C386" s="205"/>
      <c r="D386" s="205"/>
      <c r="E386" s="205"/>
      <c r="F386" s="201"/>
      <c r="H386" s="46"/>
      <c r="I386" s="236"/>
      <c r="J386" s="236"/>
      <c r="K386" s="282"/>
      <c r="L386" s="236"/>
      <c r="M386" s="193"/>
    </row>
    <row r="387" spans="1:13" x14ac:dyDescent="0.3">
      <c r="A387" s="216"/>
      <c r="B387" s="205"/>
      <c r="C387" s="205"/>
      <c r="D387" s="205"/>
      <c r="E387" s="205"/>
      <c r="F387" s="201"/>
      <c r="H387" s="46"/>
      <c r="I387" s="236"/>
      <c r="J387" s="236"/>
      <c r="K387" s="282"/>
      <c r="L387" s="236"/>
      <c r="M387" s="193"/>
    </row>
    <row r="388" spans="1:13" x14ac:dyDescent="0.3">
      <c r="A388" s="216"/>
      <c r="B388" s="205"/>
      <c r="C388" s="205"/>
      <c r="D388" s="205"/>
      <c r="E388" s="205"/>
      <c r="F388" s="201"/>
      <c r="H388" s="46"/>
      <c r="I388" s="236"/>
      <c r="J388" s="236"/>
      <c r="K388" s="282"/>
      <c r="L388" s="236"/>
      <c r="M388" s="193"/>
    </row>
    <row r="389" spans="1:13" x14ac:dyDescent="0.3">
      <c r="A389" s="216"/>
      <c r="B389" s="205"/>
      <c r="C389" s="205"/>
      <c r="D389" s="205"/>
      <c r="E389" s="205"/>
      <c r="F389" s="201"/>
      <c r="H389" s="46"/>
      <c r="I389" s="236"/>
      <c r="J389" s="236"/>
      <c r="K389" s="282"/>
      <c r="L389" s="236"/>
      <c r="M389" s="193"/>
    </row>
    <row r="390" spans="1:13" x14ac:dyDescent="0.3">
      <c r="A390" s="216"/>
      <c r="B390" s="205"/>
      <c r="C390" s="205"/>
      <c r="D390" s="205"/>
      <c r="E390" s="205"/>
      <c r="F390" s="201"/>
      <c r="H390" s="46"/>
      <c r="I390" s="236"/>
      <c r="J390" s="236"/>
      <c r="K390" s="282"/>
      <c r="L390" s="236"/>
      <c r="M390" s="193"/>
    </row>
    <row r="391" spans="1:13" x14ac:dyDescent="0.3">
      <c r="A391" s="216"/>
      <c r="B391" s="205"/>
      <c r="C391" s="205"/>
      <c r="D391" s="205"/>
      <c r="E391" s="205"/>
      <c r="F391" s="201"/>
      <c r="H391" s="46"/>
      <c r="I391" s="236"/>
      <c r="J391" s="236"/>
      <c r="K391" s="282"/>
      <c r="L391" s="236"/>
      <c r="M391" s="193"/>
    </row>
    <row r="392" spans="1:13" x14ac:dyDescent="0.3">
      <c r="A392" s="216"/>
      <c r="B392" s="205"/>
      <c r="C392" s="205"/>
      <c r="D392" s="205"/>
      <c r="E392" s="205"/>
      <c r="F392" s="201"/>
      <c r="H392" s="46"/>
      <c r="I392" s="236"/>
      <c r="J392" s="236"/>
      <c r="K392" s="282"/>
      <c r="L392" s="236"/>
      <c r="M392" s="193"/>
    </row>
    <row r="393" spans="1:13" x14ac:dyDescent="0.3">
      <c r="A393" s="216"/>
      <c r="B393" s="205"/>
      <c r="C393" s="205"/>
      <c r="D393" s="205"/>
      <c r="E393" s="205"/>
      <c r="F393" s="201"/>
      <c r="H393" s="46"/>
      <c r="I393" s="236"/>
      <c r="J393" s="236"/>
      <c r="K393" s="282"/>
      <c r="L393" s="236"/>
      <c r="M393" s="193"/>
    </row>
    <row r="394" spans="1:13" x14ac:dyDescent="0.3">
      <c r="A394" s="216"/>
      <c r="B394" s="205"/>
      <c r="C394" s="205"/>
      <c r="D394" s="205"/>
      <c r="E394" s="205"/>
      <c r="F394" s="201"/>
      <c r="H394" s="46"/>
      <c r="I394" s="236"/>
      <c r="J394" s="236"/>
      <c r="K394" s="282"/>
      <c r="L394" s="236"/>
      <c r="M394" s="193"/>
    </row>
    <row r="395" spans="1:13" x14ac:dyDescent="0.3">
      <c r="A395" s="216"/>
      <c r="B395" s="205"/>
      <c r="C395" s="205"/>
      <c r="D395" s="205"/>
      <c r="E395" s="205"/>
      <c r="F395" s="201"/>
      <c r="H395" s="46"/>
      <c r="I395" s="236"/>
      <c r="J395" s="236"/>
      <c r="K395" s="282"/>
      <c r="L395" s="236"/>
      <c r="M395" s="193"/>
    </row>
    <row r="396" spans="1:13" x14ac:dyDescent="0.3">
      <c r="A396" s="216"/>
      <c r="B396" s="205"/>
      <c r="C396" s="205"/>
      <c r="D396" s="205"/>
      <c r="E396" s="205"/>
      <c r="F396" s="201"/>
      <c r="H396" s="46"/>
      <c r="I396" s="236"/>
      <c r="J396" s="236"/>
      <c r="K396" s="282"/>
      <c r="L396" s="236"/>
      <c r="M396" s="193"/>
    </row>
    <row r="397" spans="1:13" x14ac:dyDescent="0.3">
      <c r="A397" s="216"/>
      <c r="B397" s="205"/>
      <c r="C397" s="205"/>
      <c r="D397" s="205"/>
      <c r="E397" s="205"/>
      <c r="F397" s="201"/>
      <c r="H397" s="46"/>
      <c r="I397" s="236"/>
      <c r="J397" s="236"/>
      <c r="K397" s="282"/>
      <c r="L397" s="236"/>
      <c r="M397" s="193"/>
    </row>
    <row r="398" spans="1:13" x14ac:dyDescent="0.3">
      <c r="A398" s="216"/>
      <c r="B398" s="205"/>
      <c r="C398" s="205"/>
      <c r="D398" s="205"/>
      <c r="E398" s="205"/>
      <c r="F398" s="201"/>
      <c r="H398" s="46"/>
      <c r="I398" s="236"/>
      <c r="J398" s="236"/>
      <c r="K398" s="282"/>
      <c r="L398" s="236"/>
      <c r="M398" s="193"/>
    </row>
    <row r="399" spans="1:13" x14ac:dyDescent="0.3">
      <c r="A399" s="216"/>
      <c r="B399" s="205"/>
      <c r="C399" s="205"/>
      <c r="D399" s="205"/>
      <c r="E399" s="205"/>
      <c r="F399" s="201"/>
      <c r="H399" s="46"/>
      <c r="I399" s="236"/>
      <c r="J399" s="236"/>
      <c r="K399" s="282"/>
      <c r="L399" s="236"/>
      <c r="M399" s="193"/>
    </row>
    <row r="400" spans="1:13" x14ac:dyDescent="0.3">
      <c r="A400" s="216"/>
      <c r="B400" s="205"/>
      <c r="C400" s="205"/>
      <c r="D400" s="205"/>
      <c r="E400" s="205"/>
      <c r="F400" s="201"/>
      <c r="H400" s="46"/>
      <c r="I400" s="236"/>
      <c r="J400" s="236"/>
      <c r="K400" s="282"/>
      <c r="L400" s="236"/>
      <c r="M400" s="193"/>
    </row>
    <row r="401" spans="1:13" x14ac:dyDescent="0.3">
      <c r="A401" s="216"/>
      <c r="B401" s="205"/>
      <c r="C401" s="205"/>
      <c r="D401" s="205"/>
      <c r="E401" s="205"/>
      <c r="F401" s="201"/>
      <c r="H401" s="46"/>
      <c r="I401" s="236"/>
      <c r="J401" s="236"/>
      <c r="K401" s="282"/>
      <c r="L401" s="236"/>
      <c r="M401" s="193"/>
    </row>
    <row r="402" spans="1:13" x14ac:dyDescent="0.3">
      <c r="A402" s="216"/>
      <c r="B402" s="205"/>
      <c r="C402" s="205"/>
      <c r="D402" s="205"/>
      <c r="E402" s="205"/>
      <c r="F402" s="201"/>
      <c r="H402" s="46"/>
      <c r="I402" s="236"/>
      <c r="J402" s="236"/>
      <c r="K402" s="282"/>
      <c r="L402" s="236"/>
      <c r="M402" s="193"/>
    </row>
    <row r="403" spans="1:13" x14ac:dyDescent="0.3">
      <c r="A403" s="216"/>
      <c r="B403" s="205"/>
      <c r="C403" s="205"/>
      <c r="D403" s="205"/>
      <c r="E403" s="205"/>
      <c r="F403" s="201"/>
      <c r="H403" s="46"/>
      <c r="I403" s="236"/>
      <c r="J403" s="236"/>
      <c r="K403" s="282"/>
      <c r="L403" s="236"/>
      <c r="M403" s="193"/>
    </row>
    <row r="404" spans="1:13" x14ac:dyDescent="0.3">
      <c r="A404" s="216"/>
      <c r="B404" s="205"/>
      <c r="C404" s="205"/>
      <c r="D404" s="205"/>
      <c r="E404" s="205"/>
      <c r="F404" s="201"/>
      <c r="H404" s="46"/>
      <c r="I404" s="236"/>
      <c r="J404" s="236"/>
      <c r="K404" s="282"/>
      <c r="L404" s="236"/>
      <c r="M404" s="193"/>
    </row>
    <row r="405" spans="1:13" x14ac:dyDescent="0.3">
      <c r="A405" s="216"/>
      <c r="B405" s="205"/>
      <c r="C405" s="205"/>
      <c r="D405" s="205"/>
      <c r="E405" s="205"/>
      <c r="F405" s="201"/>
      <c r="H405" s="46"/>
      <c r="I405" s="236"/>
      <c r="J405" s="236"/>
      <c r="K405" s="282"/>
      <c r="L405" s="236"/>
      <c r="M405" s="193"/>
    </row>
    <row r="406" spans="1:13" x14ac:dyDescent="0.3">
      <c r="A406" s="216"/>
      <c r="B406" s="205"/>
      <c r="C406" s="205"/>
      <c r="D406" s="205"/>
      <c r="E406" s="205"/>
      <c r="F406" s="201"/>
      <c r="H406" s="46"/>
      <c r="I406" s="236"/>
      <c r="J406" s="236"/>
      <c r="K406" s="282"/>
      <c r="L406" s="236"/>
      <c r="M406" s="193"/>
    </row>
    <row r="407" spans="1:13" x14ac:dyDescent="0.3">
      <c r="A407" s="216"/>
      <c r="B407" s="205"/>
      <c r="C407" s="205"/>
      <c r="D407" s="205"/>
      <c r="E407" s="205"/>
      <c r="F407" s="201"/>
      <c r="H407" s="46"/>
      <c r="I407" s="236"/>
      <c r="J407" s="236"/>
      <c r="K407" s="282"/>
      <c r="L407" s="236"/>
      <c r="M407" s="193"/>
    </row>
    <row r="408" spans="1:13" x14ac:dyDescent="0.3">
      <c r="A408" s="216"/>
      <c r="B408" s="205"/>
      <c r="C408" s="205"/>
      <c r="D408" s="205"/>
      <c r="E408" s="205"/>
      <c r="F408" s="201"/>
      <c r="H408" s="46"/>
      <c r="I408" s="236"/>
      <c r="J408" s="236"/>
      <c r="K408" s="282"/>
      <c r="L408" s="236"/>
      <c r="M408" s="193"/>
    </row>
    <row r="409" spans="1:13" x14ac:dyDescent="0.3">
      <c r="A409" s="216"/>
      <c r="B409" s="205"/>
      <c r="C409" s="205"/>
      <c r="D409" s="205"/>
      <c r="E409" s="205"/>
      <c r="F409" s="201"/>
      <c r="H409" s="46"/>
      <c r="I409" s="236"/>
      <c r="J409" s="236"/>
      <c r="K409" s="282"/>
      <c r="L409" s="236"/>
      <c r="M409" s="193"/>
    </row>
    <row r="410" spans="1:13" x14ac:dyDescent="0.3">
      <c r="A410" s="216"/>
      <c r="B410" s="205"/>
      <c r="C410" s="205"/>
      <c r="D410" s="205"/>
      <c r="E410" s="205"/>
      <c r="F410" s="201"/>
      <c r="H410" s="46"/>
      <c r="I410" s="236"/>
      <c r="J410" s="236"/>
      <c r="K410" s="282"/>
      <c r="L410" s="236"/>
      <c r="M410" s="193"/>
    </row>
    <row r="411" spans="1:13" x14ac:dyDescent="0.3">
      <c r="A411" s="216"/>
      <c r="B411" s="205"/>
      <c r="C411" s="205"/>
      <c r="D411" s="205"/>
      <c r="E411" s="205"/>
      <c r="F411" s="201"/>
      <c r="H411" s="46"/>
      <c r="I411" s="236"/>
      <c r="J411" s="236"/>
      <c r="K411" s="282"/>
      <c r="L411" s="236"/>
      <c r="M411" s="193"/>
    </row>
    <row r="412" spans="1:13" x14ac:dyDescent="0.3">
      <c r="A412" s="216"/>
      <c r="B412" s="205"/>
      <c r="C412" s="205"/>
      <c r="D412" s="205"/>
      <c r="E412" s="205"/>
      <c r="F412" s="201"/>
      <c r="H412" s="46"/>
      <c r="I412" s="236"/>
      <c r="J412" s="236"/>
      <c r="K412" s="282"/>
      <c r="L412" s="236"/>
      <c r="M412" s="193"/>
    </row>
    <row r="413" spans="1:13" x14ac:dyDescent="0.3">
      <c r="A413" s="216"/>
      <c r="B413" s="205"/>
      <c r="C413" s="205"/>
      <c r="D413" s="205"/>
      <c r="E413" s="205"/>
      <c r="F413" s="201"/>
      <c r="H413" s="46"/>
      <c r="I413" s="236"/>
      <c r="J413" s="236"/>
      <c r="K413" s="282"/>
      <c r="L413" s="236"/>
      <c r="M413" s="193"/>
    </row>
    <row r="414" spans="1:13" x14ac:dyDescent="0.3">
      <c r="A414" s="216"/>
      <c r="B414" s="205"/>
      <c r="C414" s="205"/>
      <c r="D414" s="205"/>
      <c r="E414" s="205"/>
      <c r="F414" s="201"/>
      <c r="H414" s="46"/>
      <c r="I414" s="236"/>
      <c r="J414" s="236"/>
      <c r="K414" s="282"/>
      <c r="L414" s="236"/>
      <c r="M414" s="193"/>
    </row>
    <row r="415" spans="1:13" x14ac:dyDescent="0.3">
      <c r="A415" s="216"/>
      <c r="B415" s="205"/>
      <c r="C415" s="205"/>
      <c r="D415" s="205"/>
      <c r="E415" s="205"/>
      <c r="F415" s="201"/>
      <c r="H415" s="46"/>
      <c r="I415" s="236"/>
      <c r="J415" s="236"/>
      <c r="K415" s="282"/>
      <c r="L415" s="236"/>
      <c r="M415" s="193"/>
    </row>
    <row r="416" spans="1:13" x14ac:dyDescent="0.3">
      <c r="A416" s="216"/>
      <c r="B416" s="205"/>
      <c r="C416" s="205"/>
      <c r="D416" s="205"/>
      <c r="E416" s="205"/>
      <c r="F416" s="201"/>
      <c r="H416" s="46"/>
      <c r="I416" s="236"/>
      <c r="J416" s="236"/>
      <c r="K416" s="282"/>
      <c r="L416" s="236"/>
      <c r="M416" s="193"/>
    </row>
    <row r="417" spans="1:13" x14ac:dyDescent="0.3">
      <c r="A417" s="216"/>
      <c r="B417" s="205"/>
      <c r="C417" s="205"/>
      <c r="D417" s="205"/>
      <c r="E417" s="205"/>
      <c r="F417" s="201"/>
      <c r="H417" s="46"/>
      <c r="I417" s="236"/>
      <c r="J417" s="236"/>
      <c r="K417" s="282"/>
      <c r="L417" s="236"/>
      <c r="M417" s="193"/>
    </row>
    <row r="418" spans="1:13" x14ac:dyDescent="0.3">
      <c r="A418" s="216"/>
      <c r="B418" s="205"/>
      <c r="C418" s="205"/>
      <c r="D418" s="205"/>
      <c r="E418" s="205"/>
      <c r="F418" s="201"/>
      <c r="H418" s="46"/>
      <c r="I418" s="236"/>
      <c r="J418" s="236"/>
      <c r="K418" s="282"/>
      <c r="L418" s="236"/>
      <c r="M418" s="193"/>
    </row>
    <row r="419" spans="1:13" x14ac:dyDescent="0.3">
      <c r="A419" s="216"/>
      <c r="B419" s="205"/>
      <c r="C419" s="205"/>
      <c r="D419" s="205"/>
      <c r="E419" s="205"/>
      <c r="F419" s="201"/>
      <c r="H419" s="46"/>
      <c r="I419" s="236"/>
      <c r="J419" s="236"/>
      <c r="K419" s="282"/>
      <c r="L419" s="236"/>
      <c r="M419" s="193"/>
    </row>
    <row r="420" spans="1:13" x14ac:dyDescent="0.3">
      <c r="A420" s="216"/>
      <c r="B420" s="205"/>
      <c r="C420" s="205"/>
      <c r="D420" s="205"/>
      <c r="E420" s="205"/>
      <c r="F420" s="201"/>
      <c r="H420" s="46"/>
      <c r="I420" s="236"/>
      <c r="J420" s="236"/>
      <c r="K420" s="282"/>
      <c r="L420" s="236"/>
      <c r="M420" s="193"/>
    </row>
    <row r="421" spans="1:13" x14ac:dyDescent="0.3">
      <c r="A421" s="216"/>
      <c r="B421" s="205"/>
      <c r="C421" s="205"/>
      <c r="D421" s="205"/>
      <c r="E421" s="205"/>
      <c r="F421" s="201"/>
      <c r="H421" s="46"/>
      <c r="I421" s="236"/>
      <c r="J421" s="236"/>
      <c r="K421" s="282"/>
      <c r="L421" s="236"/>
      <c r="M421" s="193"/>
    </row>
    <row r="422" spans="1:13" x14ac:dyDescent="0.3">
      <c r="A422" s="216"/>
      <c r="B422" s="205"/>
      <c r="C422" s="205"/>
      <c r="D422" s="205"/>
      <c r="E422" s="205"/>
      <c r="F422" s="201"/>
      <c r="H422" s="46"/>
      <c r="I422" s="236"/>
      <c r="J422" s="236"/>
      <c r="K422" s="282"/>
      <c r="L422" s="236"/>
      <c r="M422" s="193"/>
    </row>
    <row r="423" spans="1:13" x14ac:dyDescent="0.3">
      <c r="A423" s="216"/>
      <c r="B423" s="205"/>
      <c r="C423" s="205"/>
      <c r="D423" s="205"/>
      <c r="E423" s="205"/>
      <c r="F423" s="201"/>
      <c r="H423" s="46"/>
      <c r="I423" s="236"/>
      <c r="J423" s="236"/>
      <c r="K423" s="282"/>
      <c r="L423" s="236"/>
      <c r="M423" s="193"/>
    </row>
    <row r="424" spans="1:13" x14ac:dyDescent="0.3">
      <c r="A424" s="216"/>
      <c r="B424" s="205"/>
      <c r="C424" s="205"/>
      <c r="D424" s="205"/>
      <c r="E424" s="205"/>
      <c r="F424" s="201"/>
      <c r="H424" s="46"/>
      <c r="I424" s="236"/>
      <c r="J424" s="236"/>
      <c r="K424" s="282"/>
      <c r="L424" s="236"/>
      <c r="M424" s="193"/>
    </row>
    <row r="425" spans="1:13" x14ac:dyDescent="0.3">
      <c r="A425" s="216"/>
      <c r="B425" s="205"/>
      <c r="C425" s="205"/>
      <c r="D425" s="205"/>
      <c r="E425" s="205"/>
      <c r="F425" s="201"/>
      <c r="H425" s="46"/>
      <c r="I425" s="236"/>
      <c r="J425" s="236"/>
      <c r="K425" s="324"/>
      <c r="L425" s="236"/>
      <c r="M425" s="193"/>
    </row>
    <row r="426" spans="1:13" x14ac:dyDescent="0.3">
      <c r="A426" s="216"/>
      <c r="B426" s="205"/>
      <c r="C426" s="205"/>
      <c r="D426" s="205"/>
      <c r="E426" s="205"/>
      <c r="F426" s="201"/>
      <c r="H426" s="46"/>
      <c r="I426" s="236"/>
      <c r="J426" s="236"/>
      <c r="K426" s="193"/>
      <c r="L426" s="236"/>
      <c r="M426" s="193"/>
    </row>
    <row r="427" spans="1:13" x14ac:dyDescent="0.3">
      <c r="A427" s="216"/>
      <c r="B427" s="205"/>
      <c r="C427" s="205"/>
      <c r="D427" s="205"/>
      <c r="E427" s="205"/>
      <c r="F427" s="201"/>
      <c r="H427" s="46"/>
      <c r="I427" s="236"/>
      <c r="J427" s="236"/>
      <c r="K427" s="193"/>
      <c r="L427" s="236"/>
      <c r="M427" s="193"/>
    </row>
    <row r="428" spans="1:13" x14ac:dyDescent="0.3">
      <c r="A428" s="216"/>
      <c r="B428" s="205"/>
      <c r="C428" s="205"/>
      <c r="D428" s="205"/>
      <c r="E428" s="205"/>
      <c r="F428" s="201"/>
      <c r="H428" s="46"/>
      <c r="I428" s="236"/>
      <c r="J428" s="236"/>
      <c r="K428" s="193"/>
      <c r="L428" s="236"/>
      <c r="M428" s="193"/>
    </row>
    <row r="429" spans="1:13" x14ac:dyDescent="0.3">
      <c r="A429" s="216"/>
      <c r="B429" s="205"/>
      <c r="C429" s="205"/>
      <c r="D429" s="205"/>
      <c r="E429" s="205"/>
      <c r="F429" s="201"/>
      <c r="H429" s="46"/>
      <c r="I429" s="236"/>
      <c r="J429" s="236"/>
      <c r="K429" s="193"/>
      <c r="L429" s="236"/>
      <c r="M429" s="193"/>
    </row>
    <row r="430" spans="1:13" x14ac:dyDescent="0.3">
      <c r="A430" s="216"/>
      <c r="B430" s="205"/>
      <c r="C430" s="205"/>
      <c r="D430" s="205"/>
      <c r="E430" s="205"/>
      <c r="F430" s="201"/>
      <c r="H430" s="46"/>
      <c r="I430" s="236"/>
      <c r="J430" s="236"/>
      <c r="K430" s="193"/>
      <c r="L430" s="236"/>
      <c r="M430" s="193"/>
    </row>
    <row r="431" spans="1:13" x14ac:dyDescent="0.3">
      <c r="A431" s="216"/>
      <c r="B431" s="205"/>
      <c r="C431" s="205"/>
      <c r="D431" s="205"/>
      <c r="E431" s="205"/>
      <c r="F431" s="201"/>
      <c r="H431" s="46"/>
      <c r="I431" s="236"/>
      <c r="J431" s="236"/>
      <c r="K431" s="193"/>
      <c r="L431" s="236"/>
      <c r="M431" s="193"/>
    </row>
    <row r="432" spans="1:13" x14ac:dyDescent="0.3">
      <c r="A432" s="216"/>
      <c r="B432" s="205"/>
      <c r="C432" s="205"/>
      <c r="D432" s="205"/>
      <c r="E432" s="205"/>
      <c r="F432" s="201"/>
      <c r="H432" s="46"/>
      <c r="I432" s="236"/>
      <c r="J432" s="236"/>
      <c r="K432" s="193"/>
      <c r="L432" s="236"/>
      <c r="M432" s="193"/>
    </row>
    <row r="433" spans="1:13" x14ac:dyDescent="0.3">
      <c r="A433" s="216"/>
      <c r="B433" s="205"/>
      <c r="C433" s="205"/>
      <c r="D433" s="205"/>
      <c r="E433" s="205"/>
      <c r="F433" s="201"/>
      <c r="H433" s="46"/>
      <c r="I433" s="236"/>
      <c r="J433" s="236"/>
      <c r="K433" s="193"/>
      <c r="L433" s="236"/>
      <c r="M433" s="193"/>
    </row>
    <row r="434" spans="1:13" x14ac:dyDescent="0.3">
      <c r="A434" s="216"/>
      <c r="B434" s="205"/>
      <c r="C434" s="205"/>
      <c r="D434" s="205"/>
      <c r="E434" s="205"/>
      <c r="F434" s="201"/>
      <c r="H434" s="46"/>
      <c r="I434" s="236"/>
      <c r="J434" s="236"/>
      <c r="K434" s="193"/>
      <c r="L434" s="236"/>
      <c r="M434" s="193"/>
    </row>
    <row r="435" spans="1:13" x14ac:dyDescent="0.3">
      <c r="A435" s="216"/>
      <c r="B435" s="205"/>
      <c r="C435" s="205"/>
      <c r="D435" s="205"/>
      <c r="E435" s="205"/>
      <c r="F435" s="201"/>
      <c r="H435" s="46"/>
      <c r="I435" s="236"/>
      <c r="J435" s="236"/>
      <c r="K435" s="193"/>
      <c r="L435" s="236"/>
      <c r="M435" s="193"/>
    </row>
    <row r="436" spans="1:13" x14ac:dyDescent="0.3">
      <c r="A436" s="216"/>
      <c r="B436" s="205"/>
      <c r="C436" s="205"/>
      <c r="D436" s="205"/>
      <c r="E436" s="205"/>
      <c r="F436" s="201"/>
      <c r="H436" s="46"/>
      <c r="I436" s="236"/>
      <c r="J436" s="236"/>
      <c r="K436" s="193"/>
      <c r="L436" s="236"/>
      <c r="M436" s="193"/>
    </row>
    <row r="437" spans="1:13" x14ac:dyDescent="0.3">
      <c r="A437" s="216"/>
      <c r="B437" s="205"/>
      <c r="C437" s="205"/>
      <c r="D437" s="205"/>
      <c r="E437" s="205"/>
      <c r="F437" s="201"/>
      <c r="H437" s="46"/>
      <c r="I437" s="236"/>
      <c r="J437" s="236"/>
      <c r="K437" s="193"/>
      <c r="L437" s="236"/>
      <c r="M437" s="193"/>
    </row>
    <row r="438" spans="1:13" x14ac:dyDescent="0.3">
      <c r="A438" s="216"/>
      <c r="B438" s="205"/>
      <c r="C438" s="205"/>
      <c r="D438" s="205"/>
      <c r="E438" s="205"/>
      <c r="F438" s="201"/>
      <c r="H438" s="46"/>
      <c r="I438" s="236"/>
      <c r="J438" s="236"/>
      <c r="K438" s="193"/>
      <c r="L438" s="236"/>
      <c r="M438" s="193"/>
    </row>
    <row r="439" spans="1:13" x14ac:dyDescent="0.3">
      <c r="A439" s="216"/>
      <c r="B439" s="205"/>
      <c r="C439" s="205"/>
      <c r="D439" s="205"/>
      <c r="E439" s="205"/>
      <c r="F439" s="201"/>
      <c r="H439" s="46"/>
      <c r="I439" s="236"/>
      <c r="J439" s="236"/>
      <c r="K439" s="193"/>
      <c r="L439" s="236"/>
      <c r="M439" s="193"/>
    </row>
    <row r="440" spans="1:13" x14ac:dyDescent="0.3">
      <c r="A440" s="216"/>
      <c r="B440" s="205"/>
      <c r="C440" s="205"/>
      <c r="D440" s="205"/>
      <c r="E440" s="205"/>
      <c r="F440" s="201"/>
      <c r="H440" s="46"/>
      <c r="I440" s="236"/>
      <c r="J440" s="236"/>
      <c r="K440" s="193"/>
      <c r="L440" s="236"/>
      <c r="M440" s="193"/>
    </row>
    <row r="441" spans="1:13" x14ac:dyDescent="0.3">
      <c r="A441" s="216"/>
      <c r="B441" s="205"/>
      <c r="C441" s="205"/>
      <c r="D441" s="205"/>
      <c r="E441" s="205"/>
      <c r="F441" s="201"/>
      <c r="H441" s="46"/>
      <c r="I441" s="236"/>
      <c r="J441" s="236"/>
      <c r="K441" s="193"/>
      <c r="L441" s="236"/>
      <c r="M441" s="193"/>
    </row>
    <row r="442" spans="1:13" x14ac:dyDescent="0.3">
      <c r="A442" s="216"/>
      <c r="B442" s="205"/>
      <c r="C442" s="205"/>
      <c r="D442" s="205"/>
      <c r="E442" s="205"/>
      <c r="F442" s="201"/>
      <c r="H442" s="46"/>
      <c r="I442" s="236"/>
      <c r="J442" s="236"/>
      <c r="K442" s="193"/>
      <c r="L442" s="236"/>
      <c r="M442" s="193"/>
    </row>
    <row r="443" spans="1:13" x14ac:dyDescent="0.3">
      <c r="A443" s="216"/>
      <c r="B443" s="205"/>
      <c r="C443" s="205"/>
      <c r="D443" s="205"/>
      <c r="E443" s="205"/>
      <c r="F443" s="201"/>
      <c r="H443" s="46"/>
      <c r="I443" s="236"/>
      <c r="J443" s="236"/>
      <c r="K443" s="193"/>
      <c r="L443" s="236"/>
      <c r="M443" s="193"/>
    </row>
    <row r="444" spans="1:13" x14ac:dyDescent="0.3">
      <c r="A444" s="216"/>
      <c r="B444" s="205"/>
      <c r="C444" s="205"/>
      <c r="D444" s="205"/>
      <c r="E444" s="205"/>
      <c r="F444" s="201"/>
      <c r="H444" s="46"/>
      <c r="I444" s="236"/>
      <c r="J444" s="236"/>
      <c r="K444" s="193"/>
      <c r="L444" s="236"/>
      <c r="M444" s="193"/>
    </row>
    <row r="445" spans="1:13" x14ac:dyDescent="0.3">
      <c r="A445" s="216"/>
      <c r="B445" s="205"/>
      <c r="C445" s="205"/>
      <c r="D445" s="205"/>
      <c r="E445" s="205"/>
      <c r="F445" s="201"/>
      <c r="H445" s="46"/>
      <c r="I445" s="236"/>
      <c r="J445" s="236"/>
      <c r="K445" s="193"/>
      <c r="L445" s="236"/>
      <c r="M445" s="193"/>
    </row>
    <row r="446" spans="1:13" x14ac:dyDescent="0.3">
      <c r="A446" s="216"/>
      <c r="B446" s="205"/>
      <c r="C446" s="205"/>
      <c r="D446" s="205"/>
      <c r="E446" s="205"/>
      <c r="F446" s="201"/>
      <c r="H446" s="46"/>
      <c r="I446" s="236"/>
      <c r="J446" s="236"/>
      <c r="K446" s="193"/>
      <c r="L446" s="236"/>
      <c r="M446" s="193"/>
    </row>
    <row r="447" spans="1:13" x14ac:dyDescent="0.3">
      <c r="A447" s="216"/>
      <c r="B447" s="205"/>
      <c r="C447" s="205"/>
      <c r="D447" s="205"/>
      <c r="E447" s="205"/>
      <c r="F447" s="201"/>
      <c r="H447" s="46"/>
      <c r="I447" s="236"/>
      <c r="J447" s="236"/>
      <c r="K447" s="193"/>
      <c r="L447" s="236"/>
      <c r="M447" s="193"/>
    </row>
    <row r="448" spans="1:13" x14ac:dyDescent="0.3">
      <c r="A448" s="216"/>
      <c r="B448" s="205"/>
      <c r="C448" s="205"/>
      <c r="D448" s="205"/>
      <c r="E448" s="205"/>
      <c r="F448" s="201"/>
      <c r="H448" s="46"/>
      <c r="I448" s="236"/>
      <c r="J448" s="236"/>
      <c r="K448" s="193"/>
      <c r="L448" s="236"/>
      <c r="M448" s="193"/>
    </row>
    <row r="449" spans="1:13" x14ac:dyDescent="0.3">
      <c r="A449" s="216"/>
      <c r="B449" s="205"/>
      <c r="C449" s="205"/>
      <c r="D449" s="205"/>
      <c r="E449" s="205"/>
      <c r="F449" s="201"/>
      <c r="H449" s="46"/>
      <c r="I449" s="236"/>
      <c r="J449" s="236"/>
      <c r="K449" s="193"/>
      <c r="L449" s="236"/>
      <c r="M449" s="193"/>
    </row>
    <row r="450" spans="1:13" x14ac:dyDescent="0.3">
      <c r="A450" s="216"/>
      <c r="B450" s="205"/>
      <c r="C450" s="205"/>
      <c r="D450" s="205"/>
      <c r="E450" s="205"/>
      <c r="F450" s="201"/>
      <c r="H450" s="46"/>
      <c r="I450" s="236"/>
      <c r="J450" s="236"/>
      <c r="K450" s="193"/>
      <c r="L450" s="236"/>
      <c r="M450" s="193"/>
    </row>
    <row r="451" spans="1:13" x14ac:dyDescent="0.3">
      <c r="A451" s="216"/>
      <c r="B451" s="205"/>
      <c r="C451" s="205"/>
      <c r="D451" s="205"/>
      <c r="E451" s="205"/>
      <c r="F451" s="201"/>
      <c r="H451" s="46"/>
      <c r="I451" s="236"/>
      <c r="J451" s="236"/>
      <c r="K451" s="193"/>
      <c r="L451" s="236"/>
      <c r="M451" s="193"/>
    </row>
    <row r="452" spans="1:13" x14ac:dyDescent="0.3">
      <c r="A452" s="216"/>
      <c r="B452" s="205"/>
      <c r="C452" s="205"/>
      <c r="D452" s="205"/>
      <c r="E452" s="205"/>
      <c r="F452" s="201"/>
      <c r="H452" s="46"/>
      <c r="I452" s="236"/>
      <c r="J452" s="236"/>
      <c r="K452" s="193"/>
      <c r="L452" s="236"/>
      <c r="M452" s="193"/>
    </row>
    <row r="453" spans="1:13" x14ac:dyDescent="0.3">
      <c r="A453" s="216"/>
      <c r="B453" s="205"/>
      <c r="C453" s="205"/>
      <c r="D453" s="205"/>
      <c r="E453" s="205"/>
      <c r="F453" s="201"/>
      <c r="H453" s="46"/>
      <c r="I453" s="236"/>
      <c r="J453" s="236"/>
      <c r="K453" s="193"/>
      <c r="L453" s="236"/>
      <c r="M453" s="193"/>
    </row>
    <row r="454" spans="1:13" x14ac:dyDescent="0.3">
      <c r="A454" s="216"/>
      <c r="B454" s="205"/>
      <c r="C454" s="205"/>
      <c r="D454" s="205"/>
      <c r="E454" s="205"/>
      <c r="F454" s="201"/>
      <c r="H454" s="46"/>
      <c r="I454" s="236"/>
      <c r="J454" s="236"/>
      <c r="K454" s="193"/>
      <c r="L454" s="236"/>
      <c r="M454" s="193"/>
    </row>
    <row r="455" spans="1:13" x14ac:dyDescent="0.3">
      <c r="A455" s="216"/>
      <c r="B455" s="205"/>
      <c r="C455" s="205"/>
      <c r="D455" s="205"/>
      <c r="E455" s="205"/>
      <c r="F455" s="201"/>
      <c r="H455" s="46"/>
      <c r="I455" s="236"/>
      <c r="J455" s="236"/>
      <c r="K455" s="193"/>
      <c r="L455" s="236"/>
      <c r="M455" s="193"/>
    </row>
    <row r="456" spans="1:13" x14ac:dyDescent="0.3">
      <c r="A456" s="216"/>
      <c r="B456" s="205"/>
      <c r="C456" s="205"/>
      <c r="D456" s="205"/>
      <c r="E456" s="205"/>
      <c r="F456" s="201"/>
      <c r="H456" s="46"/>
      <c r="I456" s="236"/>
      <c r="J456" s="236"/>
      <c r="K456" s="193"/>
      <c r="L456" s="236"/>
      <c r="M456" s="193"/>
    </row>
    <row r="457" spans="1:13" x14ac:dyDescent="0.3">
      <c r="A457" s="216"/>
      <c r="B457" s="205"/>
      <c r="C457" s="205"/>
      <c r="D457" s="205"/>
      <c r="E457" s="205"/>
      <c r="F457" s="201"/>
      <c r="H457" s="46"/>
      <c r="I457" s="236"/>
      <c r="J457" s="236"/>
      <c r="K457" s="193"/>
      <c r="L457" s="236"/>
      <c r="M457" s="193"/>
    </row>
    <row r="458" spans="1:13" x14ac:dyDescent="0.3">
      <c r="A458" s="216"/>
      <c r="B458" s="205"/>
      <c r="C458" s="205"/>
      <c r="D458" s="205"/>
      <c r="E458" s="205"/>
      <c r="F458" s="201"/>
      <c r="H458" s="46"/>
      <c r="I458" s="236"/>
      <c r="J458" s="236"/>
      <c r="K458" s="193"/>
      <c r="L458" s="236"/>
      <c r="M458" s="193"/>
    </row>
    <row r="459" spans="1:13" x14ac:dyDescent="0.3">
      <c r="A459" s="216"/>
      <c r="B459" s="205"/>
      <c r="C459" s="205"/>
      <c r="D459" s="205"/>
      <c r="E459" s="205"/>
      <c r="F459" s="201"/>
      <c r="H459" s="46"/>
      <c r="I459" s="236"/>
      <c r="J459" s="236"/>
      <c r="K459" s="193"/>
      <c r="L459" s="236"/>
      <c r="M459" s="193"/>
    </row>
    <row r="460" spans="1:13" x14ac:dyDescent="0.3">
      <c r="A460" s="216"/>
      <c r="B460" s="205"/>
      <c r="C460" s="205"/>
      <c r="D460" s="205"/>
      <c r="E460" s="205"/>
      <c r="F460" s="201"/>
      <c r="H460" s="46"/>
      <c r="I460" s="236"/>
      <c r="J460" s="236"/>
      <c r="K460" s="193"/>
      <c r="L460" s="236"/>
      <c r="M460" s="193"/>
    </row>
    <row r="461" spans="1:13" x14ac:dyDescent="0.3">
      <c r="A461" s="216"/>
      <c r="B461" s="205"/>
      <c r="C461" s="205"/>
      <c r="D461" s="205"/>
      <c r="E461" s="205"/>
      <c r="F461" s="201"/>
      <c r="H461" s="46"/>
      <c r="I461" s="236"/>
      <c r="J461" s="236"/>
      <c r="K461" s="193"/>
      <c r="L461" s="236"/>
      <c r="M461" s="193"/>
    </row>
    <row r="462" spans="1:13" x14ac:dyDescent="0.3">
      <c r="A462" s="216"/>
      <c r="B462" s="205"/>
      <c r="C462" s="205"/>
      <c r="D462" s="205"/>
      <c r="E462" s="205"/>
      <c r="F462" s="201"/>
      <c r="H462" s="46"/>
      <c r="I462" s="236"/>
      <c r="J462" s="236"/>
      <c r="K462" s="193"/>
      <c r="L462" s="236"/>
      <c r="M462" s="193"/>
    </row>
    <row r="463" spans="1:13" x14ac:dyDescent="0.3">
      <c r="A463" s="216"/>
      <c r="B463" s="205"/>
      <c r="C463" s="205"/>
      <c r="D463" s="205"/>
      <c r="E463" s="205"/>
      <c r="F463" s="201"/>
      <c r="H463" s="46"/>
      <c r="I463" s="236"/>
      <c r="J463" s="236"/>
      <c r="K463" s="193"/>
      <c r="L463" s="236"/>
      <c r="M463" s="193"/>
    </row>
    <row r="464" spans="1:13" x14ac:dyDescent="0.3">
      <c r="A464" s="216"/>
      <c r="B464" s="205"/>
      <c r="C464" s="205"/>
      <c r="D464" s="205"/>
      <c r="E464" s="205"/>
      <c r="F464" s="201"/>
      <c r="H464" s="46"/>
      <c r="I464" s="236"/>
      <c r="J464" s="236"/>
      <c r="K464" s="193"/>
      <c r="L464" s="236"/>
      <c r="M464" s="193"/>
    </row>
    <row r="465" spans="1:13" x14ac:dyDescent="0.3">
      <c r="A465" s="216"/>
      <c r="B465" s="205"/>
      <c r="C465" s="205"/>
      <c r="D465" s="205"/>
      <c r="E465" s="205"/>
      <c r="F465" s="201"/>
      <c r="H465" s="46"/>
      <c r="I465" s="236"/>
      <c r="J465" s="236"/>
      <c r="K465" s="193"/>
      <c r="L465" s="236"/>
      <c r="M465" s="193"/>
    </row>
    <row r="466" spans="1:13" x14ac:dyDescent="0.3">
      <c r="A466" s="216"/>
      <c r="B466" s="205"/>
      <c r="C466" s="205"/>
      <c r="D466" s="205"/>
      <c r="E466" s="205"/>
      <c r="F466" s="201"/>
      <c r="H466" s="46"/>
      <c r="I466" s="236"/>
      <c r="J466" s="236"/>
      <c r="K466" s="193"/>
      <c r="L466" s="236"/>
      <c r="M466" s="193"/>
    </row>
    <row r="467" spans="1:13" x14ac:dyDescent="0.3">
      <c r="A467" s="216"/>
      <c r="B467" s="205"/>
      <c r="C467" s="205"/>
      <c r="D467" s="205"/>
      <c r="E467" s="205"/>
      <c r="F467" s="201"/>
      <c r="H467" s="46"/>
      <c r="I467" s="236"/>
      <c r="J467" s="236"/>
      <c r="K467" s="193"/>
      <c r="L467" s="236"/>
      <c r="M467" s="193"/>
    </row>
    <row r="468" spans="1:13" x14ac:dyDescent="0.3">
      <c r="A468" s="216"/>
      <c r="B468" s="205"/>
      <c r="C468" s="205"/>
      <c r="D468" s="205"/>
      <c r="E468" s="205"/>
      <c r="F468" s="201"/>
      <c r="H468" s="46"/>
      <c r="I468" s="236"/>
      <c r="J468" s="236"/>
      <c r="K468" s="193"/>
      <c r="L468" s="236"/>
      <c r="M468" s="193"/>
    </row>
    <row r="469" spans="1:13" x14ac:dyDescent="0.3">
      <c r="A469" s="216"/>
      <c r="B469" s="205"/>
      <c r="C469" s="205"/>
      <c r="D469" s="205"/>
      <c r="E469" s="205"/>
      <c r="F469" s="201"/>
      <c r="H469" s="46"/>
      <c r="I469" s="236"/>
      <c r="J469" s="236"/>
      <c r="K469" s="193"/>
      <c r="L469" s="236"/>
      <c r="M469" s="193"/>
    </row>
    <row r="470" spans="1:13" x14ac:dyDescent="0.3">
      <c r="A470" s="216"/>
      <c r="B470" s="205"/>
      <c r="C470" s="205"/>
      <c r="D470" s="205"/>
      <c r="E470" s="205"/>
      <c r="F470" s="201"/>
      <c r="H470" s="46"/>
      <c r="I470" s="236"/>
      <c r="J470" s="236"/>
      <c r="K470" s="193"/>
      <c r="L470" s="236"/>
      <c r="M470" s="193"/>
    </row>
    <row r="471" spans="1:13" x14ac:dyDescent="0.3">
      <c r="A471" s="216"/>
      <c r="B471" s="205"/>
      <c r="C471" s="205"/>
      <c r="D471" s="205"/>
      <c r="E471" s="205"/>
      <c r="F471" s="201"/>
      <c r="H471" s="46"/>
      <c r="I471" s="236"/>
      <c r="J471" s="236"/>
      <c r="K471" s="193"/>
      <c r="L471" s="236"/>
      <c r="M471" s="193"/>
    </row>
    <row r="472" spans="1:13" x14ac:dyDescent="0.3">
      <c r="A472" s="216"/>
      <c r="B472" s="205"/>
      <c r="C472" s="205"/>
      <c r="D472" s="205"/>
      <c r="E472" s="205"/>
      <c r="F472" s="201"/>
      <c r="H472" s="46"/>
      <c r="I472" s="236"/>
      <c r="J472" s="236"/>
      <c r="K472" s="193"/>
      <c r="L472" s="236"/>
      <c r="M472" s="193"/>
    </row>
    <row r="473" spans="1:13" x14ac:dyDescent="0.3">
      <c r="A473" s="216"/>
      <c r="B473" s="205"/>
      <c r="C473" s="205"/>
      <c r="D473" s="205"/>
      <c r="E473" s="205"/>
      <c r="F473" s="201"/>
      <c r="H473" s="46"/>
      <c r="I473" s="236"/>
      <c r="J473" s="236"/>
      <c r="K473" s="193"/>
      <c r="L473" s="236"/>
      <c r="M473" s="193"/>
    </row>
    <row r="474" spans="1:13" x14ac:dyDescent="0.3">
      <c r="A474" s="216"/>
      <c r="B474" s="205"/>
      <c r="C474" s="205"/>
      <c r="D474" s="205"/>
      <c r="E474" s="205"/>
      <c r="F474" s="201"/>
      <c r="H474" s="46"/>
      <c r="I474" s="236"/>
      <c r="J474" s="236"/>
      <c r="K474" s="193"/>
      <c r="L474" s="236"/>
      <c r="M474" s="193"/>
    </row>
    <row r="475" spans="1:13" x14ac:dyDescent="0.3">
      <c r="A475" s="216"/>
      <c r="B475" s="205"/>
      <c r="C475" s="205"/>
      <c r="D475" s="205"/>
      <c r="E475" s="205"/>
      <c r="F475" s="201"/>
      <c r="H475" s="46"/>
      <c r="I475" s="236"/>
      <c r="J475" s="236"/>
      <c r="K475" s="193"/>
      <c r="L475" s="236"/>
      <c r="M475" s="193"/>
    </row>
    <row r="476" spans="1:13" x14ac:dyDescent="0.3">
      <c r="A476" s="216"/>
      <c r="B476" s="205"/>
      <c r="C476" s="205"/>
      <c r="D476" s="205"/>
      <c r="E476" s="205"/>
      <c r="F476" s="201"/>
      <c r="H476" s="46"/>
      <c r="I476" s="236"/>
      <c r="J476" s="236"/>
      <c r="K476" s="193"/>
      <c r="L476" s="236"/>
      <c r="M476" s="193"/>
    </row>
    <row r="477" spans="1:13" x14ac:dyDescent="0.3">
      <c r="A477" s="216"/>
      <c r="B477" s="205"/>
      <c r="C477" s="205"/>
      <c r="D477" s="205"/>
      <c r="E477" s="205"/>
      <c r="F477" s="201"/>
      <c r="H477" s="46"/>
      <c r="I477" s="236"/>
      <c r="J477" s="236"/>
      <c r="K477" s="193"/>
      <c r="L477" s="236"/>
      <c r="M477" s="193"/>
    </row>
    <row r="478" spans="1:13" x14ac:dyDescent="0.3">
      <c r="A478" s="216"/>
      <c r="B478" s="205"/>
      <c r="C478" s="205"/>
      <c r="D478" s="205"/>
      <c r="E478" s="205"/>
      <c r="F478" s="201"/>
      <c r="H478" s="46"/>
      <c r="I478" s="236"/>
      <c r="J478" s="236"/>
      <c r="K478" s="193"/>
      <c r="L478" s="236"/>
      <c r="M478" s="193"/>
    </row>
    <row r="479" spans="1:13" x14ac:dyDescent="0.3">
      <c r="A479" s="216"/>
      <c r="B479" s="205"/>
      <c r="C479" s="205"/>
      <c r="D479" s="205"/>
      <c r="E479" s="205"/>
      <c r="F479" s="201"/>
      <c r="H479" s="46"/>
      <c r="I479" s="236"/>
      <c r="J479" s="236"/>
      <c r="K479" s="193"/>
      <c r="L479" s="236"/>
      <c r="M479" s="193"/>
    </row>
    <row r="480" spans="1:13" x14ac:dyDescent="0.3">
      <c r="A480" s="216"/>
      <c r="B480" s="205"/>
      <c r="C480" s="205"/>
      <c r="D480" s="205"/>
      <c r="E480" s="205"/>
      <c r="F480" s="201"/>
      <c r="H480" s="46"/>
      <c r="I480" s="236"/>
      <c r="J480" s="236"/>
      <c r="K480" s="193"/>
      <c r="L480" s="236"/>
      <c r="M480" s="193"/>
    </row>
    <row r="481" spans="1:13" x14ac:dyDescent="0.3">
      <c r="A481" s="216"/>
      <c r="B481" s="205"/>
      <c r="C481" s="205"/>
      <c r="D481" s="205"/>
      <c r="E481" s="205"/>
      <c r="F481" s="201"/>
      <c r="H481" s="46"/>
      <c r="I481" s="236"/>
      <c r="J481" s="236"/>
      <c r="K481" s="193"/>
      <c r="L481" s="236"/>
      <c r="M481" s="193"/>
    </row>
    <row r="482" spans="1:13" x14ac:dyDescent="0.3">
      <c r="A482" s="216"/>
      <c r="B482" s="205"/>
      <c r="C482" s="205"/>
      <c r="D482" s="205"/>
      <c r="E482" s="205"/>
      <c r="F482" s="201"/>
      <c r="H482" s="46"/>
      <c r="I482" s="236"/>
      <c r="J482" s="236"/>
      <c r="K482" s="193"/>
      <c r="L482" s="236"/>
      <c r="M482" s="193"/>
    </row>
    <row r="483" spans="1:13" x14ac:dyDescent="0.3">
      <c r="A483" s="216"/>
      <c r="B483" s="205"/>
      <c r="C483" s="205"/>
      <c r="D483" s="205"/>
      <c r="E483" s="205"/>
      <c r="F483" s="201"/>
      <c r="H483" s="46"/>
      <c r="I483" s="236"/>
      <c r="J483" s="236"/>
      <c r="K483" s="193"/>
      <c r="L483" s="236"/>
      <c r="M483" s="193"/>
    </row>
    <row r="484" spans="1:13" x14ac:dyDescent="0.3">
      <c r="A484" s="216"/>
      <c r="B484" s="205"/>
      <c r="C484" s="205"/>
      <c r="D484" s="205"/>
      <c r="E484" s="205"/>
      <c r="F484" s="201"/>
      <c r="H484" s="46"/>
      <c r="I484" s="236"/>
      <c r="J484" s="236"/>
      <c r="K484" s="193"/>
      <c r="L484" s="236"/>
      <c r="M484" s="193"/>
    </row>
    <row r="485" spans="1:13" x14ac:dyDescent="0.3">
      <c r="A485" s="216"/>
      <c r="B485" s="205"/>
      <c r="C485" s="205"/>
      <c r="D485" s="205"/>
      <c r="E485" s="205"/>
      <c r="F485" s="201"/>
      <c r="H485" s="46"/>
      <c r="I485" s="236"/>
      <c r="J485" s="236"/>
      <c r="K485" s="193"/>
      <c r="L485" s="236"/>
      <c r="M485" s="193"/>
    </row>
    <row r="486" spans="1:13" x14ac:dyDescent="0.3">
      <c r="A486" s="216"/>
      <c r="B486" s="205"/>
      <c r="C486" s="205"/>
      <c r="D486" s="205"/>
      <c r="E486" s="205"/>
      <c r="F486" s="201"/>
      <c r="H486" s="46"/>
      <c r="I486" s="236"/>
      <c r="J486" s="236"/>
      <c r="K486" s="193"/>
      <c r="L486" s="236"/>
      <c r="M486" s="193"/>
    </row>
    <row r="487" spans="1:13" x14ac:dyDescent="0.3">
      <c r="A487" s="216"/>
      <c r="B487" s="205"/>
      <c r="C487" s="205"/>
      <c r="D487" s="205"/>
      <c r="E487" s="205"/>
      <c r="F487" s="201"/>
      <c r="H487" s="46"/>
      <c r="I487" s="236"/>
      <c r="J487" s="236"/>
      <c r="K487" s="193"/>
      <c r="L487" s="236"/>
      <c r="M487" s="193"/>
    </row>
    <row r="488" spans="1:13" x14ac:dyDescent="0.3">
      <c r="A488" s="216"/>
      <c r="B488" s="205"/>
      <c r="C488" s="205"/>
      <c r="D488" s="205"/>
      <c r="E488" s="205"/>
      <c r="F488" s="201"/>
      <c r="H488" s="46"/>
      <c r="I488" s="236"/>
      <c r="J488" s="236"/>
      <c r="K488" s="193"/>
      <c r="L488" s="236"/>
      <c r="M488" s="193"/>
    </row>
    <row r="489" spans="1:13" x14ac:dyDescent="0.3">
      <c r="A489" s="216"/>
      <c r="B489" s="205"/>
      <c r="C489" s="205"/>
      <c r="D489" s="205"/>
      <c r="E489" s="205"/>
      <c r="F489" s="201"/>
      <c r="H489" s="46"/>
      <c r="I489" s="236"/>
      <c r="J489" s="236"/>
      <c r="K489" s="193"/>
      <c r="L489" s="236"/>
      <c r="M489" s="193"/>
    </row>
    <row r="490" spans="1:13" x14ac:dyDescent="0.3">
      <c r="A490" s="216"/>
      <c r="B490" s="205"/>
      <c r="C490" s="205"/>
      <c r="D490" s="205"/>
      <c r="E490" s="205"/>
      <c r="F490" s="201"/>
      <c r="H490" s="46"/>
      <c r="I490" s="236"/>
      <c r="J490" s="236"/>
      <c r="K490" s="193"/>
      <c r="L490" s="236"/>
      <c r="M490" s="193"/>
    </row>
    <row r="491" spans="1:13" x14ac:dyDescent="0.3">
      <c r="A491" s="216"/>
      <c r="B491" s="205"/>
      <c r="C491" s="205"/>
      <c r="D491" s="205"/>
      <c r="E491" s="205"/>
      <c r="F491" s="201"/>
      <c r="H491" s="46"/>
      <c r="I491" s="236"/>
      <c r="J491" s="236"/>
      <c r="K491" s="193"/>
      <c r="L491" s="236"/>
      <c r="M491" s="193"/>
    </row>
    <row r="492" spans="1:13" x14ac:dyDescent="0.3">
      <c r="A492" s="216"/>
      <c r="B492" s="205"/>
      <c r="C492" s="205"/>
      <c r="D492" s="205"/>
      <c r="E492" s="205"/>
      <c r="F492" s="201"/>
      <c r="H492" s="46"/>
      <c r="I492" s="236"/>
      <c r="J492" s="236"/>
      <c r="K492" s="193"/>
      <c r="L492" s="236"/>
      <c r="M492" s="193"/>
    </row>
    <row r="493" spans="1:13" x14ac:dyDescent="0.3">
      <c r="A493" s="216"/>
      <c r="B493" s="205"/>
      <c r="C493" s="205"/>
      <c r="D493" s="205"/>
      <c r="E493" s="205"/>
      <c r="F493" s="201"/>
      <c r="H493" s="46"/>
      <c r="I493" s="236"/>
      <c r="J493" s="236"/>
      <c r="K493" s="193"/>
      <c r="L493" s="236"/>
      <c r="M493" s="193"/>
    </row>
    <row r="494" spans="1:13" x14ac:dyDescent="0.3">
      <c r="A494" s="216"/>
      <c r="B494" s="205"/>
      <c r="C494" s="205"/>
      <c r="D494" s="205"/>
      <c r="E494" s="205"/>
      <c r="F494" s="201"/>
      <c r="H494" s="46"/>
      <c r="I494" s="236"/>
      <c r="J494" s="236"/>
      <c r="K494" s="193"/>
      <c r="L494" s="236"/>
      <c r="M494" s="193"/>
    </row>
    <row r="495" spans="1:13" x14ac:dyDescent="0.3">
      <c r="A495" s="216"/>
      <c r="B495" s="205"/>
      <c r="C495" s="205"/>
      <c r="D495" s="205"/>
      <c r="E495" s="205"/>
      <c r="F495" s="201"/>
      <c r="H495" s="46"/>
      <c r="I495" s="236"/>
      <c r="J495" s="236"/>
      <c r="K495" s="193"/>
      <c r="L495" s="236"/>
      <c r="M495" s="193"/>
    </row>
    <row r="496" spans="1:13" x14ac:dyDescent="0.3">
      <c r="A496" s="216"/>
      <c r="B496" s="205"/>
      <c r="C496" s="205"/>
      <c r="D496" s="205"/>
      <c r="E496" s="205"/>
      <c r="F496" s="201"/>
      <c r="H496" s="46"/>
      <c r="I496" s="236"/>
      <c r="J496" s="236"/>
      <c r="K496" s="193"/>
      <c r="L496" s="236"/>
      <c r="M496" s="193"/>
    </row>
    <row r="497" spans="1:13" x14ac:dyDescent="0.3">
      <c r="A497" s="216"/>
      <c r="B497" s="205"/>
      <c r="C497" s="205"/>
      <c r="D497" s="205"/>
      <c r="E497" s="205"/>
      <c r="F497" s="201"/>
      <c r="H497" s="46"/>
      <c r="I497" s="236"/>
      <c r="J497" s="236"/>
      <c r="K497" s="193"/>
      <c r="L497" s="236"/>
      <c r="M497" s="193"/>
    </row>
    <row r="498" spans="1:13" x14ac:dyDescent="0.3">
      <c r="A498" s="216"/>
      <c r="B498" s="205"/>
      <c r="C498" s="205"/>
      <c r="D498" s="205"/>
      <c r="E498" s="205"/>
      <c r="F498" s="201"/>
      <c r="H498" s="46"/>
      <c r="I498" s="236"/>
      <c r="J498" s="236"/>
      <c r="K498" s="193"/>
      <c r="L498" s="236"/>
      <c r="M498" s="193"/>
    </row>
    <row r="499" spans="1:13" x14ac:dyDescent="0.3">
      <c r="A499" s="216"/>
      <c r="B499" s="205"/>
      <c r="C499" s="205"/>
      <c r="D499" s="205"/>
      <c r="E499" s="205"/>
      <c r="F499" s="201"/>
      <c r="H499" s="46"/>
      <c r="I499" s="236"/>
      <c r="J499" s="236"/>
      <c r="K499" s="193"/>
      <c r="L499" s="236"/>
      <c r="M499" s="193"/>
    </row>
    <row r="500" spans="1:13" x14ac:dyDescent="0.3">
      <c r="A500" s="216"/>
      <c r="B500" s="205"/>
      <c r="C500" s="205"/>
      <c r="D500" s="205"/>
      <c r="E500" s="205"/>
      <c r="F500" s="201"/>
      <c r="H500" s="46"/>
      <c r="I500" s="236"/>
      <c r="J500" s="236"/>
      <c r="K500" s="193"/>
      <c r="L500" s="236"/>
      <c r="M500" s="193"/>
    </row>
    <row r="501" spans="1:13" x14ac:dyDescent="0.3">
      <c r="A501" s="216"/>
      <c r="B501" s="205"/>
      <c r="C501" s="205"/>
      <c r="D501" s="205"/>
      <c r="E501" s="205"/>
      <c r="F501" s="201"/>
      <c r="H501" s="46"/>
      <c r="I501" s="236"/>
      <c r="J501" s="236"/>
      <c r="K501" s="193"/>
      <c r="L501" s="236"/>
      <c r="M501" s="193"/>
    </row>
    <row r="502" spans="1:13" x14ac:dyDescent="0.3">
      <c r="A502" s="216"/>
      <c r="B502" s="205"/>
      <c r="C502" s="205"/>
      <c r="D502" s="205"/>
      <c r="E502" s="205"/>
      <c r="F502" s="201"/>
      <c r="H502" s="46"/>
      <c r="I502" s="236"/>
      <c r="J502" s="236"/>
      <c r="K502" s="193"/>
      <c r="L502" s="236"/>
      <c r="M502" s="193"/>
    </row>
    <row r="503" spans="1:13" x14ac:dyDescent="0.3">
      <c r="A503" s="216"/>
      <c r="B503" s="205"/>
      <c r="C503" s="205"/>
      <c r="D503" s="205"/>
      <c r="E503" s="205"/>
      <c r="F503" s="201"/>
      <c r="H503" s="46"/>
      <c r="I503" s="236"/>
      <c r="J503" s="236"/>
      <c r="K503" s="193"/>
      <c r="L503" s="236"/>
      <c r="M503" s="193"/>
    </row>
    <row r="504" spans="1:13" x14ac:dyDescent="0.3">
      <c r="A504" s="216"/>
      <c r="B504" s="205"/>
      <c r="C504" s="205"/>
      <c r="D504" s="205"/>
      <c r="E504" s="205"/>
      <c r="F504" s="201"/>
      <c r="H504" s="46"/>
      <c r="I504" s="236"/>
      <c r="J504" s="236"/>
      <c r="K504" s="193"/>
      <c r="L504" s="236"/>
      <c r="M504" s="193"/>
    </row>
    <row r="505" spans="1:13" x14ac:dyDescent="0.3">
      <c r="A505" s="216"/>
      <c r="B505" s="205"/>
      <c r="C505" s="205"/>
      <c r="D505" s="205"/>
      <c r="E505" s="205"/>
      <c r="F505" s="201"/>
      <c r="H505" s="46"/>
      <c r="I505" s="236"/>
      <c r="J505" s="236"/>
      <c r="K505" s="193"/>
      <c r="L505" s="236"/>
      <c r="M505" s="193"/>
    </row>
    <row r="506" spans="1:13" x14ac:dyDescent="0.3">
      <c r="A506" s="216"/>
      <c r="B506" s="205"/>
      <c r="C506" s="205"/>
      <c r="D506" s="205"/>
      <c r="E506" s="205"/>
      <c r="F506" s="201"/>
      <c r="H506" s="46"/>
      <c r="I506" s="236"/>
      <c r="J506" s="236"/>
      <c r="K506" s="193"/>
      <c r="L506" s="236"/>
      <c r="M506" s="193"/>
    </row>
    <row r="507" spans="1:13" x14ac:dyDescent="0.3">
      <c r="A507" s="216"/>
      <c r="B507" s="205"/>
      <c r="C507" s="205"/>
      <c r="D507" s="205"/>
      <c r="E507" s="205"/>
      <c r="F507" s="201"/>
      <c r="H507" s="46"/>
      <c r="I507" s="236"/>
      <c r="J507" s="236"/>
      <c r="K507" s="193"/>
      <c r="L507" s="236"/>
      <c r="M507" s="193"/>
    </row>
    <row r="508" spans="1:13" x14ac:dyDescent="0.3">
      <c r="A508" s="216"/>
      <c r="B508" s="205"/>
      <c r="C508" s="205"/>
      <c r="D508" s="205"/>
      <c r="E508" s="205"/>
      <c r="F508" s="201"/>
      <c r="H508" s="46"/>
      <c r="I508" s="236"/>
      <c r="J508" s="236"/>
      <c r="K508" s="193"/>
      <c r="L508" s="236"/>
      <c r="M508" s="193"/>
    </row>
    <row r="509" spans="1:13" x14ac:dyDescent="0.3">
      <c r="A509" s="216"/>
      <c r="B509" s="205"/>
      <c r="C509" s="205"/>
      <c r="D509" s="205"/>
      <c r="E509" s="205"/>
      <c r="F509" s="201"/>
      <c r="H509" s="46"/>
      <c r="I509" s="236"/>
      <c r="J509" s="236"/>
      <c r="K509" s="193"/>
      <c r="L509" s="236"/>
      <c r="M509" s="193"/>
    </row>
    <row r="510" spans="1:13" x14ac:dyDescent="0.3">
      <c r="A510" s="216"/>
      <c r="B510" s="205"/>
      <c r="C510" s="205"/>
      <c r="D510" s="205"/>
      <c r="E510" s="205"/>
      <c r="F510" s="201"/>
      <c r="H510" s="46"/>
      <c r="I510" s="236"/>
      <c r="J510" s="236"/>
      <c r="K510" s="193"/>
      <c r="L510" s="236"/>
      <c r="M510" s="193"/>
    </row>
    <row r="511" spans="1:13" x14ac:dyDescent="0.3">
      <c r="A511" s="216"/>
      <c r="B511" s="205"/>
      <c r="C511" s="205"/>
      <c r="D511" s="205"/>
      <c r="E511" s="205"/>
      <c r="F511" s="201"/>
      <c r="H511" s="46"/>
      <c r="I511" s="236"/>
      <c r="J511" s="236"/>
      <c r="K511" s="193"/>
      <c r="L511" s="236"/>
      <c r="M511" s="193"/>
    </row>
    <row r="512" spans="1:13" x14ac:dyDescent="0.3">
      <c r="A512" s="216"/>
      <c r="B512" s="205"/>
      <c r="C512" s="205"/>
      <c r="D512" s="205"/>
      <c r="E512" s="205"/>
      <c r="F512" s="201"/>
      <c r="H512" s="46"/>
      <c r="I512" s="236"/>
      <c r="J512" s="236"/>
      <c r="K512" s="193"/>
      <c r="L512" s="236"/>
      <c r="M512" s="193"/>
    </row>
    <row r="513" spans="1:13" x14ac:dyDescent="0.3">
      <c r="A513" s="216"/>
      <c r="B513" s="205"/>
      <c r="C513" s="205"/>
      <c r="D513" s="205"/>
      <c r="E513" s="205"/>
      <c r="F513" s="201"/>
      <c r="H513" s="46"/>
      <c r="I513" s="236"/>
      <c r="J513" s="236"/>
      <c r="K513" s="193"/>
      <c r="L513" s="236"/>
      <c r="M513" s="193"/>
    </row>
    <row r="514" spans="1:13" x14ac:dyDescent="0.3">
      <c r="A514" s="216"/>
      <c r="B514" s="205"/>
      <c r="C514" s="205"/>
      <c r="D514" s="205"/>
      <c r="E514" s="205"/>
      <c r="F514" s="201"/>
      <c r="H514" s="46"/>
      <c r="I514" s="236"/>
      <c r="J514" s="236"/>
      <c r="K514" s="193"/>
      <c r="L514" s="236"/>
      <c r="M514" s="193"/>
    </row>
    <row r="515" spans="1:13" x14ac:dyDescent="0.3">
      <c r="A515" s="216"/>
      <c r="B515" s="205"/>
      <c r="C515" s="205"/>
      <c r="D515" s="205"/>
      <c r="E515" s="205"/>
      <c r="F515" s="201"/>
      <c r="H515" s="46"/>
      <c r="I515" s="236"/>
      <c r="J515" s="236"/>
      <c r="K515" s="193"/>
      <c r="L515" s="236"/>
      <c r="M515" s="193"/>
    </row>
    <row r="516" spans="1:13" x14ac:dyDescent="0.3">
      <c r="A516" s="216"/>
      <c r="B516" s="205"/>
      <c r="C516" s="205"/>
      <c r="D516" s="205"/>
      <c r="E516" s="205"/>
      <c r="F516" s="201"/>
      <c r="H516" s="46"/>
      <c r="I516" s="236"/>
      <c r="J516" s="236"/>
      <c r="K516" s="193"/>
      <c r="L516" s="236"/>
      <c r="M516" s="193"/>
    </row>
    <row r="517" spans="1:13" x14ac:dyDescent="0.3">
      <c r="A517" s="216"/>
      <c r="B517" s="205"/>
      <c r="C517" s="205"/>
      <c r="D517" s="205"/>
      <c r="E517" s="205"/>
      <c r="F517" s="201"/>
      <c r="H517" s="46"/>
      <c r="I517" s="236"/>
      <c r="J517" s="236"/>
      <c r="K517" s="193"/>
      <c r="L517" s="236"/>
      <c r="M517" s="193"/>
    </row>
    <row r="518" spans="1:13" x14ac:dyDescent="0.3">
      <c r="A518" s="216"/>
      <c r="B518" s="205"/>
      <c r="C518" s="205"/>
      <c r="D518" s="205"/>
      <c r="E518" s="205"/>
      <c r="F518" s="201"/>
      <c r="H518" s="46"/>
      <c r="I518" s="236"/>
      <c r="J518" s="236"/>
      <c r="K518" s="193"/>
      <c r="L518" s="236"/>
      <c r="M518" s="193"/>
    </row>
    <row r="519" spans="1:13" x14ac:dyDescent="0.3">
      <c r="A519" s="216"/>
      <c r="B519" s="205"/>
      <c r="C519" s="205"/>
      <c r="D519" s="205"/>
      <c r="E519" s="205"/>
      <c r="F519" s="201"/>
      <c r="H519" s="46"/>
      <c r="I519" s="236"/>
      <c r="J519" s="236"/>
      <c r="K519" s="193"/>
      <c r="L519" s="236"/>
      <c r="M519" s="193"/>
    </row>
    <row r="520" spans="1:13" x14ac:dyDescent="0.3">
      <c r="A520" s="216"/>
      <c r="B520" s="205"/>
      <c r="C520" s="205"/>
      <c r="D520" s="205"/>
      <c r="E520" s="205"/>
      <c r="F520" s="201"/>
      <c r="H520" s="46"/>
      <c r="I520" s="236"/>
      <c r="J520" s="236"/>
      <c r="K520" s="193"/>
      <c r="L520" s="236"/>
      <c r="M520" s="193"/>
    </row>
    <row r="521" spans="1:13" x14ac:dyDescent="0.3">
      <c r="A521" s="216"/>
      <c r="B521" s="205"/>
      <c r="C521" s="205"/>
      <c r="D521" s="205"/>
      <c r="E521" s="205"/>
      <c r="F521" s="201"/>
      <c r="H521" s="46"/>
      <c r="I521" s="236"/>
      <c r="J521" s="236"/>
      <c r="K521" s="193"/>
      <c r="L521" s="236"/>
      <c r="M521" s="193"/>
    </row>
    <row r="522" spans="1:13" x14ac:dyDescent="0.3">
      <c r="A522" s="216"/>
      <c r="B522" s="205"/>
      <c r="C522" s="205"/>
      <c r="D522" s="205"/>
      <c r="E522" s="205"/>
      <c r="F522" s="201"/>
      <c r="H522" s="46"/>
      <c r="I522" s="236"/>
      <c r="J522" s="236"/>
      <c r="K522" s="193"/>
      <c r="L522" s="236"/>
      <c r="M522" s="193"/>
    </row>
    <row r="523" spans="1:13" x14ac:dyDescent="0.3">
      <c r="A523" s="216"/>
      <c r="B523" s="205"/>
      <c r="C523" s="205"/>
      <c r="D523" s="205"/>
      <c r="E523" s="205"/>
      <c r="F523" s="201"/>
      <c r="H523" s="46"/>
      <c r="I523" s="236"/>
      <c r="J523" s="236"/>
      <c r="K523" s="193"/>
      <c r="L523" s="236"/>
      <c r="M523" s="193"/>
    </row>
    <row r="524" spans="1:13" x14ac:dyDescent="0.3">
      <c r="A524" s="216"/>
      <c r="B524" s="205"/>
      <c r="C524" s="205"/>
      <c r="D524" s="205"/>
      <c r="E524" s="205"/>
      <c r="F524" s="201"/>
      <c r="H524" s="46"/>
      <c r="I524" s="236"/>
      <c r="J524" s="236"/>
      <c r="K524" s="193"/>
      <c r="L524" s="236"/>
      <c r="M524" s="193"/>
    </row>
    <row r="525" spans="1:13" x14ac:dyDescent="0.3">
      <c r="A525" s="216"/>
      <c r="B525" s="205"/>
      <c r="C525" s="205"/>
      <c r="D525" s="205"/>
      <c r="E525" s="205"/>
      <c r="F525" s="201"/>
      <c r="H525" s="46"/>
      <c r="I525" s="236"/>
      <c r="J525" s="236"/>
      <c r="K525" s="193"/>
      <c r="L525" s="236"/>
      <c r="M525" s="193"/>
    </row>
    <row r="526" spans="1:13" x14ac:dyDescent="0.3">
      <c r="A526" s="216"/>
      <c r="B526" s="205"/>
      <c r="C526" s="205"/>
      <c r="D526" s="205"/>
      <c r="E526" s="205"/>
      <c r="F526" s="201"/>
      <c r="H526" s="46"/>
      <c r="I526" s="236"/>
      <c r="J526" s="236"/>
      <c r="K526" s="193"/>
      <c r="L526" s="236"/>
      <c r="M526" s="193"/>
    </row>
    <row r="527" spans="1:13" x14ac:dyDescent="0.3">
      <c r="A527" s="216"/>
      <c r="B527" s="205"/>
      <c r="C527" s="205"/>
      <c r="D527" s="205"/>
      <c r="E527" s="205"/>
      <c r="F527" s="201"/>
      <c r="H527" s="46"/>
      <c r="I527" s="236"/>
      <c r="J527" s="236"/>
      <c r="K527" s="193"/>
      <c r="L527" s="236"/>
      <c r="M527" s="193"/>
    </row>
    <row r="528" spans="1:13" x14ac:dyDescent="0.3">
      <c r="A528" s="216"/>
      <c r="B528" s="205"/>
      <c r="C528" s="205"/>
      <c r="D528" s="205"/>
      <c r="E528" s="205"/>
      <c r="F528" s="201"/>
      <c r="H528" s="46"/>
      <c r="I528" s="236"/>
      <c r="J528" s="236"/>
      <c r="K528" s="193"/>
      <c r="L528" s="236"/>
      <c r="M528" s="193"/>
    </row>
    <row r="529" spans="1:13" x14ac:dyDescent="0.3">
      <c r="A529" s="216"/>
      <c r="B529" s="205"/>
      <c r="C529" s="205"/>
      <c r="D529" s="205"/>
      <c r="E529" s="205"/>
      <c r="F529" s="201"/>
      <c r="H529" s="46"/>
      <c r="I529" s="236"/>
      <c r="J529" s="236"/>
      <c r="K529" s="193"/>
      <c r="L529" s="236"/>
      <c r="M529" s="193"/>
    </row>
    <row r="530" spans="1:13" x14ac:dyDescent="0.3">
      <c r="A530" s="216"/>
      <c r="B530" s="205"/>
      <c r="C530" s="205"/>
      <c r="D530" s="205"/>
      <c r="E530" s="205"/>
      <c r="F530" s="201"/>
      <c r="H530" s="46"/>
      <c r="I530" s="236"/>
      <c r="J530" s="236"/>
      <c r="K530" s="193"/>
      <c r="L530" s="236"/>
      <c r="M530" s="193"/>
    </row>
    <row r="531" spans="1:13" x14ac:dyDescent="0.3">
      <c r="A531" s="216"/>
      <c r="B531" s="205"/>
      <c r="C531" s="205"/>
      <c r="D531" s="205"/>
      <c r="E531" s="205"/>
      <c r="F531" s="201"/>
      <c r="H531" s="46"/>
      <c r="I531" s="236"/>
      <c r="J531" s="236"/>
      <c r="K531" s="193"/>
      <c r="L531" s="236"/>
      <c r="M531" s="193"/>
    </row>
    <row r="532" spans="1:13" x14ac:dyDescent="0.3">
      <c r="A532" s="216"/>
      <c r="B532" s="205"/>
      <c r="C532" s="205"/>
      <c r="D532" s="205"/>
      <c r="E532" s="205"/>
      <c r="F532" s="201"/>
      <c r="H532" s="46"/>
      <c r="I532" s="236"/>
      <c r="J532" s="236"/>
      <c r="K532" s="193"/>
      <c r="L532" s="236"/>
      <c r="M532" s="193"/>
    </row>
    <row r="533" spans="1:13" x14ac:dyDescent="0.3">
      <c r="A533" s="216"/>
      <c r="B533" s="205"/>
      <c r="C533" s="205"/>
      <c r="D533" s="205"/>
      <c r="E533" s="205"/>
      <c r="F533" s="201"/>
      <c r="H533" s="46"/>
      <c r="I533" s="236"/>
      <c r="J533" s="236"/>
      <c r="K533" s="193"/>
      <c r="L533" s="236"/>
      <c r="M533" s="193"/>
    </row>
    <row r="534" spans="1:13" x14ac:dyDescent="0.3">
      <c r="A534" s="216"/>
      <c r="B534" s="205"/>
      <c r="C534" s="205"/>
      <c r="D534" s="205"/>
      <c r="E534" s="205"/>
      <c r="F534" s="201"/>
      <c r="H534" s="46"/>
      <c r="I534" s="236"/>
      <c r="J534" s="236"/>
      <c r="K534" s="193"/>
      <c r="L534" s="236"/>
      <c r="M534" s="193"/>
    </row>
    <row r="535" spans="1:13" x14ac:dyDescent="0.3">
      <c r="A535" s="216"/>
      <c r="B535" s="205"/>
      <c r="C535" s="205"/>
      <c r="D535" s="205"/>
      <c r="E535" s="205"/>
      <c r="F535" s="201"/>
      <c r="H535" s="46"/>
      <c r="I535" s="236"/>
      <c r="J535" s="236"/>
      <c r="K535" s="193"/>
      <c r="L535" s="236"/>
      <c r="M535" s="193"/>
    </row>
    <row r="536" spans="1:13" x14ac:dyDescent="0.3">
      <c r="A536" s="216"/>
      <c r="B536" s="205"/>
      <c r="C536" s="205"/>
      <c r="D536" s="205"/>
      <c r="E536" s="205"/>
      <c r="F536" s="201"/>
      <c r="H536" s="46"/>
      <c r="I536" s="236"/>
      <c r="J536" s="236"/>
      <c r="K536" s="193"/>
      <c r="L536" s="236"/>
      <c r="M536" s="193"/>
    </row>
    <row r="537" spans="1:13" x14ac:dyDescent="0.3">
      <c r="A537" s="216"/>
      <c r="B537" s="205"/>
      <c r="C537" s="205"/>
      <c r="D537" s="205"/>
      <c r="E537" s="205"/>
      <c r="F537" s="201"/>
      <c r="H537" s="46"/>
      <c r="I537" s="236"/>
      <c r="J537" s="236"/>
      <c r="K537" s="193"/>
      <c r="L537" s="236"/>
      <c r="M537" s="193"/>
    </row>
    <row r="538" spans="1:13" x14ac:dyDescent="0.3">
      <c r="A538" s="216"/>
      <c r="B538" s="205"/>
      <c r="C538" s="205"/>
      <c r="D538" s="205"/>
      <c r="E538" s="205"/>
      <c r="F538" s="201"/>
      <c r="H538" s="46"/>
      <c r="I538" s="236"/>
      <c r="J538" s="236"/>
      <c r="K538" s="193"/>
      <c r="L538" s="236"/>
      <c r="M538" s="193"/>
    </row>
    <row r="539" spans="1:13" x14ac:dyDescent="0.3">
      <c r="A539" s="216"/>
      <c r="B539" s="205"/>
      <c r="C539" s="205"/>
      <c r="D539" s="205"/>
      <c r="E539" s="205"/>
      <c r="F539" s="201"/>
      <c r="H539" s="46"/>
      <c r="I539" s="236"/>
      <c r="J539" s="236"/>
      <c r="K539" s="193"/>
      <c r="L539" s="236"/>
      <c r="M539" s="193"/>
    </row>
    <row r="540" spans="1:13" x14ac:dyDescent="0.3">
      <c r="A540" s="216"/>
      <c r="B540" s="205"/>
      <c r="C540" s="205"/>
      <c r="D540" s="205"/>
      <c r="E540" s="205"/>
      <c r="F540" s="201"/>
      <c r="H540" s="46"/>
      <c r="I540" s="236"/>
      <c r="J540" s="236"/>
      <c r="K540" s="193"/>
      <c r="L540" s="236"/>
      <c r="M540" s="193"/>
    </row>
    <row r="541" spans="1:13" x14ac:dyDescent="0.3">
      <c r="A541" s="216"/>
      <c r="B541" s="205"/>
      <c r="C541" s="205"/>
      <c r="D541" s="205"/>
      <c r="E541" s="205"/>
      <c r="F541" s="201"/>
      <c r="H541" s="46"/>
      <c r="I541" s="236"/>
      <c r="J541" s="236"/>
      <c r="K541" s="193"/>
      <c r="L541" s="236"/>
      <c r="M541" s="193"/>
    </row>
    <row r="542" spans="1:13" x14ac:dyDescent="0.3">
      <c r="A542" s="216"/>
      <c r="B542" s="205"/>
      <c r="C542" s="205"/>
      <c r="D542" s="205"/>
      <c r="E542" s="205"/>
      <c r="F542" s="201"/>
      <c r="H542" s="46"/>
      <c r="I542" s="236"/>
      <c r="J542" s="236"/>
      <c r="K542" s="193"/>
      <c r="L542" s="236"/>
      <c r="M542" s="193"/>
    </row>
    <row r="543" spans="1:13" x14ac:dyDescent="0.3">
      <c r="A543" s="216"/>
      <c r="B543" s="205"/>
      <c r="C543" s="205"/>
      <c r="D543" s="205"/>
      <c r="E543" s="205"/>
      <c r="F543" s="201"/>
      <c r="H543" s="46"/>
      <c r="I543" s="236"/>
      <c r="J543" s="236"/>
      <c r="K543" s="193"/>
      <c r="L543" s="236"/>
      <c r="M543" s="193"/>
    </row>
    <row r="544" spans="1:13" x14ac:dyDescent="0.3">
      <c r="A544" s="216"/>
      <c r="B544" s="205"/>
      <c r="C544" s="205"/>
      <c r="D544" s="205"/>
      <c r="E544" s="205"/>
      <c r="F544" s="201"/>
      <c r="H544" s="46"/>
      <c r="I544" s="236"/>
      <c r="J544" s="236"/>
      <c r="K544" s="193"/>
      <c r="L544" s="236"/>
      <c r="M544" s="193"/>
    </row>
    <row r="545" spans="1:13" x14ac:dyDescent="0.3">
      <c r="A545" s="216"/>
      <c r="B545" s="205"/>
      <c r="C545" s="205"/>
      <c r="D545" s="205"/>
      <c r="E545" s="205"/>
      <c r="F545" s="201"/>
      <c r="H545" s="46"/>
      <c r="I545" s="236"/>
      <c r="J545" s="236"/>
      <c r="K545" s="193"/>
      <c r="L545" s="236"/>
      <c r="M545" s="193"/>
    </row>
    <row r="546" spans="1:13" x14ac:dyDescent="0.3">
      <c r="A546" s="216"/>
      <c r="B546" s="205"/>
      <c r="C546" s="205"/>
      <c r="D546" s="205"/>
      <c r="E546" s="205"/>
      <c r="F546" s="201"/>
      <c r="H546" s="46"/>
      <c r="I546" s="236"/>
      <c r="J546" s="236"/>
      <c r="K546" s="193"/>
      <c r="L546" s="236"/>
      <c r="M546" s="193"/>
    </row>
    <row r="547" spans="1:13" x14ac:dyDescent="0.3">
      <c r="A547" s="216"/>
      <c r="B547" s="205"/>
      <c r="C547" s="205"/>
      <c r="D547" s="205"/>
      <c r="E547" s="205"/>
      <c r="F547" s="201"/>
      <c r="H547" s="46"/>
      <c r="I547" s="236"/>
      <c r="J547" s="236"/>
      <c r="K547" s="193"/>
      <c r="L547" s="236"/>
      <c r="M547" s="193"/>
    </row>
    <row r="548" spans="1:13" x14ac:dyDescent="0.3">
      <c r="A548" s="216"/>
      <c r="B548" s="205"/>
      <c r="C548" s="205"/>
      <c r="D548" s="205"/>
      <c r="E548" s="205"/>
      <c r="F548" s="201"/>
      <c r="H548" s="46"/>
      <c r="I548" s="236"/>
      <c r="J548" s="236"/>
      <c r="K548" s="193"/>
      <c r="L548" s="236"/>
      <c r="M548" s="193"/>
    </row>
    <row r="549" spans="1:13" x14ac:dyDescent="0.3">
      <c r="A549" s="216"/>
      <c r="B549" s="205"/>
      <c r="C549" s="205"/>
      <c r="D549" s="205"/>
      <c r="E549" s="205"/>
      <c r="F549" s="201"/>
      <c r="H549" s="46"/>
      <c r="I549" s="236"/>
      <c r="J549" s="236"/>
      <c r="K549" s="193"/>
      <c r="L549" s="236"/>
      <c r="M549" s="193"/>
    </row>
    <row r="550" spans="1:13" x14ac:dyDescent="0.3">
      <c r="A550" s="216"/>
      <c r="B550" s="205"/>
      <c r="C550" s="205"/>
      <c r="D550" s="205"/>
      <c r="E550" s="205"/>
      <c r="F550" s="201"/>
      <c r="H550" s="46"/>
      <c r="I550" s="236"/>
      <c r="J550" s="236"/>
      <c r="K550" s="193"/>
      <c r="L550" s="236"/>
      <c r="M550" s="193"/>
    </row>
    <row r="551" spans="1:13" x14ac:dyDescent="0.3">
      <c r="A551" s="216"/>
      <c r="B551" s="205"/>
      <c r="C551" s="205"/>
      <c r="D551" s="205"/>
      <c r="E551" s="205"/>
      <c r="F551" s="201"/>
      <c r="H551" s="46"/>
      <c r="I551" s="236"/>
      <c r="J551" s="236"/>
      <c r="K551" s="193"/>
      <c r="L551" s="236"/>
      <c r="M551" s="193"/>
    </row>
    <row r="552" spans="1:13" x14ac:dyDescent="0.3">
      <c r="A552" s="216"/>
      <c r="B552" s="205"/>
      <c r="C552" s="205"/>
      <c r="D552" s="205"/>
      <c r="E552" s="205"/>
      <c r="F552" s="201"/>
      <c r="H552" s="46"/>
      <c r="I552" s="236"/>
      <c r="J552" s="236"/>
      <c r="K552" s="193"/>
      <c r="L552" s="236"/>
      <c r="M552" s="193"/>
    </row>
    <row r="553" spans="1:13" x14ac:dyDescent="0.3">
      <c r="A553" s="216"/>
      <c r="B553" s="205"/>
      <c r="C553" s="205"/>
      <c r="D553" s="205"/>
      <c r="E553" s="205"/>
      <c r="F553" s="201"/>
      <c r="H553" s="46"/>
      <c r="I553" s="236"/>
      <c r="J553" s="236"/>
      <c r="K553" s="193"/>
      <c r="L553" s="236"/>
      <c r="M553" s="193"/>
    </row>
    <row r="554" spans="1:13" x14ac:dyDescent="0.3">
      <c r="A554" s="216"/>
      <c r="B554" s="205"/>
      <c r="C554" s="205"/>
      <c r="D554" s="205"/>
      <c r="E554" s="205"/>
      <c r="F554" s="201"/>
      <c r="H554" s="46"/>
      <c r="I554" s="236"/>
      <c r="J554" s="236"/>
      <c r="K554" s="193"/>
      <c r="L554" s="236"/>
      <c r="M554" s="193"/>
    </row>
    <row r="555" spans="1:13" x14ac:dyDescent="0.3">
      <c r="A555" s="216"/>
      <c r="B555" s="205"/>
      <c r="C555" s="205"/>
      <c r="D555" s="205"/>
      <c r="E555" s="205"/>
      <c r="F555" s="201"/>
      <c r="H555" s="46"/>
      <c r="I555" s="236"/>
      <c r="J555" s="236"/>
      <c r="K555" s="193"/>
      <c r="L555" s="236"/>
      <c r="M555" s="193"/>
    </row>
    <row r="556" spans="1:13" x14ac:dyDescent="0.3">
      <c r="A556" s="216"/>
      <c r="B556" s="205"/>
      <c r="C556" s="205"/>
      <c r="D556" s="205"/>
      <c r="E556" s="205"/>
      <c r="F556" s="201"/>
      <c r="H556" s="46"/>
      <c r="I556" s="236"/>
      <c r="J556" s="236"/>
      <c r="K556" s="193"/>
      <c r="L556" s="236"/>
      <c r="M556" s="193"/>
    </row>
    <row r="557" spans="1:13" x14ac:dyDescent="0.3">
      <c r="A557" s="216"/>
      <c r="B557" s="205"/>
      <c r="C557" s="205"/>
      <c r="D557" s="205"/>
      <c r="E557" s="205"/>
      <c r="F557" s="201"/>
      <c r="H557" s="46"/>
      <c r="I557" s="236"/>
      <c r="J557" s="236"/>
      <c r="K557" s="193"/>
      <c r="L557" s="236"/>
      <c r="M557" s="193"/>
    </row>
    <row r="558" spans="1:13" x14ac:dyDescent="0.3">
      <c r="A558" s="216"/>
      <c r="B558" s="205"/>
      <c r="C558" s="205"/>
      <c r="D558" s="205"/>
      <c r="E558" s="205"/>
      <c r="F558" s="201"/>
      <c r="H558" s="46"/>
      <c r="I558" s="236"/>
      <c r="J558" s="236"/>
      <c r="K558" s="193"/>
      <c r="L558" s="236"/>
      <c r="M558" s="193"/>
    </row>
    <row r="559" spans="1:13" x14ac:dyDescent="0.3">
      <c r="A559" s="216"/>
      <c r="B559" s="205"/>
      <c r="C559" s="205"/>
      <c r="D559" s="205"/>
      <c r="E559" s="205"/>
      <c r="F559" s="201"/>
      <c r="H559" s="46"/>
      <c r="I559" s="236"/>
      <c r="J559" s="236"/>
      <c r="K559" s="193"/>
      <c r="L559" s="236"/>
      <c r="M559" s="193"/>
    </row>
    <row r="560" spans="1:13" x14ac:dyDescent="0.3">
      <c r="A560" s="216"/>
      <c r="B560" s="205"/>
      <c r="C560" s="205"/>
      <c r="D560" s="205"/>
      <c r="E560" s="205"/>
      <c r="F560" s="201"/>
      <c r="H560" s="46"/>
      <c r="I560" s="236"/>
      <c r="J560" s="236"/>
      <c r="K560" s="193"/>
      <c r="L560" s="236"/>
      <c r="M560" s="193"/>
    </row>
    <row r="561" spans="1:13" x14ac:dyDescent="0.3">
      <c r="A561" s="216"/>
      <c r="B561" s="205"/>
      <c r="C561" s="205"/>
      <c r="D561" s="205"/>
      <c r="E561" s="205"/>
      <c r="F561" s="201"/>
      <c r="H561" s="46"/>
      <c r="I561" s="236"/>
      <c r="J561" s="236"/>
      <c r="K561" s="193"/>
      <c r="L561" s="236"/>
      <c r="M561" s="193"/>
    </row>
    <row r="562" spans="1:13" x14ac:dyDescent="0.3">
      <c r="A562" s="216"/>
      <c r="B562" s="205"/>
      <c r="C562" s="205"/>
      <c r="D562" s="205"/>
      <c r="E562" s="205"/>
      <c r="F562" s="201"/>
      <c r="H562" s="46"/>
      <c r="I562" s="236"/>
      <c r="J562" s="236"/>
      <c r="K562" s="193"/>
      <c r="L562" s="236"/>
      <c r="M562" s="193"/>
    </row>
    <row r="563" spans="1:13" x14ac:dyDescent="0.3">
      <c r="A563" s="216"/>
      <c r="B563" s="205"/>
      <c r="C563" s="205"/>
      <c r="D563" s="205"/>
      <c r="E563" s="205"/>
      <c r="F563" s="201"/>
      <c r="H563" s="46"/>
      <c r="I563" s="236"/>
      <c r="J563" s="236"/>
      <c r="K563" s="193"/>
      <c r="L563" s="236"/>
      <c r="M563" s="193"/>
    </row>
    <row r="564" spans="1:13" x14ac:dyDescent="0.3">
      <c r="A564" s="216"/>
      <c r="B564" s="205"/>
      <c r="C564" s="205"/>
      <c r="D564" s="205"/>
      <c r="E564" s="205"/>
      <c r="F564" s="201"/>
      <c r="H564" s="46"/>
      <c r="I564" s="236"/>
      <c r="J564" s="236"/>
      <c r="K564" s="193"/>
      <c r="L564" s="236"/>
      <c r="M564" s="193"/>
    </row>
    <row r="565" spans="1:13" x14ac:dyDescent="0.3">
      <c r="A565" s="216"/>
      <c r="B565" s="205"/>
      <c r="C565" s="205"/>
      <c r="D565" s="205"/>
      <c r="E565" s="205"/>
      <c r="F565" s="201"/>
      <c r="H565" s="46"/>
      <c r="I565" s="236"/>
      <c r="J565" s="236"/>
      <c r="K565" s="193"/>
      <c r="L565" s="236"/>
      <c r="M565" s="193"/>
    </row>
    <row r="566" spans="1:13" x14ac:dyDescent="0.3">
      <c r="A566" s="216"/>
      <c r="B566" s="205"/>
      <c r="C566" s="205"/>
      <c r="D566" s="205"/>
      <c r="E566" s="205"/>
      <c r="F566" s="201"/>
      <c r="H566" s="46"/>
      <c r="I566" s="236"/>
      <c r="J566" s="236"/>
      <c r="K566" s="193"/>
      <c r="L566" s="236"/>
      <c r="M566" s="193"/>
    </row>
    <row r="567" spans="1:13" x14ac:dyDescent="0.3">
      <c r="A567" s="216"/>
      <c r="B567" s="205"/>
      <c r="C567" s="205"/>
      <c r="D567" s="205"/>
      <c r="E567" s="205"/>
      <c r="F567" s="201"/>
      <c r="H567" s="46"/>
      <c r="I567" s="236"/>
      <c r="J567" s="236"/>
      <c r="K567" s="193"/>
      <c r="L567" s="236"/>
      <c r="M567" s="193"/>
    </row>
    <row r="568" spans="1:13" x14ac:dyDescent="0.3">
      <c r="A568" s="216"/>
      <c r="B568" s="205"/>
      <c r="C568" s="205"/>
      <c r="D568" s="205"/>
      <c r="E568" s="205"/>
      <c r="F568" s="201"/>
      <c r="H568" s="46"/>
      <c r="I568" s="236"/>
      <c r="J568" s="236"/>
      <c r="K568" s="193"/>
      <c r="L568" s="236"/>
      <c r="M568" s="193"/>
    </row>
    <row r="569" spans="1:13" x14ac:dyDescent="0.3">
      <c r="A569" s="216"/>
      <c r="B569" s="205"/>
      <c r="C569" s="205"/>
      <c r="D569" s="205"/>
      <c r="E569" s="205"/>
      <c r="F569" s="201"/>
      <c r="H569" s="46"/>
      <c r="I569" s="236"/>
      <c r="J569" s="236"/>
      <c r="K569" s="193"/>
      <c r="L569" s="236"/>
      <c r="M569" s="193"/>
    </row>
    <row r="570" spans="1:13" x14ac:dyDescent="0.3">
      <c r="A570" s="216"/>
      <c r="B570" s="205"/>
      <c r="C570" s="205"/>
      <c r="D570" s="205"/>
      <c r="E570" s="205"/>
      <c r="F570" s="201"/>
      <c r="H570" s="46"/>
      <c r="I570" s="236"/>
      <c r="J570" s="236"/>
      <c r="K570" s="193"/>
      <c r="L570" s="236"/>
      <c r="M570" s="193"/>
    </row>
    <row r="571" spans="1:13" x14ac:dyDescent="0.3">
      <c r="A571" s="216"/>
      <c r="B571" s="205"/>
      <c r="C571" s="205"/>
      <c r="D571" s="205"/>
      <c r="E571" s="205"/>
      <c r="F571" s="201"/>
      <c r="H571" s="46"/>
      <c r="I571" s="236"/>
      <c r="J571" s="236"/>
      <c r="K571" s="193"/>
      <c r="L571" s="236"/>
      <c r="M571" s="193"/>
    </row>
    <row r="572" spans="1:13" x14ac:dyDescent="0.3">
      <c r="A572" s="216"/>
      <c r="B572" s="205"/>
      <c r="C572" s="205"/>
      <c r="D572" s="205"/>
      <c r="E572" s="205"/>
      <c r="F572" s="201"/>
      <c r="H572" s="46"/>
      <c r="I572" s="236"/>
      <c r="J572" s="236"/>
      <c r="K572" s="193"/>
      <c r="L572" s="236"/>
      <c r="M572" s="193"/>
    </row>
    <row r="573" spans="1:13" x14ac:dyDescent="0.3">
      <c r="A573" s="216"/>
      <c r="B573" s="205"/>
      <c r="C573" s="205"/>
      <c r="D573" s="205"/>
      <c r="E573" s="205"/>
      <c r="F573" s="201"/>
      <c r="H573" s="46"/>
      <c r="I573" s="236"/>
      <c r="J573" s="236"/>
      <c r="K573" s="193"/>
      <c r="L573" s="236"/>
      <c r="M573" s="193"/>
    </row>
    <row r="574" spans="1:13" x14ac:dyDescent="0.3">
      <c r="A574" s="216"/>
      <c r="B574" s="205"/>
      <c r="C574" s="205"/>
      <c r="D574" s="205"/>
      <c r="E574" s="205"/>
      <c r="F574" s="201"/>
      <c r="H574" s="46"/>
      <c r="I574" s="236"/>
      <c r="J574" s="236"/>
      <c r="K574" s="193"/>
      <c r="L574" s="236"/>
      <c r="M574" s="193"/>
    </row>
    <row r="575" spans="1:13" x14ac:dyDescent="0.3">
      <c r="A575" s="216"/>
      <c r="B575" s="205"/>
      <c r="C575" s="205"/>
      <c r="D575" s="205"/>
      <c r="E575" s="205"/>
      <c r="F575" s="201"/>
      <c r="H575" s="46"/>
      <c r="I575" s="236"/>
      <c r="J575" s="236"/>
      <c r="K575" s="193"/>
      <c r="L575" s="236"/>
      <c r="M575" s="193"/>
    </row>
    <row r="576" spans="1:13" x14ac:dyDescent="0.3">
      <c r="A576" s="216"/>
      <c r="B576" s="205"/>
      <c r="C576" s="205"/>
      <c r="D576" s="205"/>
      <c r="E576" s="205"/>
      <c r="F576" s="201"/>
      <c r="H576" s="46"/>
      <c r="I576" s="236"/>
      <c r="J576" s="236"/>
      <c r="K576" s="193"/>
      <c r="L576" s="236"/>
      <c r="M576" s="193"/>
    </row>
    <row r="577" spans="1:13" x14ac:dyDescent="0.3">
      <c r="A577" s="216"/>
      <c r="B577" s="205"/>
      <c r="C577" s="205"/>
      <c r="D577" s="205"/>
      <c r="E577" s="205"/>
      <c r="F577" s="201"/>
      <c r="H577" s="46"/>
      <c r="I577" s="236"/>
      <c r="J577" s="236"/>
      <c r="K577" s="193"/>
      <c r="L577" s="236"/>
      <c r="M577" s="193"/>
    </row>
    <row r="578" spans="1:13" x14ac:dyDescent="0.3">
      <c r="A578" s="216"/>
      <c r="B578" s="205"/>
      <c r="C578" s="205"/>
      <c r="D578" s="205"/>
      <c r="E578" s="205"/>
      <c r="F578" s="201"/>
      <c r="H578" s="46"/>
      <c r="I578" s="236"/>
      <c r="J578" s="236"/>
      <c r="K578" s="193"/>
      <c r="L578" s="236"/>
      <c r="M578" s="193"/>
    </row>
    <row r="579" spans="1:13" x14ac:dyDescent="0.3">
      <c r="A579" s="216"/>
      <c r="B579" s="205"/>
      <c r="C579" s="205"/>
      <c r="D579" s="205"/>
      <c r="E579" s="205"/>
      <c r="F579" s="201"/>
      <c r="H579" s="46"/>
      <c r="I579" s="236"/>
      <c r="J579" s="236"/>
      <c r="K579" s="193"/>
      <c r="L579" s="236"/>
      <c r="M579" s="193"/>
    </row>
    <row r="580" spans="1:13" x14ac:dyDescent="0.3">
      <c r="A580" s="216"/>
      <c r="B580" s="205"/>
      <c r="C580" s="205"/>
      <c r="D580" s="205"/>
      <c r="E580" s="205"/>
      <c r="F580" s="201"/>
      <c r="H580" s="46"/>
      <c r="I580" s="236"/>
      <c r="J580" s="236"/>
      <c r="K580" s="193"/>
      <c r="L580" s="236"/>
      <c r="M580" s="193"/>
    </row>
    <row r="581" spans="1:13" x14ac:dyDescent="0.3">
      <c r="A581" s="216"/>
      <c r="B581" s="205"/>
      <c r="C581" s="205"/>
      <c r="D581" s="205"/>
      <c r="E581" s="205"/>
      <c r="F581" s="201"/>
      <c r="H581" s="46"/>
      <c r="I581" s="236"/>
      <c r="J581" s="236"/>
      <c r="K581" s="193"/>
      <c r="L581" s="236"/>
      <c r="M581" s="193"/>
    </row>
    <row r="582" spans="1:13" x14ac:dyDescent="0.3">
      <c r="A582" s="216"/>
      <c r="B582" s="205"/>
      <c r="C582" s="205"/>
      <c r="D582" s="205"/>
      <c r="E582" s="205"/>
      <c r="F582" s="201"/>
      <c r="H582" s="46"/>
      <c r="I582" s="236"/>
      <c r="J582" s="236"/>
      <c r="K582" s="193"/>
      <c r="L582" s="236"/>
      <c r="M582" s="193"/>
    </row>
    <row r="583" spans="1:13" x14ac:dyDescent="0.3">
      <c r="A583" s="216"/>
      <c r="B583" s="205"/>
      <c r="C583" s="205"/>
      <c r="D583" s="205"/>
      <c r="E583" s="205"/>
      <c r="F583" s="201"/>
      <c r="H583" s="46"/>
      <c r="I583" s="236"/>
      <c r="J583" s="236"/>
      <c r="K583" s="193"/>
      <c r="L583" s="236"/>
      <c r="M583" s="193"/>
    </row>
    <row r="584" spans="1:13" x14ac:dyDescent="0.3">
      <c r="A584" s="216"/>
      <c r="B584" s="205"/>
      <c r="C584" s="205"/>
      <c r="D584" s="205"/>
      <c r="E584" s="205"/>
      <c r="F584" s="201"/>
      <c r="H584" s="46"/>
      <c r="I584" s="236"/>
      <c r="J584" s="236"/>
      <c r="K584" s="193"/>
      <c r="L584" s="236"/>
      <c r="M584" s="193"/>
    </row>
    <row r="585" spans="1:13" x14ac:dyDescent="0.3">
      <c r="A585" s="216"/>
      <c r="B585" s="205"/>
      <c r="C585" s="205"/>
      <c r="D585" s="205"/>
      <c r="E585" s="205"/>
      <c r="F585" s="201"/>
      <c r="H585" s="46"/>
      <c r="I585" s="236"/>
      <c r="J585" s="236"/>
      <c r="K585" s="193"/>
      <c r="L585" s="236"/>
      <c r="M585" s="193"/>
    </row>
    <row r="586" spans="1:13" x14ac:dyDescent="0.3">
      <c r="A586" s="216"/>
      <c r="B586" s="205"/>
      <c r="C586" s="205"/>
      <c r="D586" s="205"/>
      <c r="E586" s="205"/>
      <c r="F586" s="201"/>
      <c r="H586" s="46"/>
      <c r="I586" s="236"/>
      <c r="J586" s="236"/>
      <c r="K586" s="193"/>
      <c r="L586" s="236"/>
      <c r="M586" s="193"/>
    </row>
    <row r="587" spans="1:13" x14ac:dyDescent="0.3">
      <c r="A587" s="216"/>
      <c r="B587" s="205"/>
      <c r="C587" s="205"/>
      <c r="D587" s="205"/>
      <c r="E587" s="205"/>
      <c r="F587" s="201"/>
      <c r="H587" s="46"/>
      <c r="I587" s="236"/>
      <c r="J587" s="236"/>
      <c r="K587" s="193"/>
      <c r="L587" s="236"/>
      <c r="M587" s="193"/>
    </row>
    <row r="588" spans="1:13" x14ac:dyDescent="0.3">
      <c r="A588" s="216"/>
      <c r="B588" s="205"/>
      <c r="C588" s="205"/>
      <c r="D588" s="205"/>
      <c r="E588" s="205"/>
      <c r="F588" s="201"/>
      <c r="H588" s="46"/>
      <c r="I588" s="236"/>
      <c r="J588" s="236"/>
      <c r="K588" s="193"/>
      <c r="L588" s="236"/>
      <c r="M588" s="193"/>
    </row>
    <row r="589" spans="1:13" x14ac:dyDescent="0.3">
      <c r="A589" s="216"/>
      <c r="B589" s="205"/>
      <c r="C589" s="205"/>
      <c r="D589" s="205"/>
      <c r="E589" s="205"/>
      <c r="F589" s="201"/>
      <c r="H589" s="46"/>
      <c r="I589" s="236"/>
      <c r="J589" s="236"/>
      <c r="K589" s="193"/>
      <c r="L589" s="236"/>
      <c r="M589" s="193"/>
    </row>
    <row r="590" spans="1:13" x14ac:dyDescent="0.3">
      <c r="A590" s="216"/>
      <c r="B590" s="205"/>
      <c r="C590" s="205"/>
      <c r="D590" s="205"/>
      <c r="E590" s="205"/>
      <c r="F590" s="201"/>
      <c r="H590" s="46"/>
      <c r="I590" s="236"/>
      <c r="J590" s="236"/>
      <c r="K590" s="193"/>
      <c r="L590" s="236"/>
      <c r="M590" s="193"/>
    </row>
    <row r="591" spans="1:13" x14ac:dyDescent="0.3">
      <c r="A591" s="216"/>
      <c r="B591" s="205"/>
      <c r="C591" s="205"/>
      <c r="D591" s="205"/>
      <c r="E591" s="205"/>
      <c r="F591" s="201"/>
      <c r="H591" s="46"/>
      <c r="I591" s="236"/>
      <c r="J591" s="236"/>
      <c r="K591" s="193"/>
      <c r="L591" s="236"/>
      <c r="M591" s="193"/>
    </row>
    <row r="592" spans="1:13" x14ac:dyDescent="0.3">
      <c r="A592" s="216"/>
      <c r="B592" s="205"/>
      <c r="C592" s="205"/>
      <c r="D592" s="205"/>
      <c r="E592" s="205"/>
      <c r="F592" s="201"/>
      <c r="H592" s="46"/>
      <c r="I592" s="236"/>
      <c r="J592" s="236"/>
      <c r="K592" s="193"/>
      <c r="L592" s="236"/>
      <c r="M592" s="193"/>
    </row>
    <row r="593" spans="1:13" x14ac:dyDescent="0.3">
      <c r="A593" s="216"/>
      <c r="B593" s="205"/>
      <c r="C593" s="205"/>
      <c r="D593" s="205"/>
      <c r="E593" s="205"/>
      <c r="F593" s="201"/>
      <c r="H593" s="46"/>
      <c r="I593" s="236"/>
      <c r="J593" s="236"/>
      <c r="K593" s="193"/>
      <c r="L593" s="236"/>
      <c r="M593" s="193"/>
    </row>
    <row r="594" spans="1:13" x14ac:dyDescent="0.3">
      <c r="A594" s="216"/>
      <c r="B594" s="205"/>
      <c r="C594" s="205"/>
      <c r="D594" s="205"/>
      <c r="E594" s="205"/>
      <c r="F594" s="201"/>
      <c r="H594" s="46"/>
      <c r="I594" s="236"/>
      <c r="J594" s="236"/>
      <c r="K594" s="193"/>
      <c r="L594" s="236"/>
      <c r="M594" s="193"/>
    </row>
    <row r="595" spans="1:13" x14ac:dyDescent="0.3">
      <c r="A595" s="216"/>
      <c r="B595" s="205"/>
      <c r="C595" s="205"/>
      <c r="D595" s="205"/>
      <c r="E595" s="205"/>
      <c r="F595" s="201"/>
      <c r="H595" s="46"/>
      <c r="I595" s="236"/>
      <c r="J595" s="236"/>
      <c r="K595" s="193"/>
      <c r="L595" s="236"/>
      <c r="M595" s="193"/>
    </row>
    <row r="596" spans="1:13" x14ac:dyDescent="0.3">
      <c r="A596" s="216"/>
      <c r="B596" s="205"/>
      <c r="C596" s="205"/>
      <c r="D596" s="205"/>
      <c r="E596" s="205"/>
      <c r="F596" s="201"/>
      <c r="H596" s="46"/>
      <c r="I596" s="236"/>
      <c r="J596" s="236"/>
      <c r="K596" s="193"/>
      <c r="L596" s="236"/>
      <c r="M596" s="193"/>
    </row>
    <row r="597" spans="1:13" x14ac:dyDescent="0.3">
      <c r="A597" s="216"/>
      <c r="B597" s="205"/>
      <c r="C597" s="205"/>
      <c r="D597" s="205"/>
      <c r="E597" s="205"/>
      <c r="F597" s="201"/>
      <c r="H597" s="46"/>
      <c r="I597" s="236"/>
      <c r="J597" s="236"/>
      <c r="K597" s="193"/>
      <c r="L597" s="236"/>
      <c r="M597" s="193"/>
    </row>
    <row r="598" spans="1:13" x14ac:dyDescent="0.3">
      <c r="A598" s="216"/>
      <c r="B598" s="205"/>
      <c r="C598" s="205"/>
      <c r="D598" s="205"/>
      <c r="E598" s="205"/>
      <c r="F598" s="201"/>
      <c r="H598" s="46"/>
      <c r="I598" s="236"/>
      <c r="J598" s="236"/>
      <c r="K598" s="193"/>
      <c r="L598" s="236"/>
      <c r="M598" s="193"/>
    </row>
    <row r="599" spans="1:13" x14ac:dyDescent="0.3">
      <c r="A599" s="216"/>
      <c r="B599" s="205"/>
      <c r="C599" s="205"/>
      <c r="D599" s="205"/>
      <c r="E599" s="205"/>
      <c r="F599" s="201"/>
      <c r="H599" s="46"/>
      <c r="I599" s="236"/>
      <c r="J599" s="236"/>
      <c r="K599" s="193"/>
      <c r="L599" s="236"/>
      <c r="M599" s="193"/>
    </row>
    <row r="600" spans="1:13" x14ac:dyDescent="0.3">
      <c r="A600" s="216"/>
      <c r="B600" s="205"/>
      <c r="C600" s="205"/>
      <c r="D600" s="205"/>
      <c r="E600" s="205"/>
      <c r="F600" s="201"/>
      <c r="H600" s="46"/>
      <c r="I600" s="236"/>
      <c r="J600" s="236"/>
      <c r="K600" s="193"/>
      <c r="L600" s="236"/>
      <c r="M600" s="193"/>
    </row>
    <row r="601" spans="1:13" x14ac:dyDescent="0.3">
      <c r="A601" s="216"/>
      <c r="B601" s="205"/>
      <c r="C601" s="205"/>
      <c r="D601" s="205"/>
      <c r="E601" s="205"/>
      <c r="F601" s="201"/>
      <c r="H601" s="46"/>
      <c r="I601" s="236"/>
      <c r="J601" s="236"/>
      <c r="K601" s="193"/>
      <c r="L601" s="236"/>
      <c r="M601" s="193"/>
    </row>
    <row r="602" spans="1:13" x14ac:dyDescent="0.3">
      <c r="A602" s="216"/>
      <c r="B602" s="205"/>
      <c r="C602" s="205"/>
      <c r="D602" s="205"/>
      <c r="E602" s="205"/>
      <c r="F602" s="201"/>
      <c r="H602" s="46"/>
      <c r="I602" s="236"/>
      <c r="J602" s="236"/>
      <c r="K602" s="193"/>
      <c r="L602" s="236"/>
      <c r="M602" s="193"/>
    </row>
    <row r="603" spans="1:13" x14ac:dyDescent="0.3">
      <c r="A603" s="216"/>
      <c r="B603" s="205"/>
      <c r="C603" s="205"/>
      <c r="D603" s="205"/>
      <c r="E603" s="205"/>
      <c r="F603" s="201"/>
      <c r="H603" s="46"/>
      <c r="I603" s="236"/>
      <c r="J603" s="236"/>
      <c r="K603" s="193"/>
      <c r="L603" s="236"/>
      <c r="M603" s="193"/>
    </row>
    <row r="604" spans="1:13" x14ac:dyDescent="0.3">
      <c r="A604" s="216"/>
      <c r="B604" s="205"/>
      <c r="C604" s="205"/>
      <c r="D604" s="205"/>
      <c r="E604" s="205"/>
      <c r="F604" s="201"/>
      <c r="H604" s="46"/>
      <c r="I604" s="236"/>
      <c r="J604" s="236"/>
      <c r="K604" s="193"/>
      <c r="L604" s="236"/>
      <c r="M604" s="193"/>
    </row>
    <row r="605" spans="1:13" x14ac:dyDescent="0.3">
      <c r="A605" s="216"/>
      <c r="B605" s="205"/>
      <c r="C605" s="205"/>
      <c r="D605" s="205"/>
      <c r="E605" s="205"/>
      <c r="F605" s="201"/>
      <c r="H605" s="46"/>
      <c r="I605" s="236"/>
      <c r="J605" s="236"/>
      <c r="K605" s="193"/>
      <c r="L605" s="236"/>
      <c r="M605" s="193"/>
    </row>
    <row r="606" spans="1:13" x14ac:dyDescent="0.3">
      <c r="A606" s="216"/>
      <c r="B606" s="205"/>
      <c r="C606" s="205"/>
      <c r="D606" s="205"/>
      <c r="E606" s="205"/>
      <c r="F606" s="201"/>
      <c r="H606" s="46"/>
      <c r="I606" s="236"/>
      <c r="J606" s="236"/>
      <c r="K606" s="193"/>
      <c r="L606" s="236"/>
      <c r="M606" s="193"/>
    </row>
    <row r="607" spans="1:13" x14ac:dyDescent="0.3">
      <c r="A607" s="216"/>
      <c r="B607" s="205"/>
      <c r="C607" s="205"/>
      <c r="D607" s="205"/>
      <c r="E607" s="205"/>
      <c r="F607" s="201"/>
      <c r="H607" s="46"/>
      <c r="I607" s="236"/>
      <c r="J607" s="236"/>
      <c r="K607" s="193"/>
      <c r="L607" s="236"/>
      <c r="M607" s="193"/>
    </row>
    <row r="608" spans="1:13" x14ac:dyDescent="0.3">
      <c r="A608" s="216"/>
      <c r="B608" s="205"/>
      <c r="C608" s="205"/>
      <c r="D608" s="205"/>
      <c r="E608" s="205"/>
      <c r="F608" s="201"/>
      <c r="H608" s="46"/>
      <c r="I608" s="236"/>
      <c r="J608" s="236"/>
      <c r="K608" s="193"/>
      <c r="L608" s="236"/>
      <c r="M608" s="193"/>
    </row>
    <row r="609" spans="1:13" x14ac:dyDescent="0.3">
      <c r="A609" s="216"/>
      <c r="B609" s="205"/>
      <c r="C609" s="205"/>
      <c r="D609" s="205"/>
      <c r="E609" s="205"/>
      <c r="F609" s="201"/>
      <c r="H609" s="46"/>
      <c r="I609" s="236"/>
      <c r="J609" s="236"/>
      <c r="K609" s="193"/>
      <c r="L609" s="236"/>
      <c r="M609" s="193"/>
    </row>
    <row r="610" spans="1:13" x14ac:dyDescent="0.3">
      <c r="A610" s="216"/>
      <c r="B610" s="205"/>
      <c r="C610" s="205"/>
      <c r="D610" s="205"/>
      <c r="E610" s="205"/>
      <c r="F610" s="201"/>
      <c r="H610" s="46"/>
      <c r="I610" s="236"/>
      <c r="J610" s="236"/>
      <c r="K610" s="193"/>
      <c r="L610" s="236"/>
      <c r="M610" s="193"/>
    </row>
    <row r="611" spans="1:13" x14ac:dyDescent="0.3">
      <c r="A611" s="216"/>
      <c r="B611" s="205"/>
      <c r="C611" s="205"/>
      <c r="D611" s="205"/>
      <c r="E611" s="205"/>
      <c r="F611" s="201"/>
      <c r="H611" s="46"/>
      <c r="I611" s="236"/>
      <c r="J611" s="236"/>
      <c r="K611" s="193"/>
      <c r="L611" s="236"/>
      <c r="M611" s="193"/>
    </row>
    <row r="612" spans="1:13" x14ac:dyDescent="0.3">
      <c r="A612" s="216"/>
      <c r="B612" s="205"/>
      <c r="C612" s="205"/>
      <c r="D612" s="205"/>
      <c r="E612" s="205"/>
      <c r="F612" s="201"/>
      <c r="H612" s="46"/>
      <c r="I612" s="236"/>
      <c r="J612" s="236"/>
      <c r="K612" s="193"/>
      <c r="L612" s="236"/>
      <c r="M612" s="193"/>
    </row>
    <row r="613" spans="1:13" x14ac:dyDescent="0.3">
      <c r="A613" s="216"/>
      <c r="B613" s="205"/>
      <c r="C613" s="205"/>
      <c r="D613" s="205"/>
      <c r="E613" s="205"/>
      <c r="F613" s="201"/>
      <c r="H613" s="46"/>
      <c r="I613" s="236"/>
      <c r="J613" s="236"/>
      <c r="K613" s="193"/>
      <c r="L613" s="236"/>
      <c r="M613" s="193"/>
    </row>
    <row r="614" spans="1:13" x14ac:dyDescent="0.3">
      <c r="A614" s="216"/>
      <c r="B614" s="205"/>
      <c r="C614" s="205"/>
      <c r="D614" s="205"/>
      <c r="E614" s="205"/>
      <c r="F614" s="201"/>
      <c r="H614" s="46"/>
      <c r="I614" s="236"/>
      <c r="J614" s="236"/>
      <c r="K614" s="193"/>
      <c r="L614" s="236"/>
      <c r="M614" s="193"/>
    </row>
    <row r="615" spans="1:13" x14ac:dyDescent="0.3">
      <c r="A615" s="216"/>
      <c r="B615" s="205"/>
      <c r="C615" s="205"/>
      <c r="D615" s="205"/>
      <c r="E615" s="205"/>
      <c r="F615" s="201"/>
      <c r="H615" s="46"/>
      <c r="I615" s="236"/>
      <c r="J615" s="236"/>
      <c r="K615" s="193"/>
      <c r="L615" s="236"/>
      <c r="M615" s="193"/>
    </row>
    <row r="616" spans="1:13" x14ac:dyDescent="0.3">
      <c r="A616" s="216"/>
      <c r="B616" s="205"/>
      <c r="C616" s="205"/>
      <c r="D616" s="205"/>
      <c r="E616" s="205"/>
      <c r="F616" s="201"/>
      <c r="H616" s="46"/>
      <c r="I616" s="236"/>
      <c r="J616" s="236"/>
      <c r="K616" s="193"/>
      <c r="L616" s="236"/>
      <c r="M616" s="193"/>
    </row>
    <row r="617" spans="1:13" x14ac:dyDescent="0.3">
      <c r="A617" s="216"/>
      <c r="B617" s="205"/>
      <c r="C617" s="205"/>
      <c r="D617" s="205"/>
      <c r="E617" s="205"/>
      <c r="F617" s="201"/>
      <c r="H617" s="46"/>
      <c r="I617" s="236"/>
      <c r="J617" s="236"/>
      <c r="K617" s="193"/>
      <c r="L617" s="236"/>
      <c r="M617" s="193"/>
    </row>
    <row r="618" spans="1:13" x14ac:dyDescent="0.3">
      <c r="A618" s="216"/>
      <c r="B618" s="205"/>
      <c r="C618" s="205"/>
      <c r="D618" s="205"/>
      <c r="E618" s="205"/>
      <c r="F618" s="201"/>
      <c r="H618" s="46"/>
      <c r="I618" s="236"/>
      <c r="J618" s="236"/>
      <c r="K618" s="193"/>
      <c r="L618" s="236"/>
      <c r="M618" s="193"/>
    </row>
    <row r="619" spans="1:13" x14ac:dyDescent="0.3">
      <c r="A619" s="216"/>
      <c r="B619" s="205"/>
      <c r="C619" s="205"/>
      <c r="D619" s="205"/>
      <c r="E619" s="205"/>
      <c r="F619" s="201"/>
      <c r="H619" s="46"/>
      <c r="I619" s="236"/>
      <c r="J619" s="236"/>
      <c r="K619" s="193"/>
      <c r="L619" s="236"/>
      <c r="M619" s="193"/>
    </row>
    <row r="620" spans="1:13" x14ac:dyDescent="0.3">
      <c r="A620" s="216"/>
      <c r="B620" s="205"/>
      <c r="C620" s="205"/>
      <c r="D620" s="205"/>
      <c r="E620" s="205"/>
      <c r="F620" s="201"/>
      <c r="H620" s="46"/>
      <c r="I620" s="236"/>
      <c r="J620" s="236"/>
      <c r="K620" s="193"/>
      <c r="L620" s="236"/>
      <c r="M620" s="193"/>
    </row>
    <row r="621" spans="1:13" x14ac:dyDescent="0.3">
      <c r="A621" s="216"/>
      <c r="B621" s="205"/>
      <c r="C621" s="205"/>
      <c r="D621" s="205"/>
      <c r="E621" s="205"/>
      <c r="F621" s="201"/>
      <c r="H621" s="46"/>
      <c r="I621" s="236"/>
      <c r="J621" s="236"/>
      <c r="K621" s="193"/>
      <c r="L621" s="236"/>
      <c r="M621" s="193"/>
    </row>
    <row r="622" spans="1:13" x14ac:dyDescent="0.3">
      <c r="A622" s="216"/>
      <c r="B622" s="205"/>
      <c r="C622" s="205"/>
      <c r="D622" s="205"/>
      <c r="E622" s="205"/>
      <c r="F622" s="201"/>
      <c r="H622" s="46"/>
      <c r="I622" s="236"/>
      <c r="J622" s="236"/>
      <c r="K622" s="193"/>
      <c r="L622" s="236"/>
      <c r="M622" s="193"/>
    </row>
    <row r="623" spans="1:13" x14ac:dyDescent="0.3">
      <c r="A623" s="216"/>
      <c r="B623" s="205"/>
      <c r="C623" s="205"/>
      <c r="D623" s="205"/>
      <c r="E623" s="205"/>
      <c r="F623" s="201"/>
      <c r="H623" s="46"/>
      <c r="I623" s="236"/>
      <c r="J623" s="236"/>
      <c r="K623" s="193"/>
      <c r="L623" s="236"/>
      <c r="M623" s="193"/>
    </row>
    <row r="624" spans="1:13" x14ac:dyDescent="0.3">
      <c r="A624" s="216"/>
      <c r="B624" s="205"/>
      <c r="C624" s="205"/>
      <c r="D624" s="205"/>
      <c r="E624" s="205"/>
      <c r="F624" s="201"/>
      <c r="H624" s="46"/>
      <c r="I624" s="236"/>
      <c r="J624" s="236"/>
      <c r="K624" s="193"/>
      <c r="L624" s="236"/>
      <c r="M624" s="193"/>
    </row>
    <row r="625" spans="1:13" x14ac:dyDescent="0.3">
      <c r="A625" s="216"/>
      <c r="B625" s="205"/>
      <c r="C625" s="205"/>
      <c r="D625" s="205"/>
      <c r="E625" s="205"/>
      <c r="F625" s="201"/>
      <c r="H625" s="46"/>
      <c r="I625" s="236"/>
      <c r="J625" s="236"/>
      <c r="K625" s="193"/>
      <c r="L625" s="236"/>
      <c r="M625" s="193"/>
    </row>
    <row r="626" spans="1:13" x14ac:dyDescent="0.3">
      <c r="A626" s="216"/>
      <c r="B626" s="205"/>
      <c r="C626" s="205"/>
      <c r="D626" s="205"/>
      <c r="E626" s="205"/>
      <c r="F626" s="201"/>
      <c r="H626" s="46"/>
      <c r="I626" s="236"/>
      <c r="J626" s="236"/>
      <c r="K626" s="193"/>
      <c r="L626" s="236"/>
      <c r="M626" s="193"/>
    </row>
    <row r="627" spans="1:13" x14ac:dyDescent="0.3">
      <c r="A627" s="216"/>
      <c r="B627" s="205"/>
      <c r="C627" s="205"/>
      <c r="D627" s="205"/>
      <c r="E627" s="205"/>
      <c r="F627" s="201"/>
      <c r="H627" s="46"/>
      <c r="I627" s="236"/>
      <c r="J627" s="236"/>
      <c r="K627" s="193"/>
      <c r="L627" s="236"/>
      <c r="M627" s="193"/>
    </row>
    <row r="628" spans="1:13" x14ac:dyDescent="0.3">
      <c r="A628" s="216"/>
      <c r="B628" s="205"/>
      <c r="C628" s="205"/>
      <c r="D628" s="205"/>
      <c r="E628" s="205"/>
      <c r="F628" s="201"/>
      <c r="H628" s="46"/>
      <c r="I628" s="236"/>
      <c r="J628" s="236"/>
      <c r="K628" s="193"/>
      <c r="L628" s="236"/>
      <c r="M628" s="193"/>
    </row>
    <row r="629" spans="1:13" x14ac:dyDescent="0.3">
      <c r="A629" s="216"/>
      <c r="B629" s="205"/>
      <c r="C629" s="205"/>
      <c r="D629" s="205"/>
      <c r="E629" s="205"/>
      <c r="F629" s="201"/>
      <c r="H629" s="46"/>
      <c r="I629" s="236"/>
      <c r="J629" s="236"/>
      <c r="K629" s="193"/>
      <c r="L629" s="236"/>
      <c r="M629" s="193"/>
    </row>
    <row r="630" spans="1:13" x14ac:dyDescent="0.3">
      <c r="A630" s="216"/>
      <c r="B630" s="205"/>
      <c r="C630" s="205"/>
      <c r="D630" s="205"/>
      <c r="E630" s="205"/>
      <c r="F630" s="201"/>
      <c r="H630" s="46"/>
      <c r="I630" s="236"/>
      <c r="J630" s="236"/>
      <c r="K630" s="193"/>
      <c r="L630" s="236"/>
      <c r="M630" s="193"/>
    </row>
    <row r="631" spans="1:13" x14ac:dyDescent="0.3">
      <c r="A631" s="216"/>
      <c r="B631" s="205"/>
      <c r="C631" s="205"/>
      <c r="D631" s="205"/>
      <c r="E631" s="205"/>
      <c r="F631" s="201"/>
      <c r="H631" s="46"/>
      <c r="I631" s="236"/>
      <c r="J631" s="236"/>
      <c r="K631" s="193"/>
      <c r="L631" s="236"/>
      <c r="M631" s="193"/>
    </row>
    <row r="632" spans="1:13" x14ac:dyDescent="0.3">
      <c r="A632" s="216"/>
      <c r="B632" s="205"/>
      <c r="C632" s="205"/>
      <c r="D632" s="205"/>
      <c r="E632" s="205"/>
      <c r="F632" s="201"/>
      <c r="H632" s="46"/>
      <c r="I632" s="236"/>
      <c r="J632" s="236"/>
      <c r="K632" s="193"/>
      <c r="L632" s="236"/>
      <c r="M632" s="193"/>
    </row>
    <row r="633" spans="1:13" x14ac:dyDescent="0.3">
      <c r="A633" s="216"/>
      <c r="B633" s="205"/>
      <c r="C633" s="205"/>
      <c r="D633" s="205"/>
      <c r="E633" s="205"/>
      <c r="F633" s="201"/>
      <c r="H633" s="46"/>
      <c r="I633" s="236"/>
      <c r="J633" s="236"/>
      <c r="K633" s="193"/>
      <c r="L633" s="236"/>
      <c r="M633" s="193"/>
    </row>
    <row r="634" spans="1:13" x14ac:dyDescent="0.3">
      <c r="A634" s="216"/>
      <c r="B634" s="205"/>
      <c r="C634" s="205"/>
      <c r="D634" s="205"/>
      <c r="E634" s="205"/>
      <c r="F634" s="201"/>
      <c r="H634" s="46"/>
      <c r="I634" s="236"/>
      <c r="J634" s="236"/>
      <c r="K634" s="193"/>
      <c r="L634" s="236"/>
      <c r="M634" s="193"/>
    </row>
    <row r="635" spans="1:13" x14ac:dyDescent="0.3">
      <c r="A635" s="216"/>
      <c r="B635" s="205"/>
      <c r="C635" s="205"/>
      <c r="D635" s="205"/>
      <c r="E635" s="205"/>
      <c r="F635" s="201"/>
      <c r="H635" s="46"/>
      <c r="I635" s="236"/>
      <c r="J635" s="236"/>
      <c r="K635" s="193"/>
      <c r="L635" s="236"/>
      <c r="M635" s="193"/>
    </row>
    <row r="636" spans="1:13" x14ac:dyDescent="0.3">
      <c r="A636" s="216"/>
      <c r="B636" s="205"/>
      <c r="C636" s="205"/>
      <c r="D636" s="205"/>
      <c r="E636" s="205"/>
      <c r="F636" s="201"/>
      <c r="H636" s="46"/>
      <c r="I636" s="236"/>
      <c r="J636" s="236"/>
      <c r="K636" s="193"/>
      <c r="L636" s="236"/>
      <c r="M636" s="193"/>
    </row>
    <row r="637" spans="1:13" x14ac:dyDescent="0.3">
      <c r="A637" s="216"/>
      <c r="B637" s="205"/>
      <c r="C637" s="205"/>
      <c r="D637" s="205"/>
      <c r="E637" s="205"/>
      <c r="F637" s="201"/>
      <c r="H637" s="46"/>
      <c r="I637" s="236"/>
      <c r="J637" s="236"/>
      <c r="K637" s="193"/>
      <c r="L637" s="236"/>
      <c r="M637" s="193"/>
    </row>
    <row r="638" spans="1:13" x14ac:dyDescent="0.3">
      <c r="A638" s="216"/>
      <c r="B638" s="205"/>
      <c r="C638" s="205"/>
      <c r="D638" s="205"/>
      <c r="E638" s="205"/>
      <c r="F638" s="201"/>
      <c r="H638" s="46"/>
      <c r="I638" s="236"/>
      <c r="J638" s="236"/>
      <c r="K638" s="193"/>
      <c r="L638" s="236"/>
      <c r="M638" s="193"/>
    </row>
    <row r="639" spans="1:13" x14ac:dyDescent="0.3">
      <c r="A639" s="216"/>
      <c r="B639" s="205"/>
      <c r="C639" s="205"/>
      <c r="D639" s="205"/>
      <c r="E639" s="205"/>
      <c r="F639" s="201"/>
      <c r="H639" s="46"/>
      <c r="I639" s="236"/>
      <c r="J639" s="236"/>
      <c r="K639" s="193"/>
      <c r="L639" s="236"/>
      <c r="M639" s="193"/>
    </row>
    <row r="640" spans="1:13" x14ac:dyDescent="0.3">
      <c r="A640" s="216"/>
      <c r="B640" s="205"/>
      <c r="C640" s="205"/>
      <c r="D640" s="205"/>
      <c r="E640" s="205"/>
      <c r="F640" s="201"/>
      <c r="H640" s="46"/>
      <c r="I640" s="236"/>
      <c r="J640" s="236"/>
      <c r="K640" s="193"/>
      <c r="L640" s="236"/>
      <c r="M640" s="193"/>
    </row>
    <row r="641" spans="1:13" x14ac:dyDescent="0.3">
      <c r="A641" s="216"/>
      <c r="B641" s="205"/>
      <c r="C641" s="205"/>
      <c r="D641" s="205"/>
      <c r="E641" s="205"/>
      <c r="F641" s="201"/>
      <c r="H641" s="46"/>
      <c r="I641" s="236"/>
      <c r="J641" s="236"/>
      <c r="K641" s="193"/>
      <c r="L641" s="236"/>
      <c r="M641" s="193"/>
    </row>
    <row r="642" spans="1:13" x14ac:dyDescent="0.3">
      <c r="A642" s="216"/>
      <c r="B642" s="205"/>
      <c r="C642" s="205"/>
      <c r="D642" s="205"/>
      <c r="E642" s="205"/>
      <c r="F642" s="201"/>
      <c r="H642" s="46"/>
      <c r="I642" s="236"/>
      <c r="J642" s="236"/>
      <c r="K642" s="193"/>
      <c r="L642" s="236"/>
      <c r="M642" s="193"/>
    </row>
    <row r="643" spans="1:13" x14ac:dyDescent="0.3">
      <c r="A643" s="216"/>
      <c r="B643" s="205"/>
      <c r="C643" s="205"/>
      <c r="D643" s="205"/>
      <c r="E643" s="205"/>
      <c r="F643" s="201"/>
      <c r="H643" s="46"/>
      <c r="I643" s="236"/>
      <c r="J643" s="236"/>
      <c r="K643" s="193"/>
      <c r="L643" s="236"/>
      <c r="M643" s="193"/>
    </row>
    <row r="644" spans="1:13" x14ac:dyDescent="0.3">
      <c r="A644" s="216"/>
      <c r="B644" s="205"/>
      <c r="C644" s="205"/>
      <c r="D644" s="205"/>
      <c r="E644" s="205"/>
      <c r="F644" s="201"/>
      <c r="H644" s="46"/>
      <c r="I644" s="236"/>
      <c r="J644" s="236"/>
      <c r="K644" s="193"/>
      <c r="L644" s="236"/>
      <c r="M644" s="193"/>
    </row>
    <row r="645" spans="1:13" x14ac:dyDescent="0.3">
      <c r="A645" s="216"/>
      <c r="B645" s="205"/>
      <c r="C645" s="205"/>
      <c r="D645" s="205"/>
      <c r="E645" s="205"/>
      <c r="F645" s="201"/>
      <c r="H645" s="46"/>
      <c r="I645" s="236"/>
      <c r="J645" s="236"/>
      <c r="K645" s="193"/>
      <c r="L645" s="236"/>
      <c r="M645" s="193"/>
    </row>
    <row r="646" spans="1:13" x14ac:dyDescent="0.3">
      <c r="A646" s="216"/>
      <c r="B646" s="205"/>
      <c r="C646" s="205"/>
      <c r="D646" s="205"/>
      <c r="E646" s="205"/>
      <c r="F646" s="201"/>
      <c r="H646" s="46"/>
      <c r="I646" s="236"/>
      <c r="J646" s="236"/>
      <c r="K646" s="193"/>
      <c r="L646" s="236"/>
      <c r="M646" s="193"/>
    </row>
    <row r="647" spans="1:13" x14ac:dyDescent="0.3">
      <c r="A647" s="216"/>
      <c r="B647" s="205"/>
      <c r="C647" s="205"/>
      <c r="D647" s="205"/>
      <c r="E647" s="205"/>
      <c r="F647" s="201"/>
      <c r="H647" s="46"/>
      <c r="I647" s="236"/>
      <c r="J647" s="236"/>
      <c r="K647" s="193"/>
      <c r="L647" s="236"/>
      <c r="M647" s="193"/>
    </row>
    <row r="648" spans="1:13" x14ac:dyDescent="0.3">
      <c r="A648" s="216"/>
      <c r="B648" s="205"/>
      <c r="C648" s="205"/>
      <c r="D648" s="205"/>
      <c r="E648" s="205"/>
      <c r="F648" s="201"/>
      <c r="H648" s="46"/>
      <c r="I648" s="236"/>
      <c r="J648" s="236"/>
      <c r="K648" s="193"/>
      <c r="L648" s="236"/>
      <c r="M648" s="193"/>
    </row>
    <row r="649" spans="1:13" x14ac:dyDescent="0.3">
      <c r="A649" s="216"/>
      <c r="B649" s="205"/>
      <c r="C649" s="205"/>
      <c r="D649" s="205"/>
      <c r="E649" s="205"/>
      <c r="F649" s="201"/>
      <c r="H649" s="46"/>
      <c r="I649" s="236"/>
      <c r="J649" s="236"/>
      <c r="K649" s="193"/>
      <c r="L649" s="236"/>
      <c r="M649" s="193"/>
    </row>
    <row r="650" spans="1:13" x14ac:dyDescent="0.3">
      <c r="A650" s="216"/>
      <c r="B650" s="205"/>
      <c r="C650" s="205"/>
      <c r="D650" s="205"/>
      <c r="E650" s="205"/>
      <c r="F650" s="201"/>
      <c r="H650" s="46"/>
      <c r="I650" s="236"/>
      <c r="J650" s="236"/>
      <c r="K650" s="193"/>
      <c r="L650" s="236"/>
      <c r="M650" s="193"/>
    </row>
    <row r="651" spans="1:13" x14ac:dyDescent="0.3">
      <c r="A651" s="216"/>
      <c r="B651" s="205"/>
      <c r="C651" s="205"/>
      <c r="D651" s="205"/>
      <c r="E651" s="205"/>
      <c r="F651" s="201"/>
      <c r="H651" s="46"/>
      <c r="I651" s="236"/>
      <c r="J651" s="236"/>
      <c r="K651" s="193"/>
      <c r="L651" s="236"/>
      <c r="M651" s="193"/>
    </row>
    <row r="652" spans="1:13" x14ac:dyDescent="0.3">
      <c r="A652" s="216"/>
      <c r="B652" s="205"/>
      <c r="C652" s="205"/>
      <c r="D652" s="205"/>
      <c r="E652" s="205"/>
      <c r="F652" s="201"/>
      <c r="H652" s="46"/>
      <c r="I652" s="236"/>
      <c r="J652" s="236"/>
      <c r="K652" s="193"/>
      <c r="L652" s="236"/>
      <c r="M652" s="193"/>
    </row>
    <row r="653" spans="1:13" x14ac:dyDescent="0.3">
      <c r="A653" s="216"/>
      <c r="B653" s="205"/>
      <c r="C653" s="205"/>
      <c r="D653" s="205"/>
      <c r="E653" s="205"/>
      <c r="F653" s="201"/>
      <c r="H653" s="46"/>
      <c r="I653" s="236"/>
      <c r="J653" s="236"/>
      <c r="K653" s="193"/>
      <c r="L653" s="236"/>
      <c r="M653" s="193"/>
    </row>
    <row r="654" spans="1:13" x14ac:dyDescent="0.3">
      <c r="A654" s="216"/>
      <c r="B654" s="205"/>
      <c r="C654" s="205"/>
      <c r="D654" s="205"/>
      <c r="E654" s="205"/>
      <c r="F654" s="201"/>
      <c r="H654" s="46"/>
      <c r="I654" s="236"/>
      <c r="J654" s="236"/>
      <c r="K654" s="193"/>
      <c r="L654" s="236"/>
      <c r="M654" s="193"/>
    </row>
    <row r="655" spans="1:13" x14ac:dyDescent="0.3">
      <c r="A655" s="216"/>
      <c r="B655" s="205"/>
      <c r="C655" s="205"/>
      <c r="D655" s="205"/>
      <c r="E655" s="205"/>
      <c r="F655" s="201"/>
      <c r="H655" s="46"/>
      <c r="I655" s="236"/>
      <c r="J655" s="236"/>
      <c r="K655" s="193"/>
      <c r="L655" s="236"/>
      <c r="M655" s="193"/>
    </row>
    <row r="656" spans="1:13" x14ac:dyDescent="0.3">
      <c r="A656" s="216"/>
      <c r="B656" s="205"/>
      <c r="C656" s="205"/>
      <c r="D656" s="205"/>
      <c r="E656" s="205"/>
      <c r="F656" s="201"/>
      <c r="H656" s="46"/>
      <c r="I656" s="236"/>
      <c r="J656" s="236"/>
      <c r="K656" s="193"/>
      <c r="L656" s="236"/>
      <c r="M656" s="193"/>
    </row>
    <row r="657" spans="1:13" x14ac:dyDescent="0.3">
      <c r="A657" s="216"/>
      <c r="B657" s="205"/>
      <c r="C657" s="205"/>
      <c r="D657" s="205"/>
      <c r="E657" s="205"/>
      <c r="F657" s="201"/>
      <c r="H657" s="46"/>
      <c r="I657" s="236"/>
      <c r="J657" s="236"/>
      <c r="K657" s="193"/>
      <c r="L657" s="236"/>
      <c r="M657" s="193"/>
    </row>
    <row r="658" spans="1:13" x14ac:dyDescent="0.3">
      <c r="A658" s="216"/>
      <c r="B658" s="205"/>
      <c r="C658" s="205"/>
      <c r="D658" s="205"/>
      <c r="E658" s="205"/>
      <c r="F658" s="201"/>
      <c r="H658" s="46"/>
      <c r="I658" s="236"/>
      <c r="J658" s="236"/>
      <c r="K658" s="193"/>
      <c r="L658" s="236"/>
      <c r="M658" s="193"/>
    </row>
    <row r="659" spans="1:13" x14ac:dyDescent="0.3">
      <c r="A659" s="216"/>
      <c r="B659" s="205"/>
      <c r="C659" s="205"/>
      <c r="D659" s="205"/>
      <c r="E659" s="205"/>
      <c r="F659" s="201"/>
      <c r="H659" s="46"/>
      <c r="I659" s="236"/>
      <c r="J659" s="236"/>
      <c r="K659" s="193"/>
      <c r="L659" s="236"/>
      <c r="M659" s="193"/>
    </row>
    <row r="660" spans="1:13" x14ac:dyDescent="0.3">
      <c r="A660" s="216"/>
      <c r="B660" s="205"/>
      <c r="C660" s="205"/>
      <c r="D660" s="205"/>
      <c r="E660" s="205"/>
      <c r="F660" s="201"/>
      <c r="H660" s="46"/>
      <c r="I660" s="236"/>
      <c r="J660" s="236"/>
      <c r="K660" s="193"/>
      <c r="L660" s="236"/>
      <c r="M660" s="193"/>
    </row>
    <row r="661" spans="1:13" x14ac:dyDescent="0.3">
      <c r="A661" s="216"/>
      <c r="B661" s="205"/>
      <c r="C661" s="205"/>
      <c r="D661" s="205"/>
      <c r="E661" s="205"/>
      <c r="F661" s="201"/>
      <c r="H661" s="46"/>
      <c r="I661" s="236"/>
      <c r="J661" s="236"/>
      <c r="K661" s="193"/>
      <c r="L661" s="236"/>
      <c r="M661" s="193"/>
    </row>
    <row r="662" spans="1:13" x14ac:dyDescent="0.3">
      <c r="A662" s="216"/>
      <c r="B662" s="205"/>
      <c r="C662" s="205"/>
      <c r="D662" s="205"/>
      <c r="E662" s="205"/>
      <c r="F662" s="201"/>
      <c r="H662" s="46"/>
      <c r="I662" s="236"/>
      <c r="J662" s="236"/>
      <c r="K662" s="193"/>
      <c r="L662" s="236"/>
      <c r="M662" s="193"/>
    </row>
    <row r="663" spans="1:13" x14ac:dyDescent="0.3">
      <c r="A663" s="216"/>
      <c r="B663" s="205"/>
      <c r="C663" s="205"/>
      <c r="D663" s="205"/>
      <c r="E663" s="205"/>
      <c r="F663" s="201"/>
      <c r="H663" s="46"/>
      <c r="I663" s="236"/>
      <c r="J663" s="236"/>
      <c r="K663" s="193"/>
      <c r="L663" s="236"/>
      <c r="M663" s="193"/>
    </row>
    <row r="664" spans="1:13" x14ac:dyDescent="0.3">
      <c r="A664" s="216"/>
      <c r="B664" s="205"/>
      <c r="C664" s="205"/>
      <c r="D664" s="205"/>
      <c r="E664" s="205"/>
      <c r="F664" s="201"/>
      <c r="H664" s="46"/>
      <c r="I664" s="236"/>
      <c r="J664" s="236"/>
      <c r="K664" s="193"/>
      <c r="L664" s="236"/>
      <c r="M664" s="193"/>
    </row>
    <row r="665" spans="1:13" x14ac:dyDescent="0.3">
      <c r="A665" s="216"/>
      <c r="B665" s="205"/>
      <c r="C665" s="205"/>
      <c r="D665" s="205"/>
      <c r="E665" s="205"/>
      <c r="F665" s="201"/>
      <c r="H665" s="46"/>
      <c r="I665" s="236"/>
      <c r="J665" s="236"/>
      <c r="K665" s="193"/>
      <c r="L665" s="236"/>
      <c r="M665" s="193"/>
    </row>
    <row r="666" spans="1:13" x14ac:dyDescent="0.3">
      <c r="A666" s="216"/>
      <c r="B666" s="205"/>
      <c r="C666" s="205"/>
      <c r="D666" s="205"/>
      <c r="E666" s="205"/>
      <c r="F666" s="201"/>
      <c r="H666" s="46"/>
      <c r="I666" s="236"/>
      <c r="J666" s="236"/>
      <c r="K666" s="193"/>
      <c r="L666" s="236"/>
      <c r="M666" s="193"/>
    </row>
    <row r="667" spans="1:13" x14ac:dyDescent="0.3">
      <c r="A667" s="216"/>
      <c r="B667" s="205"/>
      <c r="C667" s="205"/>
      <c r="D667" s="205"/>
      <c r="E667" s="205"/>
      <c r="F667" s="201"/>
      <c r="H667" s="46"/>
      <c r="I667" s="236"/>
      <c r="J667" s="236"/>
      <c r="K667" s="193"/>
      <c r="L667" s="236"/>
      <c r="M667" s="193"/>
    </row>
    <row r="668" spans="1:13" x14ac:dyDescent="0.3">
      <c r="A668" s="216"/>
      <c r="B668" s="205"/>
      <c r="C668" s="205"/>
      <c r="D668" s="205"/>
      <c r="E668" s="205"/>
      <c r="F668" s="201"/>
      <c r="H668" s="46"/>
      <c r="I668" s="236"/>
      <c r="J668" s="236"/>
      <c r="K668" s="193"/>
      <c r="L668" s="236"/>
      <c r="M668" s="193"/>
    </row>
    <row r="669" spans="1:13" x14ac:dyDescent="0.3">
      <c r="A669" s="216"/>
      <c r="B669" s="205"/>
      <c r="C669" s="205"/>
      <c r="D669" s="205"/>
      <c r="E669" s="205"/>
      <c r="F669" s="201"/>
      <c r="H669" s="46"/>
      <c r="I669" s="236"/>
      <c r="J669" s="236"/>
      <c r="K669" s="193"/>
      <c r="L669" s="236"/>
      <c r="M669" s="193"/>
    </row>
    <row r="670" spans="1:13" x14ac:dyDescent="0.3">
      <c r="A670" s="216"/>
      <c r="B670" s="205"/>
      <c r="C670" s="205"/>
      <c r="D670" s="205"/>
      <c r="E670" s="205"/>
      <c r="F670" s="201"/>
      <c r="H670" s="46"/>
      <c r="I670" s="236"/>
      <c r="J670" s="236"/>
      <c r="K670" s="193"/>
      <c r="L670" s="236"/>
      <c r="M670" s="193"/>
    </row>
    <row r="671" spans="1:13" x14ac:dyDescent="0.3">
      <c r="A671" s="216"/>
      <c r="B671" s="205"/>
      <c r="C671" s="205"/>
      <c r="D671" s="205"/>
      <c r="E671" s="205"/>
      <c r="F671" s="201"/>
      <c r="H671" s="46"/>
      <c r="I671" s="236"/>
      <c r="J671" s="236"/>
      <c r="K671" s="193"/>
      <c r="L671" s="236"/>
      <c r="M671" s="193"/>
    </row>
    <row r="672" spans="1:13" x14ac:dyDescent="0.3">
      <c r="A672" s="216"/>
      <c r="B672" s="205"/>
      <c r="C672" s="205"/>
      <c r="D672" s="205"/>
      <c r="E672" s="205"/>
      <c r="F672" s="201"/>
      <c r="H672" s="46"/>
      <c r="I672" s="236"/>
      <c r="J672" s="236"/>
      <c r="K672" s="193"/>
      <c r="L672" s="236"/>
      <c r="M672" s="193"/>
    </row>
    <row r="673" spans="1:13" x14ac:dyDescent="0.3">
      <c r="A673" s="216"/>
      <c r="B673" s="205"/>
      <c r="C673" s="205"/>
      <c r="D673" s="205"/>
      <c r="E673" s="205"/>
      <c r="F673" s="201"/>
      <c r="H673" s="46"/>
      <c r="I673" s="236"/>
      <c r="J673" s="236"/>
      <c r="K673" s="193"/>
      <c r="L673" s="236"/>
      <c r="M673" s="193"/>
    </row>
    <row r="674" spans="1:13" x14ac:dyDescent="0.3">
      <c r="A674" s="216"/>
      <c r="B674" s="205"/>
      <c r="C674" s="205"/>
      <c r="D674" s="205"/>
      <c r="E674" s="205"/>
      <c r="F674" s="201"/>
      <c r="H674" s="46"/>
      <c r="I674" s="236"/>
      <c r="J674" s="236"/>
      <c r="K674" s="193"/>
      <c r="L674" s="236"/>
      <c r="M674" s="193"/>
    </row>
    <row r="675" spans="1:13" x14ac:dyDescent="0.3">
      <c r="A675" s="216"/>
      <c r="B675" s="205"/>
      <c r="C675" s="205"/>
      <c r="D675" s="205"/>
      <c r="E675" s="205"/>
      <c r="F675" s="201"/>
      <c r="H675" s="46"/>
      <c r="I675" s="236"/>
      <c r="J675" s="236"/>
      <c r="K675" s="193"/>
      <c r="L675" s="236"/>
      <c r="M675" s="193"/>
    </row>
    <row r="676" spans="1:13" x14ac:dyDescent="0.3">
      <c r="A676" s="216"/>
      <c r="B676" s="205"/>
      <c r="C676" s="205"/>
      <c r="D676" s="205"/>
      <c r="E676" s="205"/>
      <c r="F676" s="201"/>
      <c r="H676" s="46"/>
      <c r="I676" s="236"/>
      <c r="J676" s="236"/>
      <c r="K676" s="193"/>
      <c r="L676" s="236"/>
      <c r="M676" s="193"/>
    </row>
    <row r="677" spans="1:13" x14ac:dyDescent="0.3">
      <c r="A677" s="216"/>
      <c r="B677" s="205"/>
      <c r="C677" s="205"/>
      <c r="D677" s="205"/>
      <c r="E677" s="205"/>
      <c r="F677" s="201"/>
      <c r="H677" s="46"/>
      <c r="I677" s="236"/>
      <c r="J677" s="236"/>
      <c r="K677" s="193"/>
      <c r="L677" s="236"/>
      <c r="M677" s="193"/>
    </row>
    <row r="678" spans="1:13" x14ac:dyDescent="0.3">
      <c r="A678" s="216"/>
      <c r="B678" s="205"/>
      <c r="C678" s="205"/>
      <c r="D678" s="205"/>
      <c r="E678" s="205"/>
      <c r="F678" s="201"/>
      <c r="H678" s="46"/>
      <c r="I678" s="236"/>
      <c r="J678" s="236"/>
      <c r="K678" s="193"/>
      <c r="L678" s="236"/>
      <c r="M678" s="193"/>
    </row>
    <row r="679" spans="1:13" x14ac:dyDescent="0.3">
      <c r="A679" s="216"/>
      <c r="B679" s="205"/>
      <c r="C679" s="205"/>
      <c r="D679" s="205"/>
      <c r="E679" s="205"/>
      <c r="F679" s="201"/>
      <c r="H679" s="46"/>
      <c r="I679" s="236"/>
      <c r="J679" s="236"/>
      <c r="K679" s="193"/>
      <c r="L679" s="236"/>
      <c r="M679" s="193"/>
    </row>
    <row r="680" spans="1:13" x14ac:dyDescent="0.3">
      <c r="A680" s="216"/>
      <c r="B680" s="205"/>
      <c r="C680" s="205"/>
      <c r="D680" s="205"/>
      <c r="E680" s="205"/>
      <c r="F680" s="201"/>
      <c r="H680" s="46"/>
      <c r="I680" s="236"/>
      <c r="J680" s="236"/>
      <c r="K680" s="193"/>
      <c r="L680" s="236"/>
      <c r="M680" s="193"/>
    </row>
    <row r="681" spans="1:13" x14ac:dyDescent="0.3">
      <c r="A681" s="216"/>
      <c r="B681" s="205"/>
      <c r="C681" s="205"/>
      <c r="D681" s="205"/>
      <c r="E681" s="205"/>
      <c r="F681" s="201"/>
      <c r="H681" s="46"/>
      <c r="I681" s="236"/>
      <c r="J681" s="236"/>
      <c r="K681" s="193"/>
      <c r="L681" s="236"/>
      <c r="M681" s="193"/>
    </row>
    <row r="682" spans="1:13" x14ac:dyDescent="0.3">
      <c r="A682" s="216"/>
      <c r="B682" s="205"/>
      <c r="C682" s="205"/>
      <c r="D682" s="205"/>
      <c r="E682" s="205"/>
      <c r="F682" s="201"/>
      <c r="H682" s="46"/>
      <c r="I682" s="236"/>
      <c r="J682" s="236"/>
      <c r="K682" s="193"/>
      <c r="L682" s="236"/>
      <c r="M682" s="193"/>
    </row>
    <row r="683" spans="1:13" x14ac:dyDescent="0.3">
      <c r="A683" s="216"/>
      <c r="B683" s="205"/>
      <c r="C683" s="205"/>
      <c r="D683" s="205"/>
      <c r="E683" s="205"/>
      <c r="F683" s="201"/>
      <c r="H683" s="46"/>
      <c r="I683" s="236"/>
      <c r="J683" s="236"/>
      <c r="K683" s="193"/>
      <c r="L683" s="236"/>
      <c r="M683" s="193"/>
    </row>
    <row r="684" spans="1:13" x14ac:dyDescent="0.3">
      <c r="A684" s="216"/>
      <c r="B684" s="205"/>
      <c r="C684" s="205"/>
      <c r="D684" s="205"/>
      <c r="E684" s="205"/>
      <c r="F684" s="201"/>
      <c r="H684" s="46"/>
      <c r="I684" s="236"/>
      <c r="J684" s="236"/>
      <c r="K684" s="193"/>
      <c r="L684" s="236"/>
      <c r="M684" s="193"/>
    </row>
    <row r="685" spans="1:13" x14ac:dyDescent="0.3">
      <c r="A685" s="216"/>
      <c r="B685" s="205"/>
      <c r="C685" s="205"/>
      <c r="D685" s="205"/>
      <c r="E685" s="205"/>
      <c r="F685" s="201"/>
      <c r="H685" s="46"/>
      <c r="I685" s="236"/>
      <c r="J685" s="236"/>
      <c r="K685" s="193"/>
      <c r="L685" s="236"/>
      <c r="M685" s="193"/>
    </row>
    <row r="686" spans="1:13" x14ac:dyDescent="0.3">
      <c r="A686" s="216"/>
      <c r="B686" s="205"/>
      <c r="C686" s="205"/>
      <c r="D686" s="205"/>
      <c r="E686" s="205"/>
      <c r="F686" s="201"/>
      <c r="H686" s="46"/>
      <c r="I686" s="236"/>
      <c r="J686" s="236"/>
      <c r="K686" s="193"/>
      <c r="L686" s="236"/>
      <c r="M686" s="193"/>
    </row>
    <row r="687" spans="1:13" x14ac:dyDescent="0.3">
      <c r="A687" s="216"/>
      <c r="B687" s="205"/>
      <c r="C687" s="205"/>
      <c r="D687" s="205"/>
      <c r="E687" s="205"/>
      <c r="F687" s="201"/>
      <c r="H687" s="46"/>
      <c r="I687" s="236"/>
      <c r="J687" s="236"/>
      <c r="K687" s="193"/>
      <c r="L687" s="236"/>
      <c r="M687" s="193"/>
    </row>
    <row r="688" spans="1:13" x14ac:dyDescent="0.3">
      <c r="A688" s="216"/>
      <c r="B688" s="205"/>
      <c r="C688" s="205"/>
      <c r="D688" s="205"/>
      <c r="E688" s="205"/>
      <c r="F688" s="201"/>
      <c r="H688" s="46"/>
      <c r="I688" s="236"/>
      <c r="J688" s="236"/>
      <c r="K688" s="193"/>
      <c r="L688" s="236"/>
      <c r="M688" s="193"/>
    </row>
    <row r="689" spans="1:13" x14ac:dyDescent="0.3">
      <c r="A689" s="216"/>
      <c r="B689" s="205"/>
      <c r="C689" s="205"/>
      <c r="D689" s="205"/>
      <c r="E689" s="205"/>
      <c r="F689" s="201"/>
      <c r="H689" s="46"/>
      <c r="I689" s="236"/>
      <c r="J689" s="236"/>
      <c r="K689" s="193"/>
      <c r="L689" s="236"/>
      <c r="M689" s="193"/>
    </row>
    <row r="690" spans="1:13" x14ac:dyDescent="0.3">
      <c r="A690" s="216"/>
      <c r="B690" s="205"/>
      <c r="C690" s="205"/>
      <c r="D690" s="205"/>
      <c r="E690" s="205"/>
      <c r="F690" s="201"/>
      <c r="H690" s="46"/>
      <c r="I690" s="236"/>
      <c r="J690" s="236"/>
      <c r="K690" s="193"/>
      <c r="L690" s="236"/>
      <c r="M690" s="193"/>
    </row>
    <row r="691" spans="1:13" x14ac:dyDescent="0.3">
      <c r="A691" s="216"/>
      <c r="B691" s="205"/>
      <c r="C691" s="205"/>
      <c r="D691" s="205"/>
      <c r="E691" s="205"/>
      <c r="F691" s="201"/>
      <c r="H691" s="46"/>
      <c r="I691" s="236"/>
      <c r="J691" s="236"/>
      <c r="K691" s="193"/>
      <c r="L691" s="236"/>
      <c r="M691" s="193"/>
    </row>
    <row r="692" spans="1:13" x14ac:dyDescent="0.3">
      <c r="A692" s="216"/>
      <c r="B692" s="205"/>
      <c r="C692" s="205"/>
      <c r="D692" s="205"/>
      <c r="E692" s="205"/>
      <c r="F692" s="201"/>
      <c r="H692" s="46"/>
      <c r="I692" s="236"/>
      <c r="J692" s="236"/>
      <c r="K692" s="193"/>
      <c r="L692" s="236"/>
      <c r="M692" s="193"/>
    </row>
    <row r="693" spans="1:13" x14ac:dyDescent="0.3">
      <c r="A693" s="216"/>
      <c r="B693" s="205"/>
      <c r="C693" s="205"/>
      <c r="D693" s="205"/>
      <c r="E693" s="205"/>
      <c r="F693" s="201"/>
      <c r="H693" s="46"/>
      <c r="I693" s="236"/>
      <c r="J693" s="236"/>
      <c r="K693" s="193"/>
      <c r="L693" s="236"/>
      <c r="M693" s="193"/>
    </row>
    <row r="694" spans="1:13" x14ac:dyDescent="0.3">
      <c r="A694" s="216"/>
      <c r="B694" s="205"/>
      <c r="C694" s="205"/>
      <c r="D694" s="205"/>
      <c r="E694" s="205"/>
      <c r="F694" s="201"/>
      <c r="H694" s="46"/>
      <c r="I694" s="236"/>
      <c r="J694" s="236"/>
      <c r="K694" s="193"/>
      <c r="L694" s="236"/>
      <c r="M694" s="193"/>
    </row>
    <row r="695" spans="1:13" x14ac:dyDescent="0.3">
      <c r="A695" s="216"/>
      <c r="B695" s="205"/>
      <c r="C695" s="205"/>
      <c r="D695" s="205"/>
      <c r="E695" s="205"/>
      <c r="F695" s="201"/>
      <c r="H695" s="46"/>
      <c r="I695" s="236"/>
      <c r="J695" s="236"/>
      <c r="K695" s="193"/>
      <c r="L695" s="236"/>
      <c r="M695" s="193"/>
    </row>
    <row r="696" spans="1:13" x14ac:dyDescent="0.3">
      <c r="A696" s="216"/>
      <c r="B696" s="205"/>
      <c r="C696" s="205"/>
      <c r="D696" s="205"/>
      <c r="E696" s="205"/>
      <c r="F696" s="201"/>
      <c r="H696" s="46"/>
      <c r="I696" s="236"/>
      <c r="J696" s="236"/>
      <c r="K696" s="193"/>
      <c r="L696" s="236"/>
      <c r="M696" s="193"/>
    </row>
    <row r="697" spans="1:13" x14ac:dyDescent="0.3">
      <c r="A697" s="216"/>
      <c r="B697" s="205"/>
      <c r="C697" s="205"/>
      <c r="D697" s="205"/>
      <c r="E697" s="205"/>
      <c r="F697" s="201"/>
      <c r="H697" s="46"/>
      <c r="I697" s="236"/>
      <c r="J697" s="236"/>
      <c r="K697" s="193"/>
      <c r="L697" s="236"/>
      <c r="M697" s="193"/>
    </row>
    <row r="698" spans="1:13" x14ac:dyDescent="0.3">
      <c r="A698" s="216"/>
      <c r="B698" s="205"/>
      <c r="C698" s="205"/>
      <c r="D698" s="205"/>
      <c r="E698" s="205"/>
      <c r="F698" s="201"/>
      <c r="H698" s="46"/>
      <c r="I698" s="236"/>
      <c r="J698" s="236"/>
      <c r="K698" s="193"/>
      <c r="L698" s="236"/>
      <c r="M698" s="193"/>
    </row>
    <row r="699" spans="1:13" x14ac:dyDescent="0.3">
      <c r="A699" s="216"/>
      <c r="B699" s="205"/>
      <c r="C699" s="205"/>
      <c r="D699" s="205"/>
      <c r="E699" s="205"/>
      <c r="F699" s="201"/>
      <c r="H699" s="46"/>
      <c r="I699" s="236"/>
      <c r="J699" s="236"/>
      <c r="K699" s="193"/>
      <c r="L699" s="236"/>
      <c r="M699" s="193"/>
    </row>
    <row r="700" spans="1:13" x14ac:dyDescent="0.3">
      <c r="A700" s="216"/>
      <c r="B700" s="205"/>
      <c r="C700" s="205"/>
      <c r="D700" s="205"/>
      <c r="E700" s="205"/>
      <c r="F700" s="201"/>
      <c r="H700" s="46"/>
      <c r="I700" s="236"/>
      <c r="J700" s="236"/>
      <c r="K700" s="193"/>
      <c r="L700" s="236"/>
      <c r="M700" s="193"/>
    </row>
    <row r="701" spans="1:13" x14ac:dyDescent="0.3">
      <c r="A701" s="216"/>
      <c r="B701" s="205"/>
      <c r="C701" s="205"/>
      <c r="D701" s="205"/>
      <c r="E701" s="205"/>
      <c r="F701" s="201"/>
      <c r="H701" s="46"/>
      <c r="I701" s="236"/>
      <c r="J701" s="236"/>
      <c r="K701" s="193"/>
      <c r="L701" s="236"/>
      <c r="M701" s="193"/>
    </row>
    <row r="702" spans="1:13" x14ac:dyDescent="0.3">
      <c r="A702" s="216"/>
      <c r="B702" s="205"/>
      <c r="C702" s="205"/>
      <c r="D702" s="205"/>
      <c r="E702" s="205"/>
      <c r="F702" s="201"/>
      <c r="H702" s="46"/>
      <c r="I702" s="236"/>
      <c r="J702" s="236"/>
      <c r="K702" s="193"/>
      <c r="L702" s="236"/>
      <c r="M702" s="193"/>
    </row>
    <row r="703" spans="1:13" x14ac:dyDescent="0.3">
      <c r="A703" s="216"/>
      <c r="B703" s="205"/>
      <c r="C703" s="205"/>
      <c r="D703" s="205"/>
      <c r="E703" s="205"/>
      <c r="F703" s="201"/>
      <c r="H703" s="46"/>
      <c r="I703" s="236"/>
      <c r="J703" s="236"/>
      <c r="K703" s="193"/>
      <c r="L703" s="236"/>
      <c r="M703" s="193"/>
    </row>
    <row r="704" spans="1:13" x14ac:dyDescent="0.3">
      <c r="A704" s="216"/>
      <c r="B704" s="205"/>
      <c r="C704" s="205"/>
      <c r="D704" s="205"/>
      <c r="E704" s="205"/>
      <c r="F704" s="201"/>
      <c r="H704" s="46"/>
      <c r="I704" s="236"/>
      <c r="J704" s="236"/>
      <c r="K704" s="193"/>
      <c r="L704" s="236"/>
      <c r="M704" s="193"/>
    </row>
    <row r="705" spans="1:13" x14ac:dyDescent="0.3">
      <c r="A705" s="216"/>
      <c r="B705" s="205"/>
      <c r="C705" s="205"/>
      <c r="D705" s="205"/>
      <c r="E705" s="205"/>
      <c r="F705" s="201"/>
      <c r="H705" s="46"/>
      <c r="I705" s="236"/>
      <c r="J705" s="236"/>
      <c r="K705" s="193"/>
      <c r="L705" s="236"/>
      <c r="M705" s="193"/>
    </row>
    <row r="706" spans="1:13" x14ac:dyDescent="0.3">
      <c r="A706" s="216"/>
      <c r="B706" s="205"/>
      <c r="C706" s="205"/>
      <c r="D706" s="205"/>
      <c r="E706" s="205"/>
      <c r="F706" s="201"/>
      <c r="H706" s="46"/>
      <c r="I706" s="236"/>
      <c r="J706" s="236"/>
      <c r="K706" s="193"/>
      <c r="L706" s="236"/>
      <c r="M706" s="193"/>
    </row>
    <row r="707" spans="1:13" x14ac:dyDescent="0.3">
      <c r="A707" s="216"/>
      <c r="B707" s="205"/>
      <c r="C707" s="205"/>
      <c r="D707" s="205"/>
      <c r="E707" s="205"/>
      <c r="F707" s="201"/>
      <c r="H707" s="46"/>
      <c r="I707" s="236"/>
      <c r="J707" s="236"/>
      <c r="K707" s="193"/>
      <c r="L707" s="236"/>
      <c r="M707" s="193"/>
    </row>
    <row r="708" spans="1:13" x14ac:dyDescent="0.3">
      <c r="A708" s="216"/>
      <c r="B708" s="205"/>
      <c r="C708" s="205"/>
      <c r="D708" s="205"/>
      <c r="E708" s="205"/>
      <c r="F708" s="201"/>
      <c r="H708" s="46"/>
      <c r="I708" s="236"/>
      <c r="J708" s="236"/>
      <c r="K708" s="193"/>
      <c r="L708" s="236"/>
      <c r="M708" s="193"/>
    </row>
    <row r="709" spans="1:13" x14ac:dyDescent="0.3">
      <c r="A709" s="216"/>
      <c r="B709" s="205"/>
      <c r="C709" s="205"/>
      <c r="D709" s="205"/>
      <c r="E709" s="205"/>
      <c r="F709" s="201"/>
      <c r="H709" s="46"/>
      <c r="I709" s="236"/>
      <c r="J709" s="236"/>
      <c r="K709" s="193"/>
      <c r="L709" s="236"/>
      <c r="M709" s="193"/>
    </row>
    <row r="710" spans="1:13" x14ac:dyDescent="0.3">
      <c r="A710" s="216"/>
      <c r="B710" s="205"/>
      <c r="C710" s="205"/>
      <c r="D710" s="205"/>
      <c r="E710" s="205"/>
      <c r="F710" s="201"/>
      <c r="H710" s="46"/>
      <c r="I710" s="236"/>
      <c r="J710" s="236"/>
      <c r="K710" s="193"/>
      <c r="L710" s="236"/>
      <c r="M710" s="193"/>
    </row>
    <row r="711" spans="1:13" x14ac:dyDescent="0.3">
      <c r="A711" s="216"/>
      <c r="B711" s="205"/>
      <c r="C711" s="205"/>
      <c r="D711" s="205"/>
      <c r="E711" s="205"/>
      <c r="F711" s="201"/>
      <c r="H711" s="46"/>
      <c r="I711" s="236"/>
      <c r="J711" s="236"/>
      <c r="K711" s="193"/>
      <c r="L711" s="236"/>
      <c r="M711" s="193"/>
    </row>
    <row r="712" spans="1:13" x14ac:dyDescent="0.3">
      <c r="A712" s="216"/>
      <c r="B712" s="205"/>
      <c r="C712" s="205"/>
      <c r="D712" s="205"/>
      <c r="E712" s="205"/>
      <c r="F712" s="201"/>
      <c r="H712" s="46"/>
      <c r="I712" s="236"/>
      <c r="J712" s="236"/>
      <c r="K712" s="193"/>
      <c r="L712" s="236"/>
      <c r="M712" s="193"/>
    </row>
    <row r="713" spans="1:13" x14ac:dyDescent="0.3">
      <c r="A713" s="216"/>
      <c r="B713" s="205"/>
      <c r="C713" s="205"/>
      <c r="D713" s="205"/>
      <c r="E713" s="205"/>
      <c r="F713" s="201"/>
      <c r="H713" s="46"/>
      <c r="I713" s="236"/>
      <c r="J713" s="236"/>
      <c r="K713" s="193"/>
      <c r="L713" s="236"/>
      <c r="M713" s="193"/>
    </row>
    <row r="714" spans="1:13" x14ac:dyDescent="0.3">
      <c r="A714" s="216"/>
      <c r="B714" s="205"/>
      <c r="C714" s="205"/>
      <c r="D714" s="205"/>
      <c r="E714" s="205"/>
      <c r="F714" s="201"/>
      <c r="H714" s="46"/>
      <c r="I714" s="236"/>
      <c r="J714" s="236"/>
      <c r="K714" s="193"/>
      <c r="L714" s="236"/>
      <c r="M714" s="193"/>
    </row>
    <row r="715" spans="1:13" x14ac:dyDescent="0.3">
      <c r="A715" s="216"/>
      <c r="B715" s="205"/>
      <c r="C715" s="205"/>
      <c r="D715" s="205"/>
      <c r="E715" s="205"/>
      <c r="F715" s="201"/>
      <c r="H715" s="46"/>
      <c r="I715" s="236"/>
      <c r="J715" s="236"/>
      <c r="K715" s="193"/>
      <c r="L715" s="236"/>
      <c r="M715" s="193"/>
    </row>
    <row r="716" spans="1:13" x14ac:dyDescent="0.3">
      <c r="A716" s="216"/>
      <c r="B716" s="205"/>
      <c r="C716" s="205"/>
      <c r="D716" s="205"/>
      <c r="E716" s="205"/>
      <c r="F716" s="201"/>
      <c r="H716" s="46"/>
      <c r="I716" s="236"/>
      <c r="J716" s="236"/>
      <c r="K716" s="193"/>
      <c r="L716" s="236"/>
      <c r="M716" s="193"/>
    </row>
    <row r="717" spans="1:13" x14ac:dyDescent="0.3">
      <c r="A717" s="216"/>
      <c r="B717" s="205"/>
      <c r="C717" s="205"/>
      <c r="D717" s="205"/>
      <c r="E717" s="205"/>
      <c r="F717" s="201"/>
      <c r="H717" s="46"/>
      <c r="I717" s="236"/>
      <c r="J717" s="236"/>
      <c r="K717" s="193"/>
      <c r="L717" s="236"/>
      <c r="M717" s="193"/>
    </row>
    <row r="718" spans="1:13" x14ac:dyDescent="0.3">
      <c r="A718" s="216"/>
      <c r="B718" s="205"/>
      <c r="C718" s="205"/>
      <c r="D718" s="205"/>
      <c r="E718" s="205"/>
      <c r="F718" s="201"/>
      <c r="H718" s="46"/>
      <c r="I718" s="236"/>
      <c r="J718" s="236"/>
      <c r="K718" s="193"/>
      <c r="L718" s="236"/>
      <c r="M718" s="193"/>
    </row>
    <row r="719" spans="1:13" x14ac:dyDescent="0.3">
      <c r="A719" s="216"/>
      <c r="B719" s="205"/>
      <c r="C719" s="205"/>
      <c r="D719" s="205"/>
      <c r="E719" s="205"/>
      <c r="F719" s="201"/>
      <c r="H719" s="46"/>
      <c r="I719" s="236"/>
      <c r="J719" s="236"/>
      <c r="K719" s="193"/>
      <c r="L719" s="236"/>
      <c r="M719" s="193"/>
    </row>
    <row r="720" spans="1:13" x14ac:dyDescent="0.3">
      <c r="A720" s="216"/>
      <c r="B720" s="205"/>
      <c r="C720" s="205"/>
      <c r="D720" s="205"/>
      <c r="E720" s="205"/>
      <c r="F720" s="201"/>
      <c r="H720" s="46"/>
      <c r="I720" s="236"/>
      <c r="J720" s="236"/>
      <c r="K720" s="193"/>
      <c r="L720" s="236"/>
      <c r="M720" s="193"/>
    </row>
    <row r="721" spans="1:13" x14ac:dyDescent="0.3">
      <c r="A721" s="216"/>
      <c r="B721" s="205"/>
      <c r="C721" s="205"/>
      <c r="D721" s="205"/>
      <c r="E721" s="205"/>
      <c r="F721" s="201"/>
      <c r="H721" s="46"/>
      <c r="I721" s="236"/>
      <c r="J721" s="236"/>
      <c r="K721" s="193"/>
      <c r="L721" s="236"/>
      <c r="M721" s="193"/>
    </row>
    <row r="722" spans="1:13" x14ac:dyDescent="0.3">
      <c r="A722" s="216"/>
      <c r="B722" s="205"/>
      <c r="C722" s="205"/>
      <c r="D722" s="205"/>
      <c r="E722" s="205"/>
      <c r="F722" s="201"/>
      <c r="H722" s="46"/>
      <c r="I722" s="236"/>
      <c r="J722" s="236"/>
      <c r="K722" s="193"/>
      <c r="L722" s="236"/>
      <c r="M722" s="193"/>
    </row>
    <row r="723" spans="1:13" x14ac:dyDescent="0.3">
      <c r="A723" s="216"/>
      <c r="B723" s="205"/>
      <c r="C723" s="205"/>
      <c r="D723" s="205"/>
      <c r="E723" s="205"/>
      <c r="F723" s="201"/>
      <c r="H723" s="46"/>
      <c r="I723" s="236"/>
      <c r="J723" s="236"/>
      <c r="K723" s="193"/>
      <c r="L723" s="236"/>
      <c r="M723" s="193"/>
    </row>
    <row r="724" spans="1:13" x14ac:dyDescent="0.3">
      <c r="A724" s="216"/>
      <c r="B724" s="205"/>
      <c r="C724" s="205"/>
      <c r="D724" s="205"/>
      <c r="E724" s="205"/>
      <c r="F724" s="201"/>
      <c r="H724" s="46"/>
      <c r="I724" s="236"/>
      <c r="J724" s="236"/>
      <c r="K724" s="193"/>
      <c r="L724" s="236"/>
      <c r="M724" s="193"/>
    </row>
    <row r="725" spans="1:13" x14ac:dyDescent="0.3">
      <c r="A725" s="216"/>
      <c r="B725" s="205"/>
      <c r="C725" s="205"/>
      <c r="D725" s="205"/>
      <c r="E725" s="205"/>
      <c r="F725" s="201"/>
      <c r="H725" s="46"/>
      <c r="I725" s="236"/>
      <c r="J725" s="236"/>
      <c r="K725" s="193"/>
      <c r="L725" s="236"/>
      <c r="M725" s="193"/>
    </row>
    <row r="726" spans="1:13" x14ac:dyDescent="0.3">
      <c r="A726" s="216"/>
      <c r="B726" s="205"/>
      <c r="C726" s="205"/>
      <c r="D726" s="205"/>
      <c r="E726" s="205"/>
      <c r="F726" s="201"/>
      <c r="H726" s="46"/>
      <c r="I726" s="236"/>
      <c r="J726" s="236"/>
      <c r="K726" s="193"/>
      <c r="L726" s="236"/>
      <c r="M726" s="193"/>
    </row>
    <row r="727" spans="1:13" x14ac:dyDescent="0.3">
      <c r="A727" s="216"/>
      <c r="B727" s="205"/>
      <c r="C727" s="205"/>
      <c r="D727" s="205"/>
      <c r="E727" s="205"/>
      <c r="F727" s="201"/>
      <c r="H727" s="46"/>
      <c r="I727" s="236"/>
      <c r="J727" s="236"/>
      <c r="K727" s="193"/>
      <c r="L727" s="236"/>
      <c r="M727" s="193"/>
    </row>
    <row r="728" spans="1:13" x14ac:dyDescent="0.3">
      <c r="A728" s="216"/>
      <c r="B728" s="205"/>
      <c r="C728" s="205"/>
      <c r="D728" s="205"/>
      <c r="E728" s="205"/>
      <c r="F728" s="201"/>
      <c r="H728" s="46"/>
      <c r="I728" s="236"/>
      <c r="J728" s="236"/>
      <c r="K728" s="193"/>
      <c r="L728" s="236"/>
      <c r="M728" s="193"/>
    </row>
    <row r="729" spans="1:13" x14ac:dyDescent="0.3">
      <c r="A729" s="216"/>
      <c r="B729" s="205"/>
      <c r="C729" s="205"/>
      <c r="D729" s="205"/>
      <c r="E729" s="205"/>
      <c r="F729" s="201"/>
      <c r="H729" s="46"/>
      <c r="I729" s="236"/>
      <c r="J729" s="236"/>
      <c r="K729" s="193"/>
      <c r="L729" s="236"/>
      <c r="M729" s="193"/>
    </row>
    <row r="730" spans="1:13" x14ac:dyDescent="0.3">
      <c r="A730" s="216"/>
      <c r="B730" s="205"/>
      <c r="C730" s="205"/>
      <c r="D730" s="205"/>
      <c r="E730" s="205"/>
      <c r="F730" s="201"/>
      <c r="H730" s="46"/>
      <c r="I730" s="236"/>
      <c r="J730" s="236"/>
      <c r="K730" s="193"/>
      <c r="L730" s="236"/>
      <c r="M730" s="193"/>
    </row>
    <row r="731" spans="1:13" x14ac:dyDescent="0.3">
      <c r="A731" s="216"/>
      <c r="B731" s="205"/>
      <c r="C731" s="205"/>
      <c r="D731" s="205"/>
      <c r="E731" s="205"/>
      <c r="F731" s="201"/>
      <c r="H731" s="46"/>
      <c r="I731" s="236"/>
      <c r="J731" s="236"/>
      <c r="K731" s="193"/>
      <c r="L731" s="236"/>
      <c r="M731" s="193"/>
    </row>
    <row r="732" spans="1:13" x14ac:dyDescent="0.3">
      <c r="A732" s="216"/>
      <c r="B732" s="205"/>
      <c r="C732" s="205"/>
      <c r="D732" s="205"/>
      <c r="E732" s="205"/>
      <c r="F732" s="201"/>
      <c r="H732" s="46"/>
      <c r="I732" s="236"/>
      <c r="J732" s="236"/>
      <c r="K732" s="193"/>
      <c r="L732" s="236"/>
      <c r="M732" s="193"/>
    </row>
    <row r="733" spans="1:13" x14ac:dyDescent="0.3">
      <c r="A733" s="216"/>
      <c r="B733" s="205"/>
      <c r="C733" s="205"/>
      <c r="D733" s="205"/>
      <c r="E733" s="205"/>
      <c r="F733" s="201"/>
      <c r="H733" s="46"/>
      <c r="I733" s="236"/>
      <c r="J733" s="236"/>
      <c r="K733" s="193"/>
      <c r="L733" s="236"/>
      <c r="M733" s="193"/>
    </row>
    <row r="734" spans="1:13" x14ac:dyDescent="0.3">
      <c r="A734" s="216"/>
      <c r="B734" s="205"/>
      <c r="C734" s="205"/>
      <c r="D734" s="205"/>
      <c r="E734" s="205"/>
      <c r="F734" s="201"/>
      <c r="H734" s="46"/>
      <c r="I734" s="236"/>
      <c r="J734" s="236"/>
      <c r="K734" s="193"/>
      <c r="L734" s="236"/>
      <c r="M734" s="193"/>
    </row>
    <row r="735" spans="1:13" x14ac:dyDescent="0.3">
      <c r="A735" s="216"/>
      <c r="B735" s="205"/>
      <c r="C735" s="205"/>
      <c r="D735" s="205"/>
      <c r="E735" s="205"/>
      <c r="F735" s="201"/>
      <c r="H735" s="46"/>
      <c r="I735" s="236"/>
      <c r="J735" s="236"/>
      <c r="K735" s="193"/>
      <c r="L735" s="236"/>
      <c r="M735" s="193"/>
    </row>
    <row r="736" spans="1:13" x14ac:dyDescent="0.3">
      <c r="A736" s="216"/>
      <c r="B736" s="205"/>
      <c r="C736" s="205"/>
      <c r="D736" s="205"/>
      <c r="E736" s="205"/>
      <c r="F736" s="201"/>
      <c r="H736" s="46"/>
      <c r="I736" s="236"/>
      <c r="J736" s="236"/>
      <c r="K736" s="193"/>
      <c r="L736" s="236"/>
      <c r="M736" s="193"/>
    </row>
    <row r="737" spans="1:13" x14ac:dyDescent="0.3">
      <c r="A737" s="216"/>
      <c r="B737" s="205"/>
      <c r="C737" s="205"/>
      <c r="D737" s="205"/>
      <c r="E737" s="205"/>
      <c r="F737" s="201"/>
      <c r="H737" s="46"/>
      <c r="I737" s="236"/>
      <c r="J737" s="236"/>
      <c r="K737" s="193"/>
      <c r="L737" s="236"/>
      <c r="M737" s="193"/>
    </row>
    <row r="738" spans="1:13" x14ac:dyDescent="0.3">
      <c r="A738" s="216"/>
      <c r="B738" s="205"/>
      <c r="C738" s="205"/>
      <c r="D738" s="205"/>
      <c r="E738" s="205"/>
      <c r="F738" s="201"/>
      <c r="H738" s="46"/>
      <c r="I738" s="236"/>
      <c r="J738" s="236"/>
      <c r="K738" s="193"/>
      <c r="L738" s="236"/>
      <c r="M738" s="193"/>
    </row>
    <row r="739" spans="1:13" x14ac:dyDescent="0.3">
      <c r="A739" s="216"/>
      <c r="B739" s="205"/>
      <c r="C739" s="205"/>
      <c r="D739" s="205"/>
      <c r="E739" s="205"/>
      <c r="F739" s="201"/>
      <c r="H739" s="46"/>
      <c r="I739" s="236"/>
      <c r="J739" s="236"/>
      <c r="K739" s="193"/>
      <c r="L739" s="236"/>
      <c r="M739" s="193"/>
    </row>
    <row r="740" spans="1:13" x14ac:dyDescent="0.3">
      <c r="A740" s="216"/>
      <c r="B740" s="205"/>
      <c r="C740" s="205"/>
      <c r="D740" s="205"/>
      <c r="E740" s="205"/>
      <c r="F740" s="201"/>
      <c r="H740" s="46"/>
      <c r="I740" s="236"/>
      <c r="J740" s="236"/>
      <c r="K740" s="193"/>
      <c r="L740" s="236"/>
      <c r="M740" s="193"/>
    </row>
    <row r="741" spans="1:13" x14ac:dyDescent="0.3">
      <c r="A741" s="216"/>
      <c r="B741" s="205"/>
      <c r="C741" s="205"/>
      <c r="D741" s="205"/>
      <c r="E741" s="205"/>
      <c r="F741" s="201"/>
      <c r="H741" s="46"/>
      <c r="I741" s="236"/>
      <c r="J741" s="236"/>
      <c r="K741" s="193"/>
      <c r="L741" s="236"/>
      <c r="M741" s="193"/>
    </row>
    <row r="742" spans="1:13" x14ac:dyDescent="0.3">
      <c r="A742" s="216"/>
      <c r="B742" s="205"/>
      <c r="C742" s="205"/>
      <c r="D742" s="205"/>
      <c r="E742" s="205"/>
      <c r="F742" s="201"/>
      <c r="H742" s="46"/>
      <c r="I742" s="236"/>
      <c r="J742" s="236"/>
      <c r="K742" s="193"/>
      <c r="L742" s="236"/>
      <c r="M742" s="193"/>
    </row>
    <row r="743" spans="1:13" x14ac:dyDescent="0.3">
      <c r="A743" s="216"/>
      <c r="B743" s="205"/>
      <c r="C743" s="205"/>
      <c r="D743" s="205"/>
      <c r="E743" s="205"/>
      <c r="F743" s="201"/>
      <c r="H743" s="46"/>
      <c r="I743" s="236"/>
      <c r="J743" s="236"/>
      <c r="K743" s="193"/>
      <c r="L743" s="236"/>
      <c r="M743" s="193"/>
    </row>
    <row r="744" spans="1:13" x14ac:dyDescent="0.3">
      <c r="A744" s="216"/>
      <c r="B744" s="205"/>
      <c r="C744" s="205"/>
      <c r="D744" s="205"/>
      <c r="E744" s="205"/>
      <c r="F744" s="201"/>
      <c r="H744" s="46"/>
      <c r="I744" s="236"/>
      <c r="J744" s="236"/>
      <c r="K744" s="193"/>
      <c r="L744" s="236"/>
      <c r="M744" s="193"/>
    </row>
    <row r="745" spans="1:13" x14ac:dyDescent="0.3">
      <c r="A745" s="216"/>
      <c r="B745" s="205"/>
      <c r="C745" s="205"/>
      <c r="D745" s="205"/>
      <c r="E745" s="205"/>
      <c r="F745" s="201"/>
      <c r="H745" s="46"/>
      <c r="I745" s="236"/>
      <c r="J745" s="236"/>
      <c r="K745" s="193"/>
      <c r="L745" s="236"/>
      <c r="M745" s="193"/>
    </row>
    <row r="746" spans="1:13" x14ac:dyDescent="0.3">
      <c r="A746" s="216"/>
      <c r="B746" s="205"/>
      <c r="C746" s="205"/>
      <c r="D746" s="205"/>
      <c r="E746" s="205"/>
      <c r="F746" s="201"/>
      <c r="H746" s="46"/>
      <c r="I746" s="236"/>
      <c r="J746" s="236"/>
      <c r="K746" s="193"/>
      <c r="L746" s="236"/>
      <c r="M746" s="193"/>
    </row>
    <row r="747" spans="1:13" x14ac:dyDescent="0.3">
      <c r="A747" s="217"/>
      <c r="B747" s="210"/>
      <c r="C747" s="210"/>
      <c r="D747" s="210"/>
      <c r="E747" s="210"/>
      <c r="F747" s="211"/>
      <c r="H747" s="46"/>
      <c r="I747" s="236"/>
      <c r="J747" s="236"/>
      <c r="K747" s="193"/>
      <c r="L747" s="236"/>
      <c r="M747" s="193"/>
    </row>
    <row r="748" spans="1:13" x14ac:dyDescent="0.3">
      <c r="A748" s="218"/>
      <c r="B748" s="202"/>
      <c r="C748" s="202"/>
      <c r="D748" s="202"/>
      <c r="E748" s="202"/>
      <c r="F748" s="202"/>
      <c r="H748" s="46"/>
      <c r="I748" s="236"/>
      <c r="J748" s="236"/>
      <c r="K748" s="193"/>
      <c r="L748" s="236"/>
      <c r="M748" s="193"/>
    </row>
    <row r="749" spans="1:13" x14ac:dyDescent="0.3">
      <c r="A749" s="218"/>
      <c r="B749" s="202"/>
      <c r="C749" s="202"/>
      <c r="D749" s="202"/>
      <c r="E749" s="202"/>
      <c r="F749" s="202"/>
      <c r="H749" s="46"/>
      <c r="I749" s="236"/>
      <c r="J749" s="236"/>
      <c r="K749" s="193"/>
      <c r="L749" s="236"/>
      <c r="M749" s="193"/>
    </row>
    <row r="750" spans="1:13" x14ac:dyDescent="0.3">
      <c r="A750" s="219"/>
      <c r="B750" s="176"/>
      <c r="C750" s="176"/>
      <c r="D750" s="176"/>
      <c r="E750" s="176"/>
      <c r="F750" s="176"/>
      <c r="H750" s="46"/>
      <c r="I750" s="236"/>
      <c r="J750" s="236"/>
      <c r="K750" s="193"/>
      <c r="L750" s="236"/>
      <c r="M750" s="193"/>
    </row>
    <row r="751" spans="1:13" x14ac:dyDescent="0.3">
      <c r="A751" s="219"/>
      <c r="B751" s="176"/>
      <c r="C751" s="176"/>
      <c r="D751" s="176"/>
      <c r="E751" s="176"/>
      <c r="F751" s="176"/>
      <c r="H751" s="46"/>
      <c r="I751" s="236"/>
      <c r="J751" s="236"/>
      <c r="K751" s="193"/>
      <c r="L751" s="236"/>
      <c r="M751" s="193"/>
    </row>
    <row r="752" spans="1:13" x14ac:dyDescent="0.3">
      <c r="A752" s="220"/>
      <c r="B752" s="176"/>
      <c r="C752" s="176"/>
      <c r="D752" s="176"/>
      <c r="E752" s="176"/>
      <c r="F752" s="176"/>
      <c r="H752" s="46"/>
      <c r="I752" s="236"/>
      <c r="J752" s="236"/>
      <c r="K752" s="193"/>
      <c r="L752" s="236"/>
      <c r="M752" s="193"/>
    </row>
    <row r="753" spans="1:13" x14ac:dyDescent="0.3">
      <c r="A753" s="220"/>
      <c r="B753" s="176"/>
      <c r="C753" s="176"/>
      <c r="D753" s="176"/>
      <c r="E753" s="176"/>
      <c r="F753" s="176"/>
      <c r="H753" s="46"/>
      <c r="I753" s="236"/>
      <c r="J753" s="236"/>
      <c r="K753" s="193"/>
      <c r="L753" s="236"/>
      <c r="M753" s="193"/>
    </row>
    <row r="754" spans="1:13" x14ac:dyDescent="0.3">
      <c r="A754" s="220"/>
      <c r="B754" s="176"/>
      <c r="C754" s="176"/>
      <c r="D754" s="176"/>
      <c r="E754" s="176"/>
      <c r="F754" s="176"/>
      <c r="H754" s="46"/>
      <c r="I754" s="236"/>
      <c r="J754" s="236"/>
      <c r="K754" s="193"/>
      <c r="L754" s="236"/>
      <c r="M754" s="193"/>
    </row>
    <row r="755" spans="1:13" x14ac:dyDescent="0.3">
      <c r="A755" s="220"/>
      <c r="B755" s="176"/>
      <c r="C755" s="176"/>
      <c r="D755" s="176"/>
      <c r="E755" s="176"/>
      <c r="F755" s="176"/>
      <c r="H755" s="46"/>
      <c r="I755" s="236"/>
      <c r="J755" s="236"/>
      <c r="K755" s="193"/>
      <c r="L755" s="236"/>
      <c r="M755" s="193"/>
    </row>
    <row r="756" spans="1:13" x14ac:dyDescent="0.3">
      <c r="A756" s="220"/>
      <c r="B756" s="176"/>
      <c r="C756" s="176"/>
      <c r="D756" s="176"/>
      <c r="E756" s="176"/>
      <c r="F756" s="176"/>
      <c r="H756" s="46"/>
      <c r="I756" s="236"/>
      <c r="J756" s="236"/>
      <c r="K756" s="193"/>
      <c r="L756" s="236"/>
      <c r="M756" s="193"/>
    </row>
    <row r="757" spans="1:13" x14ac:dyDescent="0.3">
      <c r="A757" s="220"/>
      <c r="B757" s="176"/>
      <c r="C757" s="176"/>
      <c r="D757" s="176"/>
      <c r="E757" s="176"/>
      <c r="F757" s="176"/>
      <c r="H757" s="46"/>
      <c r="I757" s="236"/>
      <c r="J757" s="236"/>
      <c r="K757" s="193"/>
      <c r="L757" s="236"/>
      <c r="M757" s="193"/>
    </row>
    <row r="758" spans="1:13" x14ac:dyDescent="0.3">
      <c r="A758" s="220"/>
      <c r="B758" s="176"/>
      <c r="C758" s="176"/>
      <c r="D758" s="176"/>
      <c r="E758" s="176"/>
      <c r="F758" s="176"/>
      <c r="H758" s="46"/>
      <c r="I758" s="236"/>
      <c r="J758" s="236"/>
      <c r="K758" s="193"/>
      <c r="L758" s="236"/>
      <c r="M758" s="193"/>
    </row>
    <row r="759" spans="1:13" x14ac:dyDescent="0.3">
      <c r="A759" s="220"/>
      <c r="B759" s="176"/>
      <c r="C759" s="176"/>
      <c r="D759" s="176"/>
      <c r="E759" s="176"/>
      <c r="F759" s="176"/>
      <c r="H759" s="46"/>
      <c r="I759" s="236"/>
      <c r="J759" s="236"/>
      <c r="K759" s="193"/>
      <c r="L759" s="236"/>
      <c r="M759" s="193"/>
    </row>
    <row r="760" spans="1:13" x14ac:dyDescent="0.3">
      <c r="A760" s="220"/>
      <c r="B760" s="176"/>
      <c r="C760" s="176"/>
      <c r="D760" s="176"/>
      <c r="E760" s="176"/>
      <c r="F760" s="176"/>
      <c r="H760" s="46"/>
      <c r="I760" s="236"/>
      <c r="J760" s="236"/>
      <c r="K760" s="193"/>
      <c r="L760" s="236"/>
      <c r="M760" s="193"/>
    </row>
    <row r="761" spans="1:13" x14ac:dyDescent="0.3">
      <c r="A761" s="220"/>
      <c r="B761" s="176"/>
      <c r="C761" s="176"/>
      <c r="D761" s="176"/>
      <c r="E761" s="176"/>
      <c r="F761" s="176"/>
      <c r="H761" s="46"/>
      <c r="I761" s="236"/>
      <c r="J761" s="236"/>
      <c r="K761" s="193"/>
      <c r="L761" s="236"/>
      <c r="M761" s="193"/>
    </row>
    <row r="762" spans="1:13" x14ac:dyDescent="0.3">
      <c r="A762" s="220"/>
      <c r="B762" s="176"/>
      <c r="C762" s="176"/>
      <c r="D762" s="176"/>
      <c r="E762" s="176"/>
      <c r="F762" s="176"/>
      <c r="H762" s="46"/>
      <c r="I762" s="236"/>
      <c r="J762" s="236"/>
      <c r="K762" s="193"/>
      <c r="L762" s="236"/>
      <c r="M762" s="193"/>
    </row>
    <row r="763" spans="1:13" x14ac:dyDescent="0.3">
      <c r="A763" s="220"/>
      <c r="B763" s="176"/>
      <c r="C763" s="176"/>
      <c r="D763" s="176"/>
      <c r="E763" s="176"/>
      <c r="F763" s="176"/>
      <c r="H763" s="46"/>
      <c r="I763" s="236"/>
      <c r="J763" s="236"/>
      <c r="K763" s="193"/>
      <c r="L763" s="236"/>
      <c r="M763" s="193"/>
    </row>
    <row r="764" spans="1:13" x14ac:dyDescent="0.3">
      <c r="A764" s="220"/>
      <c r="B764" s="176"/>
      <c r="C764" s="176"/>
      <c r="D764" s="176"/>
      <c r="E764" s="176"/>
      <c r="F764" s="176"/>
      <c r="H764" s="46"/>
      <c r="I764" s="236"/>
      <c r="J764" s="236"/>
      <c r="K764" s="193"/>
      <c r="L764" s="236"/>
      <c r="M764" s="193"/>
    </row>
    <row r="765" spans="1:13" x14ac:dyDescent="0.3">
      <c r="A765" s="220"/>
      <c r="B765" s="176"/>
      <c r="C765" s="176"/>
      <c r="D765" s="176"/>
      <c r="E765" s="176"/>
      <c r="F765" s="176"/>
      <c r="H765" s="46"/>
      <c r="I765" s="236"/>
      <c r="J765" s="236"/>
      <c r="K765" s="193"/>
      <c r="L765" s="236"/>
      <c r="M765" s="193"/>
    </row>
    <row r="766" spans="1:13" x14ac:dyDescent="0.3">
      <c r="A766" s="220"/>
      <c r="B766" s="176"/>
      <c r="C766" s="176"/>
      <c r="D766" s="176"/>
      <c r="E766" s="176"/>
      <c r="F766" s="176"/>
      <c r="H766" s="50"/>
      <c r="I766" s="237"/>
      <c r="J766" s="237"/>
      <c r="K766" s="234"/>
      <c r="L766" s="237"/>
      <c r="M766" s="193"/>
    </row>
    <row r="767" spans="1:13" x14ac:dyDescent="0.3">
      <c r="A767" s="220"/>
      <c r="B767" s="176"/>
      <c r="C767" s="176"/>
      <c r="D767" s="176"/>
      <c r="E767" s="176"/>
      <c r="F767" s="176"/>
      <c r="I767" s="238"/>
      <c r="J767" s="238"/>
      <c r="K767" s="235"/>
      <c r="L767" s="238"/>
      <c r="M767" s="259"/>
    </row>
    <row r="768" spans="1:13" x14ac:dyDescent="0.3">
      <c r="A768" s="220"/>
      <c r="B768" s="176"/>
      <c r="C768" s="176"/>
      <c r="D768" s="176"/>
      <c r="E768" s="176"/>
      <c r="F768" s="176"/>
      <c r="I768" s="238"/>
      <c r="J768" s="238"/>
      <c r="K768" s="235"/>
      <c r="L768" s="238"/>
      <c r="M768" s="259"/>
    </row>
    <row r="769" spans="1:13" x14ac:dyDescent="0.3">
      <c r="A769" s="220"/>
      <c r="B769" s="176"/>
      <c r="C769" s="176"/>
      <c r="D769" s="176"/>
      <c r="E769" s="176"/>
      <c r="F769" s="176"/>
      <c r="I769" s="238"/>
      <c r="J769" s="238"/>
      <c r="K769" s="235"/>
      <c r="L769" s="238"/>
      <c r="M769" s="259"/>
    </row>
    <row r="770" spans="1:13" x14ac:dyDescent="0.3">
      <c r="A770" s="220"/>
      <c r="B770" s="176"/>
      <c r="C770" s="176"/>
      <c r="D770" s="176"/>
      <c r="E770" s="176"/>
      <c r="F770" s="176"/>
      <c r="I770" s="238"/>
      <c r="J770" s="238"/>
      <c r="K770" s="235"/>
      <c r="L770" s="238"/>
      <c r="M770" s="259"/>
    </row>
    <row r="771" spans="1:13" x14ac:dyDescent="0.3">
      <c r="A771" s="220"/>
      <c r="B771" s="176"/>
      <c r="C771" s="176"/>
      <c r="D771" s="176"/>
      <c r="E771" s="176"/>
      <c r="F771" s="176"/>
      <c r="I771" s="238"/>
      <c r="J771" s="238"/>
      <c r="K771" s="235"/>
      <c r="L771" s="238"/>
      <c r="M771" s="259"/>
    </row>
    <row r="772" spans="1:13" x14ac:dyDescent="0.3">
      <c r="A772" s="220"/>
      <c r="B772" s="176"/>
      <c r="C772" s="176"/>
      <c r="D772" s="176"/>
      <c r="E772" s="176"/>
      <c r="F772" s="176"/>
      <c r="I772" s="238"/>
      <c r="J772" s="238"/>
      <c r="K772" s="235"/>
      <c r="L772" s="238"/>
      <c r="M772" s="259"/>
    </row>
    <row r="773" spans="1:13" x14ac:dyDescent="0.3">
      <c r="A773" s="220"/>
      <c r="B773" s="176"/>
      <c r="C773" s="176"/>
      <c r="D773" s="176"/>
      <c r="E773" s="176"/>
      <c r="F773" s="176"/>
      <c r="I773" s="238"/>
      <c r="J773" s="238"/>
      <c r="K773" s="235"/>
      <c r="L773" s="238"/>
      <c r="M773" s="259"/>
    </row>
    <row r="774" spans="1:13" x14ac:dyDescent="0.3">
      <c r="A774" s="220"/>
      <c r="B774" s="176"/>
      <c r="C774" s="176"/>
      <c r="D774" s="176"/>
      <c r="E774" s="176"/>
      <c r="F774" s="176"/>
      <c r="I774" s="238"/>
      <c r="J774" s="238"/>
      <c r="K774" s="235"/>
      <c r="L774" s="238"/>
      <c r="M774" s="259"/>
    </row>
    <row r="775" spans="1:13" x14ac:dyDescent="0.3">
      <c r="A775" s="220"/>
      <c r="B775" s="176"/>
      <c r="C775" s="176"/>
      <c r="D775" s="176"/>
      <c r="E775" s="176"/>
      <c r="F775" s="176"/>
      <c r="I775" s="238"/>
      <c r="J775" s="238"/>
      <c r="K775" s="235"/>
      <c r="L775" s="238"/>
      <c r="M775" s="259"/>
    </row>
    <row r="776" spans="1:13" x14ac:dyDescent="0.3">
      <c r="A776" s="220"/>
      <c r="B776" s="176"/>
      <c r="C776" s="176"/>
      <c r="D776" s="176"/>
      <c r="E776" s="176"/>
      <c r="F776" s="176"/>
      <c r="I776" s="238"/>
      <c r="J776" s="238"/>
      <c r="K776" s="235"/>
      <c r="L776" s="238"/>
      <c r="M776" s="259"/>
    </row>
    <row r="777" spans="1:13" x14ac:dyDescent="0.3">
      <c r="A777" s="220"/>
      <c r="B777" s="176"/>
      <c r="C777" s="176"/>
      <c r="D777" s="176"/>
      <c r="E777" s="176"/>
      <c r="F777" s="176"/>
      <c r="I777" s="238"/>
      <c r="J777" s="238"/>
      <c r="K777" s="235"/>
      <c r="L777" s="238"/>
      <c r="M777" s="259"/>
    </row>
    <row r="778" spans="1:13" x14ac:dyDescent="0.3">
      <c r="A778" s="220"/>
      <c r="B778" s="176"/>
      <c r="C778" s="176"/>
      <c r="D778" s="176"/>
      <c r="E778" s="176"/>
      <c r="F778" s="176"/>
      <c r="I778" s="238"/>
      <c r="J778" s="238"/>
      <c r="K778" s="235"/>
      <c r="L778" s="238"/>
      <c r="M778" s="259"/>
    </row>
    <row r="779" spans="1:13" x14ac:dyDescent="0.3">
      <c r="A779" s="220"/>
      <c r="B779" s="176"/>
      <c r="C779" s="176"/>
      <c r="D779" s="176"/>
      <c r="E779" s="176"/>
      <c r="F779" s="176"/>
      <c r="I779" s="238"/>
      <c r="J779" s="238"/>
      <c r="K779" s="235"/>
      <c r="L779" s="238"/>
      <c r="M779" s="259"/>
    </row>
    <row r="780" spans="1:13" x14ac:dyDescent="0.3">
      <c r="A780" s="220"/>
      <c r="B780" s="176"/>
      <c r="C780" s="176"/>
      <c r="D780" s="176"/>
      <c r="E780" s="176"/>
      <c r="F780" s="176"/>
      <c r="I780" s="238"/>
      <c r="J780" s="238"/>
      <c r="K780" s="235"/>
      <c r="L780" s="238"/>
      <c r="M780" s="259"/>
    </row>
    <row r="781" spans="1:13" x14ac:dyDescent="0.3">
      <c r="A781" s="220"/>
      <c r="B781" s="176"/>
      <c r="C781" s="176"/>
      <c r="D781" s="176"/>
      <c r="E781" s="176"/>
      <c r="F781" s="176"/>
      <c r="I781" s="238"/>
      <c r="J781" s="238"/>
      <c r="K781" s="235"/>
      <c r="L781" s="238"/>
      <c r="M781" s="259"/>
    </row>
    <row r="782" spans="1:13" x14ac:dyDescent="0.3">
      <c r="A782" s="220"/>
      <c r="B782" s="176"/>
      <c r="C782" s="176"/>
      <c r="D782" s="176"/>
      <c r="E782" s="176"/>
      <c r="F782" s="176"/>
      <c r="I782" s="238"/>
      <c r="J782" s="238"/>
      <c r="K782" s="235"/>
      <c r="L782" s="238"/>
      <c r="M782" s="259"/>
    </row>
    <row r="783" spans="1:13" x14ac:dyDescent="0.3">
      <c r="A783" s="220"/>
      <c r="B783" s="176"/>
      <c r="C783" s="176"/>
      <c r="D783" s="176"/>
      <c r="E783" s="176"/>
      <c r="F783" s="176"/>
      <c r="I783" s="238"/>
      <c r="J783" s="238"/>
      <c r="K783" s="235"/>
      <c r="L783" s="238"/>
      <c r="M783" s="259"/>
    </row>
    <row r="784" spans="1:13" x14ac:dyDescent="0.3">
      <c r="A784" s="220"/>
      <c r="B784" s="176"/>
      <c r="C784" s="176"/>
      <c r="D784" s="176"/>
      <c r="E784" s="176"/>
      <c r="F784" s="176"/>
      <c r="I784" s="238"/>
      <c r="J784" s="238"/>
      <c r="K784" s="235"/>
      <c r="L784" s="238"/>
      <c r="M784" s="259"/>
    </row>
    <row r="785" spans="1:13" x14ac:dyDescent="0.3">
      <c r="A785" s="220"/>
      <c r="B785" s="176"/>
      <c r="C785" s="176"/>
      <c r="D785" s="176"/>
      <c r="E785" s="176"/>
      <c r="F785" s="176"/>
      <c r="I785" s="238"/>
      <c r="J785" s="238"/>
      <c r="K785" s="235"/>
      <c r="L785" s="238"/>
      <c r="M785" s="259"/>
    </row>
    <row r="786" spans="1:13" x14ac:dyDescent="0.3">
      <c r="A786" s="220"/>
      <c r="B786" s="176"/>
      <c r="C786" s="176"/>
      <c r="D786" s="176"/>
      <c r="E786" s="176"/>
      <c r="F786" s="176"/>
      <c r="I786" s="238"/>
      <c r="J786" s="238"/>
      <c r="K786" s="235"/>
      <c r="L786" s="238"/>
      <c r="M786" s="259"/>
    </row>
    <row r="787" spans="1:13" x14ac:dyDescent="0.3">
      <c r="A787" s="220"/>
      <c r="B787" s="176"/>
      <c r="C787" s="176"/>
      <c r="D787" s="176"/>
      <c r="E787" s="176"/>
      <c r="F787" s="176"/>
      <c r="I787" s="238"/>
      <c r="J787" s="238"/>
      <c r="K787" s="235"/>
      <c r="L787" s="238"/>
      <c r="M787" s="259"/>
    </row>
    <row r="788" spans="1:13" x14ac:dyDescent="0.3">
      <c r="A788" s="220"/>
      <c r="B788" s="176"/>
      <c r="C788" s="176"/>
      <c r="D788" s="176"/>
      <c r="E788" s="176"/>
      <c r="F788" s="176"/>
      <c r="I788" s="238"/>
      <c r="J788" s="238"/>
      <c r="K788" s="235"/>
      <c r="L788" s="238"/>
      <c r="M788" s="259"/>
    </row>
    <row r="789" spans="1:13" x14ac:dyDescent="0.3">
      <c r="A789" s="220"/>
      <c r="B789" s="176"/>
      <c r="C789" s="176"/>
      <c r="D789" s="176"/>
      <c r="E789" s="176"/>
      <c r="F789" s="176"/>
      <c r="I789" s="238"/>
      <c r="J789" s="238"/>
      <c r="K789" s="235"/>
      <c r="L789" s="238"/>
      <c r="M789" s="259"/>
    </row>
    <row r="790" spans="1:13" x14ac:dyDescent="0.3">
      <c r="A790" s="220"/>
      <c r="B790" s="176"/>
      <c r="C790" s="176"/>
      <c r="D790" s="176"/>
      <c r="E790" s="176"/>
      <c r="F790" s="176"/>
      <c r="I790" s="238"/>
      <c r="J790" s="238"/>
      <c r="K790" s="235"/>
      <c r="L790" s="238"/>
      <c r="M790" s="259"/>
    </row>
    <row r="791" spans="1:13" x14ac:dyDescent="0.3">
      <c r="A791" s="220"/>
      <c r="B791" s="176"/>
      <c r="C791" s="176"/>
      <c r="D791" s="176"/>
      <c r="E791" s="176"/>
      <c r="F791" s="176"/>
      <c r="I791" s="238"/>
      <c r="J791" s="238"/>
      <c r="K791" s="235"/>
      <c r="L791" s="238"/>
      <c r="M791" s="259"/>
    </row>
    <row r="792" spans="1:13" x14ac:dyDescent="0.3">
      <c r="A792" s="220"/>
      <c r="B792" s="176"/>
      <c r="C792" s="176"/>
      <c r="D792" s="176"/>
      <c r="E792" s="176"/>
      <c r="F792" s="176"/>
      <c r="I792" s="238"/>
      <c r="J792" s="238"/>
      <c r="K792" s="235"/>
      <c r="L792" s="238"/>
      <c r="M792" s="259"/>
    </row>
    <row r="793" spans="1:13" x14ac:dyDescent="0.3">
      <c r="A793" s="220"/>
      <c r="B793" s="176"/>
      <c r="C793" s="176"/>
      <c r="D793" s="176"/>
      <c r="E793" s="176"/>
      <c r="F793" s="176"/>
      <c r="I793" s="238"/>
      <c r="J793" s="238"/>
      <c r="K793" s="235"/>
      <c r="L793" s="238"/>
      <c r="M793" s="259"/>
    </row>
    <row r="794" spans="1:13" x14ac:dyDescent="0.3">
      <c r="A794" s="220"/>
      <c r="B794" s="176"/>
      <c r="C794" s="176"/>
      <c r="D794" s="176"/>
      <c r="E794" s="176"/>
      <c r="F794" s="176"/>
      <c r="I794" s="238"/>
      <c r="J794" s="238"/>
      <c r="K794" s="235"/>
      <c r="L794" s="238"/>
      <c r="M794" s="259"/>
    </row>
    <row r="795" spans="1:13" x14ac:dyDescent="0.3">
      <c r="A795" s="220"/>
      <c r="B795" s="176"/>
      <c r="C795" s="176"/>
      <c r="D795" s="176"/>
      <c r="E795" s="176"/>
      <c r="F795" s="176"/>
      <c r="I795" s="238"/>
      <c r="J795" s="238"/>
      <c r="K795" s="235"/>
      <c r="L795" s="238"/>
      <c r="M795" s="259"/>
    </row>
    <row r="796" spans="1:13" x14ac:dyDescent="0.3">
      <c r="A796" s="220"/>
      <c r="B796" s="55"/>
      <c r="C796" s="55"/>
      <c r="D796" s="55"/>
      <c r="E796" s="176"/>
      <c r="F796" s="55"/>
      <c r="I796" s="238"/>
      <c r="J796" s="238"/>
      <c r="K796" s="235"/>
      <c r="L796" s="238"/>
      <c r="M796" s="259"/>
    </row>
    <row r="797" spans="1:13" x14ac:dyDescent="0.3">
      <c r="A797" s="220"/>
      <c r="B797" s="55"/>
      <c r="C797" s="55"/>
      <c r="D797" s="55"/>
      <c r="E797" s="176"/>
      <c r="F797" s="55"/>
      <c r="I797" s="238"/>
      <c r="J797" s="238"/>
      <c r="K797" s="235"/>
      <c r="L797" s="238"/>
      <c r="M797" s="259"/>
    </row>
    <row r="798" spans="1:13" x14ac:dyDescent="0.3">
      <c r="A798" s="220"/>
      <c r="B798" s="55"/>
      <c r="C798" s="55"/>
      <c r="D798" s="55"/>
      <c r="E798" s="176"/>
      <c r="F798" s="55"/>
      <c r="I798" s="238"/>
      <c r="J798" s="238"/>
      <c r="K798" s="235"/>
      <c r="L798" s="238"/>
      <c r="M798" s="259"/>
    </row>
    <row r="799" spans="1:13" x14ac:dyDescent="0.3">
      <c r="A799" s="220"/>
      <c r="B799" s="55"/>
      <c r="C799" s="55"/>
      <c r="D799" s="55"/>
      <c r="E799" s="176"/>
      <c r="F799" s="55"/>
      <c r="I799" s="238"/>
      <c r="J799" s="238"/>
      <c r="K799" s="235"/>
      <c r="L799" s="238"/>
      <c r="M799" s="259"/>
    </row>
    <row r="800" spans="1:13" x14ac:dyDescent="0.3">
      <c r="A800" s="220"/>
      <c r="B800" s="55"/>
      <c r="C800" s="55"/>
      <c r="D800" s="55"/>
      <c r="E800" s="176"/>
      <c r="F800" s="55"/>
      <c r="I800" s="238"/>
      <c r="J800" s="238"/>
      <c r="K800" s="235"/>
      <c r="L800" s="238"/>
      <c r="M800" s="259"/>
    </row>
    <row r="801" spans="1:13" x14ac:dyDescent="0.3">
      <c r="A801" s="220"/>
      <c r="B801" s="55"/>
      <c r="C801" s="55"/>
      <c r="D801" s="55"/>
      <c r="E801" s="176"/>
      <c r="F801" s="55"/>
      <c r="I801" s="238"/>
      <c r="J801" s="238"/>
      <c r="K801" s="235"/>
      <c r="L801" s="238"/>
      <c r="M801" s="259"/>
    </row>
    <row r="802" spans="1:13" x14ac:dyDescent="0.3">
      <c r="A802" s="220"/>
      <c r="B802" s="55"/>
      <c r="C802" s="55"/>
      <c r="D802" s="55"/>
      <c r="E802" s="176"/>
      <c r="F802" s="55"/>
      <c r="I802" s="238"/>
      <c r="J802" s="238"/>
      <c r="K802" s="235"/>
      <c r="L802" s="238"/>
      <c r="M802" s="259"/>
    </row>
    <row r="803" spans="1:13" x14ac:dyDescent="0.3">
      <c r="A803" s="220"/>
      <c r="B803" s="55"/>
      <c r="C803" s="55"/>
      <c r="D803" s="55"/>
      <c r="E803" s="176"/>
      <c r="F803" s="55"/>
      <c r="I803" s="238"/>
      <c r="J803" s="238"/>
      <c r="K803" s="235"/>
      <c r="L803" s="238"/>
      <c r="M803" s="259"/>
    </row>
    <row r="804" spans="1:13" x14ac:dyDescent="0.3">
      <c r="A804" s="220"/>
      <c r="B804" s="55"/>
      <c r="C804" s="55"/>
      <c r="D804" s="55"/>
      <c r="E804" s="176"/>
      <c r="F804" s="55"/>
      <c r="I804" s="238"/>
      <c r="J804" s="238"/>
      <c r="K804" s="235"/>
      <c r="L804" s="238"/>
      <c r="M804" s="259"/>
    </row>
    <row r="805" spans="1:13" x14ac:dyDescent="0.3">
      <c r="A805" s="220"/>
      <c r="B805" s="55"/>
      <c r="C805" s="55"/>
      <c r="D805" s="55"/>
      <c r="E805" s="176"/>
      <c r="F805" s="55"/>
      <c r="I805" s="238"/>
      <c r="J805" s="238"/>
      <c r="K805" s="235"/>
      <c r="L805" s="238"/>
      <c r="M805" s="259"/>
    </row>
    <row r="806" spans="1:13" x14ac:dyDescent="0.3">
      <c r="A806" s="220"/>
      <c r="B806" s="55"/>
      <c r="C806" s="55"/>
      <c r="D806" s="55"/>
      <c r="E806" s="176"/>
      <c r="F806" s="55"/>
      <c r="I806" s="238"/>
      <c r="J806" s="238"/>
      <c r="K806" s="235"/>
      <c r="L806" s="238"/>
      <c r="M806" s="259"/>
    </row>
    <row r="807" spans="1:13" x14ac:dyDescent="0.3">
      <c r="A807" s="220"/>
      <c r="B807" s="55"/>
      <c r="C807" s="55"/>
      <c r="D807" s="55"/>
      <c r="E807" s="176"/>
      <c r="F807" s="55"/>
      <c r="I807" s="238"/>
      <c r="J807" s="238"/>
      <c r="K807" s="235"/>
      <c r="L807" s="238"/>
      <c r="M807" s="259"/>
    </row>
    <row r="808" spans="1:13" x14ac:dyDescent="0.3">
      <c r="A808" s="220"/>
      <c r="B808" s="55"/>
      <c r="C808" s="55"/>
      <c r="D808" s="55"/>
      <c r="E808" s="176"/>
      <c r="F808" s="55"/>
      <c r="I808" s="238"/>
      <c r="J808" s="238"/>
      <c r="K808" s="235"/>
      <c r="L808" s="238"/>
      <c r="M808" s="259"/>
    </row>
    <row r="809" spans="1:13" x14ac:dyDescent="0.3">
      <c r="A809" s="220"/>
      <c r="B809" s="55"/>
      <c r="C809" s="55"/>
      <c r="D809" s="55"/>
      <c r="E809" s="176"/>
      <c r="F809" s="55"/>
      <c r="I809" s="238"/>
      <c r="J809" s="238"/>
      <c r="K809" s="235"/>
      <c r="L809" s="238"/>
      <c r="M809" s="259"/>
    </row>
    <row r="810" spans="1:13" x14ac:dyDescent="0.3">
      <c r="A810" s="220"/>
      <c r="B810" s="55"/>
      <c r="C810" s="55"/>
      <c r="D810" s="55"/>
      <c r="E810" s="176"/>
      <c r="F810" s="55"/>
      <c r="I810" s="238"/>
      <c r="J810" s="238"/>
      <c r="K810" s="235"/>
      <c r="L810" s="238"/>
      <c r="M810" s="259"/>
    </row>
    <row r="811" spans="1:13" x14ac:dyDescent="0.3">
      <c r="A811" s="220"/>
      <c r="B811" s="55"/>
      <c r="C811" s="55"/>
      <c r="D811" s="55"/>
      <c r="E811" s="176"/>
      <c r="F811" s="55"/>
      <c r="I811" s="238"/>
      <c r="J811" s="238"/>
      <c r="K811" s="235"/>
      <c r="L811" s="238"/>
      <c r="M811" s="259"/>
    </row>
    <row r="812" spans="1:13" x14ac:dyDescent="0.3">
      <c r="A812" s="220"/>
      <c r="B812" s="55"/>
      <c r="C812" s="55"/>
      <c r="D812" s="55"/>
      <c r="E812" s="176"/>
      <c r="F812" s="55"/>
      <c r="I812" s="238"/>
      <c r="J812" s="238"/>
      <c r="K812" s="235"/>
      <c r="L812" s="238"/>
      <c r="M812" s="259"/>
    </row>
    <row r="813" spans="1:13" x14ac:dyDescent="0.3">
      <c r="A813" s="220"/>
      <c r="B813" s="55"/>
      <c r="C813" s="55"/>
      <c r="D813" s="55"/>
      <c r="E813" s="176"/>
      <c r="F813" s="55"/>
      <c r="I813" s="238"/>
      <c r="J813" s="238"/>
      <c r="K813" s="235"/>
      <c r="L813" s="238"/>
      <c r="M813" s="259"/>
    </row>
    <row r="814" spans="1:13" x14ac:dyDescent="0.3">
      <c r="A814" s="220"/>
      <c r="B814" s="55"/>
      <c r="C814" s="55"/>
      <c r="D814" s="55"/>
      <c r="E814" s="176"/>
      <c r="F814" s="55"/>
      <c r="I814" s="238"/>
      <c r="J814" s="238"/>
      <c r="K814" s="235"/>
      <c r="L814" s="238"/>
      <c r="M814" s="259"/>
    </row>
    <row r="815" spans="1:13" x14ac:dyDescent="0.3">
      <c r="A815" s="220"/>
      <c r="B815" s="55"/>
      <c r="C815" s="55"/>
      <c r="D815" s="55"/>
      <c r="E815" s="176"/>
      <c r="F815" s="55"/>
      <c r="I815" s="238"/>
      <c r="J815" s="238"/>
      <c r="K815" s="235"/>
      <c r="L815" s="238"/>
      <c r="M815" s="259"/>
    </row>
    <row r="816" spans="1:13" x14ac:dyDescent="0.3">
      <c r="A816" s="220"/>
      <c r="B816" s="55"/>
      <c r="C816" s="55"/>
      <c r="D816" s="55"/>
      <c r="E816" s="176"/>
      <c r="F816" s="55"/>
      <c r="I816" s="238"/>
      <c r="J816" s="238"/>
      <c r="K816" s="235"/>
      <c r="L816" s="238"/>
      <c r="M816" s="259"/>
    </row>
    <row r="817" spans="1:13" x14ac:dyDescent="0.3">
      <c r="A817" s="220"/>
      <c r="B817" s="55"/>
      <c r="C817" s="55"/>
      <c r="D817" s="55"/>
      <c r="E817" s="176"/>
      <c r="F817" s="55"/>
      <c r="I817" s="238"/>
      <c r="J817" s="238"/>
      <c r="K817" s="235"/>
      <c r="L817" s="238"/>
      <c r="M817" s="259"/>
    </row>
    <row r="818" spans="1:13" x14ac:dyDescent="0.3">
      <c r="A818" s="220"/>
      <c r="B818" s="55"/>
      <c r="C818" s="55"/>
      <c r="D818" s="55"/>
      <c r="E818" s="176"/>
      <c r="F818" s="55"/>
      <c r="I818" s="238"/>
      <c r="J818" s="238"/>
      <c r="K818" s="235"/>
      <c r="L818" s="238"/>
      <c r="M818" s="259"/>
    </row>
    <row r="819" spans="1:13" x14ac:dyDescent="0.3">
      <c r="A819" s="220"/>
      <c r="B819" s="55"/>
      <c r="C819" s="55"/>
      <c r="D819" s="55"/>
      <c r="E819" s="176"/>
      <c r="F819" s="55"/>
      <c r="I819" s="238"/>
      <c r="J819" s="238"/>
      <c r="K819" s="235"/>
      <c r="L819" s="238"/>
      <c r="M819" s="235"/>
    </row>
    <row r="820" spans="1:13" x14ac:dyDescent="0.3">
      <c r="A820" s="220"/>
      <c r="B820" s="55"/>
      <c r="C820" s="55"/>
      <c r="D820" s="55"/>
      <c r="E820" s="176"/>
      <c r="F820" s="55"/>
      <c r="I820" s="238"/>
      <c r="J820" s="238"/>
      <c r="K820" s="235"/>
      <c r="L820" s="238"/>
      <c r="M820" s="235"/>
    </row>
    <row r="821" spans="1:13" x14ac:dyDescent="0.3">
      <c r="A821" s="220"/>
      <c r="B821" s="55"/>
      <c r="C821" s="55"/>
      <c r="D821" s="55"/>
      <c r="E821" s="176"/>
      <c r="F821" s="55"/>
      <c r="I821" s="238"/>
      <c r="J821" s="238"/>
      <c r="K821" s="235"/>
      <c r="L821" s="238"/>
      <c r="M821" s="235"/>
    </row>
    <row r="822" spans="1:13" x14ac:dyDescent="0.3">
      <c r="A822" s="220"/>
      <c r="B822" s="55"/>
      <c r="C822" s="55"/>
      <c r="D822" s="55"/>
      <c r="E822" s="176"/>
      <c r="F822" s="55"/>
      <c r="I822" s="238"/>
      <c r="J822" s="238"/>
      <c r="K822" s="235"/>
      <c r="L822" s="238"/>
      <c r="M822" s="235"/>
    </row>
    <row r="823" spans="1:13" x14ac:dyDescent="0.3">
      <c r="A823" s="220"/>
      <c r="B823" s="55"/>
      <c r="C823" s="55"/>
      <c r="D823" s="55"/>
      <c r="E823" s="176"/>
      <c r="F823" s="55"/>
      <c r="I823" s="238"/>
      <c r="J823" s="238"/>
      <c r="K823" s="235"/>
      <c r="L823" s="238"/>
      <c r="M823" s="235"/>
    </row>
    <row r="824" spans="1:13" x14ac:dyDescent="0.3">
      <c r="A824" s="220"/>
      <c r="B824" s="55"/>
      <c r="C824" s="55"/>
      <c r="D824" s="55"/>
      <c r="E824" s="176"/>
      <c r="F824" s="55"/>
      <c r="I824" s="238"/>
      <c r="J824" s="238"/>
      <c r="K824" s="235"/>
      <c r="L824" s="238"/>
      <c r="M824" s="235"/>
    </row>
    <row r="825" spans="1:13" x14ac:dyDescent="0.3">
      <c r="A825" s="220"/>
      <c r="B825" s="55"/>
      <c r="C825" s="55"/>
      <c r="D825" s="55"/>
      <c r="E825" s="176"/>
      <c r="F825" s="55"/>
      <c r="I825" s="238"/>
      <c r="J825" s="238"/>
      <c r="K825" s="235"/>
      <c r="L825" s="238"/>
      <c r="M825" s="235"/>
    </row>
    <row r="826" spans="1:13" x14ac:dyDescent="0.3">
      <c r="A826" s="220"/>
      <c r="B826" s="55"/>
      <c r="C826" s="55"/>
      <c r="D826" s="55"/>
      <c r="E826" s="176"/>
      <c r="F826" s="55"/>
      <c r="I826" s="238"/>
      <c r="J826" s="238"/>
      <c r="K826" s="235"/>
      <c r="L826" s="238"/>
      <c r="M826" s="235"/>
    </row>
    <row r="827" spans="1:13" x14ac:dyDescent="0.3">
      <c r="A827" s="220"/>
      <c r="B827" s="55"/>
      <c r="C827" s="55"/>
      <c r="D827" s="55"/>
      <c r="E827" s="176"/>
      <c r="F827" s="55"/>
      <c r="I827" s="238"/>
      <c r="J827" s="238"/>
      <c r="K827" s="235"/>
      <c r="L827" s="238"/>
      <c r="M827" s="235"/>
    </row>
    <row r="828" spans="1:13" x14ac:dyDescent="0.3">
      <c r="A828" s="220"/>
      <c r="B828" s="55"/>
      <c r="C828" s="55"/>
      <c r="D828" s="55"/>
      <c r="E828" s="176"/>
      <c r="F828" s="55"/>
      <c r="I828" s="238"/>
      <c r="J828" s="238"/>
      <c r="K828" s="235"/>
      <c r="L828" s="238"/>
      <c r="M828" s="235"/>
    </row>
    <row r="829" spans="1:13" x14ac:dyDescent="0.3">
      <c r="A829" s="220"/>
      <c r="B829" s="55"/>
      <c r="C829" s="55"/>
      <c r="D829" s="55"/>
      <c r="E829" s="176"/>
      <c r="F829" s="55"/>
      <c r="I829" s="238"/>
      <c r="J829" s="238"/>
      <c r="K829" s="235"/>
      <c r="L829" s="238"/>
      <c r="M829" s="235"/>
    </row>
    <row r="830" spans="1:13" x14ac:dyDescent="0.3">
      <c r="A830" s="220"/>
      <c r="B830" s="55"/>
      <c r="C830" s="55"/>
      <c r="D830" s="55"/>
      <c r="E830" s="176"/>
      <c r="F830" s="55"/>
      <c r="I830" s="238"/>
      <c r="J830" s="238"/>
      <c r="K830" s="235"/>
      <c r="L830" s="238"/>
      <c r="M830" s="235"/>
    </row>
    <row r="831" spans="1:13" x14ac:dyDescent="0.3">
      <c r="A831" s="220"/>
      <c r="B831" s="55"/>
      <c r="C831" s="55"/>
      <c r="D831" s="55"/>
      <c r="E831" s="176"/>
      <c r="F831" s="55"/>
      <c r="I831" s="238"/>
      <c r="J831" s="238"/>
      <c r="K831" s="235"/>
      <c r="L831" s="238"/>
      <c r="M831" s="235"/>
    </row>
    <row r="832" spans="1:13" x14ac:dyDescent="0.3">
      <c r="A832" s="220"/>
      <c r="B832" s="55"/>
      <c r="C832" s="55"/>
      <c r="D832" s="55"/>
      <c r="E832" s="176"/>
      <c r="F832" s="55"/>
      <c r="I832" s="238"/>
      <c r="J832" s="238"/>
      <c r="K832" s="235"/>
      <c r="L832" s="238"/>
      <c r="M832" s="235"/>
    </row>
    <row r="833" spans="1:13" x14ac:dyDescent="0.3">
      <c r="A833" s="220"/>
      <c r="B833" s="55"/>
      <c r="C833" s="55"/>
      <c r="D833" s="55"/>
      <c r="E833" s="176"/>
      <c r="F833" s="55"/>
      <c r="I833" s="238"/>
      <c r="J833" s="238"/>
      <c r="K833" s="235"/>
      <c r="L833" s="238"/>
      <c r="M833" s="235"/>
    </row>
    <row r="834" spans="1:13" x14ac:dyDescent="0.3">
      <c r="A834" s="220"/>
      <c r="B834" s="55"/>
      <c r="C834" s="55"/>
      <c r="D834" s="55"/>
      <c r="E834" s="176"/>
      <c r="F834" s="55"/>
      <c r="I834" s="238"/>
      <c r="J834" s="238"/>
      <c r="K834" s="235"/>
      <c r="L834" s="238"/>
      <c r="M834" s="235"/>
    </row>
    <row r="835" spans="1:13" x14ac:dyDescent="0.3">
      <c r="A835" s="220"/>
      <c r="B835" s="55"/>
      <c r="C835" s="55"/>
      <c r="D835" s="55"/>
      <c r="E835" s="176"/>
      <c r="F835" s="55"/>
      <c r="I835" s="238"/>
      <c r="J835" s="238"/>
      <c r="K835" s="235"/>
      <c r="L835" s="238"/>
      <c r="M835" s="235"/>
    </row>
    <row r="836" spans="1:13" x14ac:dyDescent="0.3">
      <c r="A836" s="220"/>
      <c r="B836" s="55"/>
      <c r="C836" s="55"/>
      <c r="D836" s="55"/>
      <c r="E836" s="176"/>
      <c r="F836" s="55"/>
      <c r="I836" s="238"/>
      <c r="J836" s="238"/>
      <c r="K836" s="235"/>
      <c r="L836" s="238"/>
      <c r="M836" s="235"/>
    </row>
    <row r="837" spans="1:13" x14ac:dyDescent="0.3">
      <c r="A837" s="220"/>
      <c r="B837" s="55"/>
      <c r="C837" s="55"/>
      <c r="D837" s="55"/>
      <c r="E837" s="176"/>
      <c r="F837" s="55"/>
      <c r="I837" s="238"/>
      <c r="J837" s="238"/>
      <c r="K837" s="235"/>
      <c r="L837" s="238"/>
      <c r="M837" s="235"/>
    </row>
    <row r="838" spans="1:13" x14ac:dyDescent="0.3">
      <c r="A838" s="220"/>
      <c r="B838" s="55"/>
      <c r="C838" s="55"/>
      <c r="D838" s="55"/>
      <c r="E838" s="176"/>
      <c r="F838" s="55"/>
      <c r="I838" s="238"/>
      <c r="J838" s="238"/>
      <c r="K838" s="235"/>
      <c r="L838" s="238"/>
      <c r="M838" s="235"/>
    </row>
    <row r="839" spans="1:13" x14ac:dyDescent="0.3">
      <c r="A839" s="220"/>
      <c r="B839" s="55"/>
      <c r="C839" s="55"/>
      <c r="D839" s="55"/>
      <c r="E839" s="176"/>
      <c r="F839" s="55"/>
      <c r="I839" s="238"/>
      <c r="J839" s="238"/>
      <c r="K839" s="235"/>
      <c r="L839" s="238"/>
      <c r="M839" s="235"/>
    </row>
    <row r="840" spans="1:13" x14ac:dyDescent="0.3">
      <c r="A840" s="220"/>
      <c r="B840" s="55"/>
      <c r="C840" s="55"/>
      <c r="D840" s="55"/>
      <c r="E840" s="176"/>
      <c r="F840" s="55"/>
      <c r="I840" s="238"/>
      <c r="J840" s="238"/>
      <c r="K840" s="235"/>
      <c r="L840" s="238"/>
      <c r="M840" s="235"/>
    </row>
    <row r="841" spans="1:13" x14ac:dyDescent="0.3">
      <c r="A841" s="220"/>
      <c r="B841" s="55"/>
      <c r="C841" s="55"/>
      <c r="D841" s="55"/>
      <c r="E841" s="176"/>
      <c r="F841" s="55"/>
      <c r="I841" s="238"/>
      <c r="J841" s="238"/>
      <c r="K841" s="235"/>
      <c r="L841" s="238"/>
      <c r="M841" s="235"/>
    </row>
    <row r="842" spans="1:13" x14ac:dyDescent="0.3">
      <c r="A842" s="220"/>
      <c r="B842" s="55"/>
      <c r="C842" s="55"/>
      <c r="D842" s="55"/>
      <c r="E842" s="176"/>
      <c r="F842" s="55"/>
      <c r="I842" s="238"/>
      <c r="J842" s="238"/>
      <c r="K842" s="235"/>
      <c r="L842" s="238"/>
      <c r="M842" s="235"/>
    </row>
    <row r="843" spans="1:13" x14ac:dyDescent="0.3">
      <c r="A843" s="220"/>
      <c r="B843" s="55"/>
      <c r="C843" s="55"/>
      <c r="D843" s="55"/>
      <c r="E843" s="176"/>
      <c r="F843" s="55"/>
      <c r="I843" s="238"/>
      <c r="J843" s="238"/>
      <c r="K843" s="235"/>
      <c r="L843" s="238"/>
      <c r="M843" s="235"/>
    </row>
    <row r="844" spans="1:13" x14ac:dyDescent="0.3">
      <c r="A844" s="220"/>
      <c r="B844" s="55"/>
      <c r="C844" s="55"/>
      <c r="D844" s="55"/>
      <c r="E844" s="176"/>
      <c r="F844" s="55"/>
      <c r="I844" s="238"/>
      <c r="J844" s="238"/>
      <c r="K844" s="235"/>
      <c r="L844" s="238"/>
      <c r="M844" s="235"/>
    </row>
    <row r="845" spans="1:13" x14ac:dyDescent="0.3">
      <c r="A845" s="220"/>
      <c r="B845" s="55"/>
      <c r="C845" s="55"/>
      <c r="D845" s="55"/>
      <c r="E845" s="176"/>
      <c r="F845" s="55"/>
      <c r="I845" s="238"/>
      <c r="J845" s="238"/>
      <c r="K845" s="235"/>
      <c r="L845" s="238"/>
      <c r="M845" s="235"/>
    </row>
    <row r="846" spans="1:13" x14ac:dyDescent="0.3">
      <c r="A846" s="220"/>
      <c r="B846" s="55"/>
      <c r="C846" s="55"/>
      <c r="D846" s="55"/>
      <c r="E846" s="176"/>
      <c r="F846" s="55"/>
      <c r="I846" s="238"/>
      <c r="J846" s="238"/>
      <c r="K846" s="235"/>
      <c r="L846" s="238"/>
      <c r="M846" s="235"/>
    </row>
    <row r="847" spans="1:13" x14ac:dyDescent="0.3">
      <c r="A847" s="220"/>
      <c r="B847" s="55"/>
      <c r="C847" s="55"/>
      <c r="D847" s="55"/>
      <c r="E847" s="176"/>
      <c r="F847" s="55"/>
      <c r="I847" s="238"/>
      <c r="J847" s="238"/>
      <c r="K847" s="235"/>
      <c r="L847" s="238"/>
      <c r="M847" s="235"/>
    </row>
    <row r="848" spans="1:13" x14ac:dyDescent="0.3">
      <c r="A848" s="220"/>
      <c r="B848" s="55"/>
      <c r="C848" s="55"/>
      <c r="D848" s="55"/>
      <c r="E848" s="176"/>
      <c r="F848" s="55"/>
      <c r="I848" s="238"/>
      <c r="J848" s="238"/>
      <c r="K848" s="235"/>
      <c r="L848" s="238"/>
      <c r="M848" s="235"/>
    </row>
    <row r="849" spans="1:13" x14ac:dyDescent="0.3">
      <c r="A849" s="220"/>
      <c r="B849" s="55"/>
      <c r="C849" s="55"/>
      <c r="D849" s="55"/>
      <c r="E849" s="176"/>
      <c r="F849" s="55"/>
      <c r="I849" s="238"/>
      <c r="J849" s="238"/>
      <c r="K849" s="235"/>
      <c r="L849" s="238"/>
      <c r="M849" s="235"/>
    </row>
    <row r="850" spans="1:13" x14ac:dyDescent="0.3">
      <c r="A850" s="220"/>
      <c r="B850" s="55"/>
      <c r="C850" s="55"/>
      <c r="D850" s="55"/>
      <c r="E850" s="176"/>
      <c r="F850" s="55"/>
      <c r="I850" s="238"/>
      <c r="J850" s="238"/>
      <c r="K850" s="235"/>
      <c r="L850" s="238"/>
      <c r="M850" s="235"/>
    </row>
    <row r="851" spans="1:13" x14ac:dyDescent="0.3">
      <c r="A851" s="220"/>
      <c r="B851" s="55"/>
      <c r="C851" s="55"/>
      <c r="D851" s="55"/>
      <c r="E851" s="176"/>
      <c r="F851" s="55"/>
      <c r="I851" s="238"/>
      <c r="J851" s="238"/>
      <c r="K851" s="235"/>
      <c r="L851" s="238"/>
      <c r="M851" s="235"/>
    </row>
    <row r="852" spans="1:13" x14ac:dyDescent="0.3">
      <c r="A852" s="220"/>
      <c r="B852" s="55"/>
      <c r="C852" s="55"/>
      <c r="D852" s="55"/>
      <c r="E852" s="176"/>
      <c r="F852" s="55"/>
      <c r="I852" s="238"/>
      <c r="J852" s="238"/>
      <c r="K852" s="235"/>
      <c r="L852" s="238"/>
      <c r="M852" s="235"/>
    </row>
    <row r="853" spans="1:13" x14ac:dyDescent="0.3">
      <c r="A853" s="220"/>
      <c r="B853" s="55"/>
      <c r="C853" s="55"/>
      <c r="D853" s="55"/>
      <c r="E853" s="176"/>
      <c r="F853" s="55"/>
      <c r="I853" s="238"/>
      <c r="J853" s="238"/>
      <c r="K853" s="235"/>
      <c r="L853" s="238"/>
      <c r="M853" s="235"/>
    </row>
    <row r="854" spans="1:13" x14ac:dyDescent="0.3">
      <c r="A854" s="220"/>
      <c r="B854" s="55"/>
      <c r="C854" s="55"/>
      <c r="D854" s="55"/>
      <c r="E854" s="176"/>
      <c r="F854" s="55"/>
      <c r="I854" s="238"/>
      <c r="J854" s="238"/>
      <c r="K854" s="235"/>
      <c r="L854" s="238"/>
      <c r="M854" s="235"/>
    </row>
    <row r="855" spans="1:13" x14ac:dyDescent="0.3">
      <c r="A855" s="220"/>
      <c r="B855" s="55"/>
      <c r="C855" s="55"/>
      <c r="D855" s="55"/>
      <c r="E855" s="176"/>
      <c r="F855" s="55"/>
      <c r="I855" s="238"/>
      <c r="J855" s="238"/>
      <c r="K855" s="235"/>
      <c r="L855" s="241"/>
      <c r="M855" s="235"/>
    </row>
    <row r="856" spans="1:13" x14ac:dyDescent="0.3">
      <c r="A856" s="220"/>
      <c r="B856" s="55"/>
      <c r="C856" s="55"/>
      <c r="D856" s="55"/>
      <c r="E856" s="176"/>
      <c r="F856" s="55"/>
      <c r="I856" s="238"/>
      <c r="J856" s="238"/>
      <c r="K856" s="235"/>
      <c r="L856" s="235"/>
      <c r="M856" s="235"/>
    </row>
    <row r="857" spans="1:13" x14ac:dyDescent="0.3">
      <c r="A857" s="220"/>
      <c r="B857" s="55"/>
      <c r="C857" s="55"/>
      <c r="D857" s="55"/>
      <c r="E857" s="176"/>
      <c r="F857" s="55"/>
      <c r="I857" s="238"/>
      <c r="J857" s="238"/>
      <c r="K857" s="235"/>
      <c r="L857" s="235"/>
      <c r="M857" s="235"/>
    </row>
    <row r="858" spans="1:13" x14ac:dyDescent="0.3">
      <c r="A858" s="220"/>
      <c r="B858" s="55"/>
      <c r="C858" s="55"/>
      <c r="D858" s="55"/>
      <c r="E858" s="176"/>
      <c r="F858" s="55"/>
      <c r="I858" s="238"/>
      <c r="J858" s="238"/>
      <c r="K858" s="235"/>
      <c r="L858" s="235"/>
      <c r="M858" s="235"/>
    </row>
    <row r="859" spans="1:13" x14ac:dyDescent="0.3">
      <c r="A859" s="220"/>
      <c r="B859" s="55"/>
      <c r="C859" s="55"/>
      <c r="D859" s="55"/>
      <c r="E859" s="176"/>
      <c r="F859" s="55"/>
      <c r="I859" s="238"/>
      <c r="J859" s="238"/>
      <c r="K859" s="235"/>
      <c r="L859" s="235"/>
      <c r="M859" s="235"/>
    </row>
    <row r="860" spans="1:13" x14ac:dyDescent="0.3">
      <c r="A860" s="220"/>
      <c r="B860" s="55"/>
      <c r="C860" s="55"/>
      <c r="D860" s="55"/>
      <c r="E860" s="176"/>
      <c r="F860" s="55"/>
      <c r="I860" s="238"/>
      <c r="J860" s="238"/>
      <c r="K860" s="235"/>
      <c r="L860" s="235"/>
      <c r="M860" s="235"/>
    </row>
    <row r="861" spans="1:13" x14ac:dyDescent="0.3">
      <c r="A861" s="220"/>
      <c r="B861" s="55"/>
      <c r="C861" s="55"/>
      <c r="D861" s="55"/>
      <c r="E861" s="176"/>
      <c r="F861" s="55"/>
      <c r="I861" s="238"/>
      <c r="J861" s="238"/>
      <c r="K861" s="235"/>
      <c r="L861" s="235"/>
      <c r="M861" s="235"/>
    </row>
    <row r="862" spans="1:13" x14ac:dyDescent="0.3">
      <c r="A862" s="220"/>
      <c r="B862" s="55"/>
      <c r="C862" s="55"/>
      <c r="D862" s="55"/>
      <c r="E862" s="176"/>
      <c r="F862" s="55"/>
      <c r="I862" s="238"/>
      <c r="J862" s="238"/>
      <c r="K862" s="235"/>
      <c r="L862" s="235"/>
      <c r="M862" s="235"/>
    </row>
    <row r="863" spans="1:13" x14ac:dyDescent="0.3">
      <c r="A863" s="220"/>
      <c r="B863" s="55"/>
      <c r="C863" s="55"/>
      <c r="D863" s="55"/>
      <c r="E863" s="176"/>
      <c r="F863" s="55"/>
      <c r="I863" s="238"/>
      <c r="J863" s="238"/>
      <c r="K863" s="235"/>
      <c r="L863" s="235"/>
      <c r="M863" s="235"/>
    </row>
    <row r="864" spans="1:13" x14ac:dyDescent="0.3">
      <c r="A864" s="220"/>
      <c r="B864" s="55"/>
      <c r="C864" s="55"/>
      <c r="D864" s="55"/>
      <c r="E864" s="176"/>
      <c r="F864" s="55"/>
      <c r="I864" s="238"/>
      <c r="J864" s="238"/>
      <c r="K864" s="235"/>
      <c r="L864" s="235"/>
      <c r="M864" s="235"/>
    </row>
    <row r="865" spans="1:13" x14ac:dyDescent="0.3">
      <c r="A865" s="220"/>
      <c r="B865" s="55"/>
      <c r="C865" s="55"/>
      <c r="D865" s="55"/>
      <c r="E865" s="176"/>
      <c r="F865" s="55"/>
      <c r="I865" s="238"/>
      <c r="J865" s="238"/>
      <c r="K865" s="235"/>
      <c r="L865" s="235"/>
      <c r="M865" s="235"/>
    </row>
    <row r="866" spans="1:13" x14ac:dyDescent="0.3">
      <c r="A866" s="220"/>
      <c r="B866" s="55"/>
      <c r="C866" s="55"/>
      <c r="D866" s="55"/>
      <c r="E866" s="176"/>
      <c r="F866" s="55"/>
      <c r="I866" s="238"/>
      <c r="J866" s="238"/>
      <c r="K866" s="235"/>
      <c r="L866" s="235"/>
      <c r="M866" s="235"/>
    </row>
    <row r="867" spans="1:13" x14ac:dyDescent="0.3">
      <c r="A867" s="220"/>
      <c r="B867" s="55"/>
      <c r="C867" s="55"/>
      <c r="D867" s="55"/>
      <c r="E867" s="176"/>
      <c r="F867" s="55"/>
      <c r="I867" s="238"/>
      <c r="J867" s="238"/>
      <c r="K867" s="235"/>
      <c r="L867" s="235"/>
      <c r="M867" s="235"/>
    </row>
    <row r="868" spans="1:13" x14ac:dyDescent="0.3">
      <c r="A868" s="220"/>
      <c r="B868" s="55"/>
      <c r="C868" s="55"/>
      <c r="D868" s="55"/>
      <c r="E868" s="176"/>
      <c r="F868" s="55"/>
      <c r="I868" s="238"/>
      <c r="J868" s="238"/>
      <c r="K868" s="235"/>
      <c r="L868" s="235"/>
      <c r="M868" s="235"/>
    </row>
    <row r="869" spans="1:13" x14ac:dyDescent="0.3">
      <c r="A869" s="220"/>
      <c r="B869" s="55"/>
      <c r="C869" s="55"/>
      <c r="D869" s="55"/>
      <c r="E869" s="176"/>
      <c r="F869" s="55"/>
      <c r="I869" s="238"/>
      <c r="J869" s="238"/>
      <c r="K869" s="235"/>
      <c r="L869" s="235"/>
      <c r="M869" s="235"/>
    </row>
    <row r="870" spans="1:13" x14ac:dyDescent="0.3">
      <c r="A870" s="220"/>
      <c r="B870" s="55"/>
      <c r="C870" s="55"/>
      <c r="D870" s="55"/>
      <c r="E870" s="176"/>
      <c r="F870" s="55"/>
      <c r="I870" s="238"/>
      <c r="J870" s="238"/>
      <c r="K870" s="235"/>
      <c r="L870" s="235"/>
      <c r="M870" s="235"/>
    </row>
    <row r="871" spans="1:13" x14ac:dyDescent="0.3">
      <c r="A871" s="220"/>
      <c r="B871" s="55"/>
      <c r="C871" s="55"/>
      <c r="D871" s="55"/>
      <c r="E871" s="176"/>
      <c r="F871" s="55"/>
      <c r="I871" s="238"/>
      <c r="J871" s="238"/>
      <c r="K871" s="235"/>
      <c r="L871" s="235"/>
      <c r="M871" s="235"/>
    </row>
    <row r="872" spans="1:13" x14ac:dyDescent="0.3">
      <c r="A872" s="220"/>
      <c r="B872" s="55"/>
      <c r="C872" s="55"/>
      <c r="D872" s="55"/>
      <c r="E872" s="176"/>
      <c r="F872" s="55"/>
      <c r="I872" s="238"/>
      <c r="J872" s="238"/>
      <c r="K872" s="235"/>
      <c r="L872" s="235"/>
      <c r="M872" s="235"/>
    </row>
    <row r="873" spans="1:13" x14ac:dyDescent="0.3">
      <c r="A873" s="220"/>
      <c r="B873" s="55"/>
      <c r="C873" s="55"/>
      <c r="D873" s="55"/>
      <c r="E873" s="176"/>
      <c r="F873" s="55"/>
      <c r="I873" s="238"/>
      <c r="J873" s="238"/>
      <c r="K873" s="235"/>
      <c r="L873" s="235"/>
      <c r="M873" s="235"/>
    </row>
    <row r="874" spans="1:13" x14ac:dyDescent="0.3">
      <c r="A874" s="220"/>
      <c r="B874" s="55"/>
      <c r="C874" s="55"/>
      <c r="D874" s="55"/>
      <c r="E874" s="176"/>
      <c r="F874" s="55"/>
      <c r="I874" s="238"/>
      <c r="J874" s="238"/>
      <c r="K874" s="235"/>
      <c r="L874" s="235"/>
      <c r="M874" s="235"/>
    </row>
    <row r="875" spans="1:13" x14ac:dyDescent="0.3">
      <c r="A875" s="220"/>
      <c r="B875" s="55"/>
      <c r="C875" s="55"/>
      <c r="D875" s="55"/>
      <c r="E875" s="176"/>
      <c r="F875" s="55"/>
      <c r="I875" s="238"/>
      <c r="J875" s="238"/>
      <c r="K875" s="235"/>
      <c r="L875" s="235"/>
      <c r="M875" s="235"/>
    </row>
    <row r="876" spans="1:13" x14ac:dyDescent="0.3">
      <c r="A876" s="220"/>
      <c r="B876" s="55"/>
      <c r="C876" s="55"/>
      <c r="D876" s="55"/>
      <c r="E876" s="176"/>
      <c r="F876" s="55"/>
      <c r="I876" s="238"/>
      <c r="J876" s="238"/>
      <c r="K876" s="235"/>
      <c r="L876" s="235"/>
      <c r="M876" s="235"/>
    </row>
    <row r="877" spans="1:13" x14ac:dyDescent="0.3">
      <c r="A877" s="220"/>
      <c r="B877" s="55"/>
      <c r="C877" s="55"/>
      <c r="D877" s="55"/>
      <c r="E877" s="176"/>
      <c r="F877" s="55"/>
      <c r="I877" s="238"/>
      <c r="J877" s="238"/>
      <c r="K877" s="235"/>
      <c r="L877" s="235"/>
      <c r="M877" s="235"/>
    </row>
    <row r="878" spans="1:13" x14ac:dyDescent="0.3">
      <c r="A878" s="220"/>
      <c r="B878" s="55"/>
      <c r="C878" s="55"/>
      <c r="D878" s="55"/>
      <c r="E878" s="176"/>
      <c r="F878" s="55"/>
      <c r="I878" s="238"/>
      <c r="J878" s="238"/>
      <c r="K878" s="235"/>
      <c r="L878" s="235"/>
      <c r="M878" s="235"/>
    </row>
    <row r="879" spans="1:13" x14ac:dyDescent="0.3">
      <c r="A879" s="220"/>
      <c r="B879" s="55"/>
      <c r="C879" s="55"/>
      <c r="D879" s="55"/>
      <c r="E879" s="176"/>
      <c r="F879" s="55"/>
      <c r="I879" s="238"/>
      <c r="J879" s="238"/>
      <c r="K879" s="235"/>
      <c r="L879" s="235"/>
      <c r="M879" s="235"/>
    </row>
    <row r="880" spans="1:13" x14ac:dyDescent="0.3">
      <c r="A880" s="220"/>
      <c r="B880" s="55"/>
      <c r="C880" s="55"/>
      <c r="D880" s="55"/>
      <c r="E880" s="176"/>
      <c r="F880" s="55"/>
      <c r="I880" s="238"/>
      <c r="J880" s="238"/>
      <c r="K880" s="235"/>
      <c r="L880" s="235"/>
      <c r="M880" s="235"/>
    </row>
    <row r="881" spans="1:13" x14ac:dyDescent="0.3">
      <c r="A881" s="220"/>
      <c r="B881" s="55"/>
      <c r="C881" s="55"/>
      <c r="D881" s="55"/>
      <c r="E881" s="176"/>
      <c r="F881" s="55"/>
      <c r="I881" s="238"/>
      <c r="J881" s="238"/>
      <c r="K881" s="235"/>
      <c r="L881" s="235"/>
      <c r="M881" s="235"/>
    </row>
    <row r="882" spans="1:13" x14ac:dyDescent="0.3">
      <c r="A882" s="220"/>
      <c r="B882" s="55"/>
      <c r="C882" s="55"/>
      <c r="D882" s="55"/>
      <c r="E882" s="176"/>
      <c r="F882" s="55"/>
      <c r="I882" s="238"/>
      <c r="J882" s="238"/>
      <c r="K882" s="235"/>
      <c r="L882" s="235"/>
      <c r="M882" s="235"/>
    </row>
    <row r="883" spans="1:13" x14ac:dyDescent="0.3">
      <c r="A883" s="220"/>
      <c r="B883" s="55"/>
      <c r="C883" s="55"/>
      <c r="D883" s="55"/>
      <c r="E883" s="176"/>
      <c r="F883" s="55"/>
      <c r="I883" s="238"/>
      <c r="J883" s="238"/>
      <c r="K883" s="235"/>
      <c r="L883" s="235"/>
      <c r="M883" s="235"/>
    </row>
    <row r="884" spans="1:13" x14ac:dyDescent="0.3">
      <c r="A884" s="220"/>
      <c r="B884" s="55"/>
      <c r="C884" s="55"/>
      <c r="D884" s="55"/>
      <c r="E884" s="176"/>
      <c r="F884" s="55"/>
      <c r="I884" s="238"/>
      <c r="J884" s="238"/>
      <c r="K884" s="235"/>
      <c r="L884" s="235"/>
      <c r="M884" s="235"/>
    </row>
    <row r="885" spans="1:13" x14ac:dyDescent="0.3">
      <c r="A885" s="220"/>
      <c r="B885" s="55"/>
      <c r="C885" s="55"/>
      <c r="D885" s="55"/>
      <c r="E885" s="176"/>
      <c r="F885" s="55"/>
      <c r="I885" s="238"/>
      <c r="J885" s="238"/>
      <c r="K885" s="235"/>
      <c r="L885" s="235"/>
      <c r="M885" s="235"/>
    </row>
    <row r="886" spans="1:13" x14ac:dyDescent="0.3">
      <c r="A886" s="220"/>
      <c r="B886" s="55"/>
      <c r="C886" s="55"/>
      <c r="D886" s="55"/>
      <c r="E886" s="176"/>
      <c r="F886" s="55"/>
      <c r="I886" s="238"/>
      <c r="J886" s="238"/>
      <c r="K886" s="235"/>
      <c r="L886" s="235"/>
      <c r="M886" s="235"/>
    </row>
    <row r="887" spans="1:13" x14ac:dyDescent="0.3">
      <c r="A887" s="220"/>
      <c r="B887" s="55"/>
      <c r="C887" s="55"/>
      <c r="D887" s="55"/>
      <c r="E887" s="176"/>
      <c r="F887" s="55"/>
      <c r="I887" s="238"/>
      <c r="J887" s="238"/>
      <c r="K887" s="235"/>
      <c r="L887" s="235"/>
      <c r="M887" s="235"/>
    </row>
    <row r="888" spans="1:13" x14ac:dyDescent="0.3">
      <c r="A888" s="220"/>
      <c r="B888" s="55"/>
      <c r="C888" s="55"/>
      <c r="D888" s="55"/>
      <c r="E888" s="176"/>
      <c r="F888" s="55"/>
      <c r="I888" s="238"/>
      <c r="J888" s="238"/>
      <c r="K888" s="235"/>
      <c r="L888" s="235"/>
      <c r="M888" s="235"/>
    </row>
    <row r="889" spans="1:13" x14ac:dyDescent="0.3">
      <c r="A889" s="220"/>
      <c r="B889" s="55"/>
      <c r="C889" s="55"/>
      <c r="D889" s="55"/>
      <c r="E889" s="176"/>
      <c r="F889" s="55"/>
      <c r="I889" s="238"/>
      <c r="J889" s="238"/>
      <c r="K889" s="235"/>
      <c r="L889" s="235"/>
      <c r="M889" s="235"/>
    </row>
    <row r="890" spans="1:13" x14ac:dyDescent="0.3">
      <c r="A890" s="220"/>
      <c r="B890" s="55"/>
      <c r="C890" s="55"/>
      <c r="D890" s="55"/>
      <c r="E890" s="176"/>
      <c r="F890" s="55"/>
      <c r="I890" s="238"/>
      <c r="J890" s="238"/>
      <c r="K890" s="235"/>
      <c r="L890" s="235"/>
      <c r="M890" s="235"/>
    </row>
    <row r="891" spans="1:13" x14ac:dyDescent="0.3">
      <c r="A891" s="220"/>
      <c r="B891" s="55"/>
      <c r="C891" s="55"/>
      <c r="D891" s="55"/>
      <c r="E891" s="176"/>
      <c r="F891" s="55"/>
      <c r="I891" s="238"/>
      <c r="J891" s="238"/>
      <c r="K891" s="235"/>
      <c r="L891" s="235"/>
      <c r="M891" s="235"/>
    </row>
    <row r="892" spans="1:13" x14ac:dyDescent="0.3">
      <c r="A892" s="220"/>
      <c r="B892" s="55"/>
      <c r="C892" s="55"/>
      <c r="D892" s="55"/>
      <c r="E892" s="176"/>
      <c r="F892" s="55"/>
      <c r="I892" s="238"/>
      <c r="J892" s="238"/>
      <c r="K892" s="235"/>
      <c r="L892" s="235"/>
      <c r="M892" s="235"/>
    </row>
    <row r="893" spans="1:13" x14ac:dyDescent="0.3">
      <c r="A893" s="220"/>
      <c r="B893" s="55"/>
      <c r="C893" s="55"/>
      <c r="D893" s="55"/>
      <c r="E893" s="176"/>
      <c r="F893" s="55"/>
      <c r="I893" s="238"/>
      <c r="J893" s="238"/>
      <c r="K893" s="235"/>
      <c r="L893" s="235"/>
      <c r="M893" s="235"/>
    </row>
    <row r="894" spans="1:13" x14ac:dyDescent="0.3">
      <c r="A894" s="220"/>
      <c r="B894" s="55"/>
      <c r="C894" s="55"/>
      <c r="D894" s="55"/>
      <c r="E894" s="176"/>
      <c r="F894" s="55"/>
      <c r="I894" s="238"/>
      <c r="J894" s="238"/>
      <c r="K894" s="235"/>
      <c r="L894" s="235"/>
      <c r="M894" s="235"/>
    </row>
    <row r="895" spans="1:13" x14ac:dyDescent="0.3">
      <c r="A895" s="220"/>
      <c r="B895" s="55"/>
      <c r="C895" s="55"/>
      <c r="D895" s="55"/>
      <c r="E895" s="176"/>
      <c r="F895" s="55"/>
      <c r="I895" s="238"/>
      <c r="J895" s="238"/>
      <c r="K895" s="235"/>
      <c r="L895" s="235"/>
      <c r="M895" s="235"/>
    </row>
    <row r="896" spans="1:13" x14ac:dyDescent="0.3">
      <c r="A896" s="220"/>
      <c r="B896" s="55"/>
      <c r="C896" s="55"/>
      <c r="D896" s="55"/>
      <c r="E896" s="176"/>
      <c r="F896" s="55"/>
      <c r="I896" s="238"/>
      <c r="J896" s="238"/>
      <c r="K896" s="235"/>
      <c r="L896" s="235"/>
      <c r="M896" s="235"/>
    </row>
    <row r="897" spans="1:13" x14ac:dyDescent="0.3">
      <c r="A897" s="220"/>
      <c r="B897" s="55"/>
      <c r="C897" s="55"/>
      <c r="D897" s="55"/>
      <c r="E897" s="176"/>
      <c r="F897" s="55"/>
      <c r="I897" s="238"/>
      <c r="J897" s="238"/>
      <c r="K897" s="235"/>
      <c r="L897" s="235"/>
      <c r="M897" s="235"/>
    </row>
    <row r="898" spans="1:13" x14ac:dyDescent="0.3">
      <c r="A898" s="220"/>
      <c r="B898" s="55"/>
      <c r="C898" s="55"/>
      <c r="D898" s="55"/>
      <c r="E898" s="176"/>
      <c r="F898" s="55"/>
      <c r="I898" s="238"/>
      <c r="J898" s="238"/>
      <c r="K898" s="235"/>
      <c r="L898" s="235"/>
      <c r="M898" s="235"/>
    </row>
    <row r="899" spans="1:13" x14ac:dyDescent="0.3">
      <c r="A899" s="220"/>
      <c r="B899" s="55"/>
      <c r="C899" s="55"/>
      <c r="D899" s="55"/>
      <c r="E899" s="176"/>
      <c r="F899" s="55"/>
      <c r="I899" s="241"/>
      <c r="J899" s="238"/>
      <c r="K899" s="235"/>
      <c r="L899" s="235"/>
      <c r="M899" s="235"/>
    </row>
    <row r="900" spans="1:13" x14ac:dyDescent="0.3">
      <c r="A900" s="220"/>
      <c r="B900" s="55"/>
      <c r="C900" s="55"/>
      <c r="D900" s="55"/>
      <c r="E900" s="176"/>
      <c r="F900" s="55"/>
      <c r="I900" s="235"/>
      <c r="J900" s="238"/>
      <c r="K900" s="235"/>
      <c r="L900" s="235"/>
      <c r="M900" s="235"/>
    </row>
    <row r="901" spans="1:13" x14ac:dyDescent="0.3">
      <c r="A901" s="220"/>
      <c r="B901" s="55"/>
      <c r="C901" s="55"/>
      <c r="D901" s="55"/>
      <c r="E901" s="176"/>
      <c r="F901" s="55"/>
      <c r="I901" s="235"/>
      <c r="J901" s="238"/>
      <c r="K901" s="235"/>
      <c r="L901" s="235"/>
      <c r="M901" s="235"/>
    </row>
    <row r="902" spans="1:13" x14ac:dyDescent="0.3">
      <c r="A902" s="220"/>
      <c r="B902" s="55"/>
      <c r="C902" s="55"/>
      <c r="D902" s="55"/>
      <c r="E902" s="176"/>
      <c r="F902" s="55"/>
      <c r="I902" s="235"/>
      <c r="J902" s="238"/>
      <c r="K902" s="235"/>
      <c r="L902" s="235"/>
      <c r="M902" s="235"/>
    </row>
    <row r="903" spans="1:13" x14ac:dyDescent="0.3">
      <c r="A903" s="220"/>
      <c r="B903" s="55"/>
      <c r="C903" s="55"/>
      <c r="D903" s="55"/>
      <c r="E903" s="176"/>
      <c r="F903" s="55"/>
      <c r="I903" s="235"/>
      <c r="J903" s="238"/>
      <c r="K903" s="235"/>
      <c r="L903" s="235"/>
      <c r="M903" s="235"/>
    </row>
    <row r="904" spans="1:13" x14ac:dyDescent="0.3">
      <c r="A904" s="220"/>
      <c r="B904" s="55"/>
      <c r="C904" s="55"/>
      <c r="D904" s="55"/>
      <c r="E904" s="176"/>
      <c r="F904" s="55"/>
      <c r="I904" s="235"/>
      <c r="J904" s="238"/>
      <c r="K904" s="235"/>
      <c r="L904" s="235"/>
      <c r="M904" s="235"/>
    </row>
    <row r="905" spans="1:13" x14ac:dyDescent="0.3">
      <c r="A905" s="220"/>
      <c r="B905" s="55"/>
      <c r="C905" s="55"/>
      <c r="D905" s="55"/>
      <c r="E905" s="176"/>
      <c r="F905" s="55"/>
      <c r="I905" s="235"/>
      <c r="J905" s="238"/>
      <c r="K905" s="235"/>
      <c r="L905" s="235"/>
      <c r="M905" s="235"/>
    </row>
    <row r="906" spans="1:13" x14ac:dyDescent="0.3">
      <c r="A906" s="220"/>
      <c r="B906" s="55"/>
      <c r="C906" s="55"/>
      <c r="D906" s="55"/>
      <c r="E906" s="176"/>
      <c r="F906" s="55"/>
      <c r="I906" s="235"/>
      <c r="J906" s="238"/>
      <c r="K906" s="235"/>
      <c r="L906" s="235"/>
      <c r="M906" s="235"/>
    </row>
    <row r="907" spans="1:13" x14ac:dyDescent="0.3">
      <c r="A907" s="220"/>
      <c r="B907" s="55"/>
      <c r="C907" s="55"/>
      <c r="D907" s="55"/>
      <c r="E907" s="176"/>
      <c r="F907" s="55"/>
      <c r="I907" s="235"/>
      <c r="J907" s="238"/>
      <c r="K907" s="235"/>
      <c r="L907" s="235"/>
      <c r="M907" s="235"/>
    </row>
    <row r="908" spans="1:13" x14ac:dyDescent="0.3">
      <c r="A908" s="220"/>
      <c r="B908" s="55"/>
      <c r="C908" s="55"/>
      <c r="D908" s="55"/>
      <c r="E908" s="176"/>
      <c r="F908" s="55"/>
      <c r="I908" s="235"/>
      <c r="J908" s="238"/>
      <c r="K908" s="235"/>
      <c r="L908" s="235"/>
      <c r="M908" s="235"/>
    </row>
    <row r="909" spans="1:13" x14ac:dyDescent="0.3">
      <c r="A909" s="220"/>
      <c r="B909" s="55"/>
      <c r="C909" s="55"/>
      <c r="D909" s="55"/>
      <c r="E909" s="176"/>
      <c r="F909" s="55"/>
      <c r="I909" s="235"/>
      <c r="J909" s="238"/>
      <c r="K909" s="235"/>
      <c r="L909" s="235"/>
      <c r="M909" s="235"/>
    </row>
    <row r="910" spans="1:13" x14ac:dyDescent="0.3">
      <c r="A910" s="220"/>
      <c r="B910" s="55"/>
      <c r="C910" s="55"/>
      <c r="D910" s="55"/>
      <c r="E910" s="176"/>
      <c r="F910" s="55"/>
      <c r="I910" s="235"/>
      <c r="J910" s="238"/>
      <c r="K910" s="235"/>
      <c r="L910" s="235"/>
      <c r="M910" s="235"/>
    </row>
    <row r="911" spans="1:13" x14ac:dyDescent="0.3">
      <c r="A911" s="220"/>
      <c r="B911" s="55"/>
      <c r="C911" s="55"/>
      <c r="D911" s="55"/>
      <c r="E911" s="176"/>
      <c r="F911" s="55"/>
      <c r="I911" s="235"/>
      <c r="J911" s="238"/>
      <c r="K911" s="235"/>
      <c r="L911" s="235"/>
      <c r="M911" s="235"/>
    </row>
    <row r="912" spans="1:13" x14ac:dyDescent="0.3">
      <c r="A912" s="220"/>
      <c r="B912" s="55"/>
      <c r="C912" s="55"/>
      <c r="D912" s="55"/>
      <c r="E912" s="176"/>
      <c r="F912" s="55"/>
      <c r="I912" s="235"/>
      <c r="J912" s="238"/>
      <c r="K912" s="235"/>
      <c r="L912" s="235"/>
      <c r="M912" s="235"/>
    </row>
    <row r="913" spans="1:13" x14ac:dyDescent="0.3">
      <c r="A913" s="220"/>
      <c r="B913" s="55"/>
      <c r="C913" s="55"/>
      <c r="D913" s="55"/>
      <c r="E913" s="176"/>
      <c r="F913" s="55"/>
      <c r="I913" s="235"/>
      <c r="J913" s="238"/>
      <c r="K913" s="235"/>
      <c r="L913" s="235"/>
      <c r="M913" s="235"/>
    </row>
    <row r="914" spans="1:13" x14ac:dyDescent="0.3">
      <c r="A914" s="220"/>
      <c r="B914" s="55"/>
      <c r="C914" s="55"/>
      <c r="D914" s="55"/>
      <c r="E914" s="176"/>
      <c r="F914" s="55"/>
      <c r="I914" s="235"/>
      <c r="J914" s="238"/>
      <c r="K914" s="235"/>
      <c r="L914" s="235"/>
      <c r="M914" s="235"/>
    </row>
    <row r="915" spans="1:13" x14ac:dyDescent="0.3">
      <c r="A915" s="220"/>
      <c r="B915" s="55"/>
      <c r="C915" s="55"/>
      <c r="D915" s="55"/>
      <c r="E915" s="176"/>
      <c r="F915" s="55"/>
      <c r="I915" s="235"/>
      <c r="J915" s="238"/>
      <c r="K915" s="235"/>
      <c r="L915" s="235"/>
      <c r="M915" s="235"/>
    </row>
    <row r="916" spans="1:13" x14ac:dyDescent="0.3">
      <c r="A916" s="220"/>
      <c r="B916" s="55"/>
      <c r="C916" s="55"/>
      <c r="D916" s="55"/>
      <c r="E916" s="176"/>
      <c r="F916" s="55"/>
      <c r="I916" s="235"/>
      <c r="J916" s="238"/>
      <c r="K916" s="235"/>
      <c r="L916" s="235"/>
      <c r="M916" s="235"/>
    </row>
    <row r="917" spans="1:13" x14ac:dyDescent="0.3">
      <c r="A917" s="220"/>
      <c r="B917" s="55"/>
      <c r="C917" s="55"/>
      <c r="D917" s="55"/>
      <c r="E917" s="176"/>
      <c r="F917" s="55"/>
      <c r="J917" s="239"/>
    </row>
    <row r="918" spans="1:13" x14ac:dyDescent="0.3">
      <c r="A918" s="220"/>
      <c r="B918" s="55"/>
      <c r="C918" s="55"/>
      <c r="D918" s="55"/>
      <c r="E918" s="176"/>
      <c r="F918" s="55"/>
      <c r="J918" s="239"/>
    </row>
    <row r="919" spans="1:13" x14ac:dyDescent="0.3">
      <c r="A919" s="220"/>
      <c r="B919" s="55"/>
      <c r="C919" s="55"/>
      <c r="D919" s="55"/>
      <c r="E919" s="176"/>
      <c r="F919" s="55"/>
      <c r="J919" s="239"/>
    </row>
    <row r="920" spans="1:13" x14ac:dyDescent="0.3">
      <c r="A920" s="220"/>
      <c r="B920" s="55"/>
      <c r="C920" s="55"/>
      <c r="D920" s="55"/>
      <c r="E920" s="176"/>
      <c r="F920" s="55"/>
      <c r="J920" s="239"/>
    </row>
    <row r="921" spans="1:13" x14ac:dyDescent="0.3">
      <c r="A921" s="220"/>
      <c r="B921" s="55"/>
      <c r="C921" s="55"/>
      <c r="D921" s="55"/>
      <c r="E921" s="176"/>
      <c r="F921" s="55"/>
      <c r="J921" s="239"/>
    </row>
    <row r="922" spans="1:13" x14ac:dyDescent="0.3">
      <c r="A922" s="220"/>
      <c r="B922" s="55"/>
      <c r="C922" s="55"/>
      <c r="D922" s="55"/>
      <c r="E922" s="176"/>
      <c r="F922" s="55"/>
      <c r="J922" s="239"/>
    </row>
    <row r="923" spans="1:13" x14ac:dyDescent="0.3">
      <c r="A923" s="220"/>
      <c r="B923" s="55"/>
      <c r="C923" s="55"/>
      <c r="D923" s="55"/>
      <c r="E923" s="176"/>
      <c r="F923" s="55"/>
      <c r="J923" s="239"/>
    </row>
    <row r="924" spans="1:13" x14ac:dyDescent="0.3">
      <c r="A924" s="220"/>
      <c r="B924" s="55"/>
      <c r="C924" s="55"/>
      <c r="D924" s="55"/>
      <c r="E924" s="176"/>
      <c r="F924" s="55"/>
      <c r="J924" s="239"/>
    </row>
    <row r="925" spans="1:13" x14ac:dyDescent="0.3">
      <c r="A925" s="220"/>
      <c r="B925" s="55"/>
      <c r="C925" s="55"/>
      <c r="D925" s="55"/>
      <c r="E925" s="176"/>
      <c r="F925" s="55"/>
      <c r="J925" s="239"/>
    </row>
    <row r="926" spans="1:13" x14ac:dyDescent="0.3">
      <c r="A926" s="220"/>
      <c r="B926" s="55"/>
      <c r="C926" s="55"/>
      <c r="D926" s="55"/>
      <c r="E926" s="176"/>
      <c r="F926" s="55"/>
      <c r="J926" s="239"/>
    </row>
    <row r="927" spans="1:13" x14ac:dyDescent="0.3">
      <c r="A927" s="220"/>
      <c r="B927" s="55"/>
      <c r="C927" s="55"/>
      <c r="D927" s="55"/>
      <c r="E927" s="176"/>
      <c r="F927" s="55"/>
      <c r="J927" s="239"/>
    </row>
    <row r="928" spans="1:13" x14ac:dyDescent="0.3">
      <c r="A928" s="220"/>
      <c r="B928" s="55"/>
      <c r="C928" s="55"/>
      <c r="D928" s="55"/>
      <c r="E928" s="176"/>
      <c r="F928" s="55"/>
      <c r="J928" s="239"/>
    </row>
    <row r="929" spans="1:10" x14ac:dyDescent="0.3">
      <c r="A929" s="220"/>
      <c r="B929" s="55"/>
      <c r="C929" s="55"/>
      <c r="D929" s="55"/>
      <c r="E929" s="176"/>
      <c r="F929" s="55"/>
      <c r="J929" s="239"/>
    </row>
    <row r="930" spans="1:10" x14ac:dyDescent="0.3">
      <c r="A930" s="220"/>
      <c r="B930" s="55"/>
      <c r="C930" s="55"/>
      <c r="D930" s="55"/>
      <c r="E930" s="176"/>
      <c r="F930" s="55"/>
      <c r="J930" s="239"/>
    </row>
    <row r="931" spans="1:10" x14ac:dyDescent="0.3">
      <c r="A931" s="220"/>
      <c r="B931" s="55"/>
      <c r="C931" s="55"/>
      <c r="D931" s="55"/>
      <c r="E931" s="176"/>
      <c r="F931" s="55"/>
      <c r="J931" s="239"/>
    </row>
    <row r="932" spans="1:10" x14ac:dyDescent="0.3">
      <c r="A932" s="220"/>
      <c r="B932" s="55"/>
      <c r="C932" s="55"/>
      <c r="D932" s="55"/>
      <c r="E932" s="176"/>
      <c r="F932" s="55"/>
      <c r="J932" s="239"/>
    </row>
    <row r="933" spans="1:10" x14ac:dyDescent="0.3">
      <c r="A933" s="220"/>
      <c r="B933" s="55"/>
      <c r="C933" s="55"/>
      <c r="D933" s="55"/>
      <c r="E933" s="176"/>
      <c r="F933" s="55"/>
      <c r="J933" s="240"/>
    </row>
    <row r="934" spans="1:10" x14ac:dyDescent="0.3">
      <c r="A934" s="220"/>
      <c r="B934" s="55"/>
      <c r="C934" s="55"/>
      <c r="D934" s="55"/>
      <c r="E934" s="55"/>
      <c r="F934" s="55"/>
    </row>
    <row r="935" spans="1:10" x14ac:dyDescent="0.3">
      <c r="A935" s="220"/>
      <c r="B935" s="55"/>
      <c r="C935" s="55"/>
      <c r="D935" s="55"/>
      <c r="E935" s="55"/>
      <c r="F935" s="55"/>
    </row>
    <row r="936" spans="1:10" x14ac:dyDescent="0.3">
      <c r="A936" s="220"/>
      <c r="B936" s="55"/>
      <c r="C936" s="55"/>
      <c r="D936" s="55"/>
      <c r="E936" s="55"/>
      <c r="F936" s="55"/>
    </row>
    <row r="937" spans="1:10" x14ac:dyDescent="0.3">
      <c r="A937" s="220"/>
      <c r="B937" s="55"/>
      <c r="C937" s="55"/>
      <c r="D937" s="55"/>
      <c r="E937" s="55"/>
      <c r="F937" s="55"/>
    </row>
    <row r="938" spans="1:10" x14ac:dyDescent="0.3">
      <c r="A938" s="220"/>
      <c r="B938" s="55"/>
      <c r="C938" s="55"/>
      <c r="D938" s="55"/>
      <c r="E938" s="55"/>
      <c r="F938" s="55"/>
    </row>
    <row r="939" spans="1:10" x14ac:dyDescent="0.3">
      <c r="A939" s="220"/>
      <c r="B939" s="55"/>
      <c r="C939" s="55"/>
      <c r="D939" s="55"/>
      <c r="E939" s="55"/>
      <c r="F939" s="55"/>
    </row>
    <row r="940" spans="1:10" x14ac:dyDescent="0.3">
      <c r="A940" s="220"/>
      <c r="B940" s="55"/>
      <c r="C940" s="55"/>
      <c r="D940" s="55"/>
      <c r="E940" s="55"/>
      <c r="F940" s="55"/>
    </row>
    <row r="941" spans="1:10" x14ac:dyDescent="0.3">
      <c r="A941" s="220"/>
      <c r="B941" s="55"/>
      <c r="C941" s="55"/>
      <c r="D941" s="55"/>
      <c r="E941" s="55"/>
      <c r="F941" s="55"/>
    </row>
    <row r="942" spans="1:10" x14ac:dyDescent="0.3">
      <c r="A942" s="220"/>
      <c r="B942" s="55"/>
      <c r="C942" s="55"/>
      <c r="D942" s="55"/>
      <c r="E942" s="55"/>
      <c r="F942" s="55"/>
    </row>
    <row r="943" spans="1:10" x14ac:dyDescent="0.3">
      <c r="A943" s="220"/>
      <c r="B943" s="55"/>
      <c r="C943" s="55"/>
      <c r="D943" s="55"/>
      <c r="E943" s="55"/>
      <c r="F943" s="55"/>
    </row>
    <row r="944" spans="1:10" x14ac:dyDescent="0.3">
      <c r="A944" s="220"/>
      <c r="B944" s="55"/>
      <c r="C944" s="55"/>
      <c r="D944" s="55"/>
      <c r="E944" s="55"/>
      <c r="F944" s="55"/>
    </row>
    <row r="945" spans="1:6" x14ac:dyDescent="0.3">
      <c r="A945" s="220"/>
      <c r="B945" s="55"/>
      <c r="C945" s="55"/>
      <c r="D945" s="55"/>
      <c r="E945" s="55"/>
      <c r="F945" s="55"/>
    </row>
    <row r="946" spans="1:6" x14ac:dyDescent="0.3">
      <c r="A946" s="220"/>
      <c r="B946" s="55"/>
      <c r="C946" s="55"/>
      <c r="D946" s="55"/>
      <c r="E946" s="55"/>
      <c r="F946" s="55"/>
    </row>
    <row r="947" spans="1:6" x14ac:dyDescent="0.3">
      <c r="A947" s="220"/>
      <c r="B947" s="55"/>
      <c r="C947" s="55"/>
      <c r="D947" s="55"/>
      <c r="E947" s="55"/>
      <c r="F947" s="55"/>
    </row>
    <row r="948" spans="1:6" x14ac:dyDescent="0.3">
      <c r="A948" s="220"/>
      <c r="B948" s="55"/>
      <c r="C948" s="55"/>
      <c r="D948" s="55"/>
      <c r="E948" s="55"/>
      <c r="F948" s="55"/>
    </row>
    <row r="949" spans="1:6" x14ac:dyDescent="0.3">
      <c r="A949" s="220"/>
      <c r="B949" s="55"/>
      <c r="C949" s="55"/>
      <c r="D949" s="55"/>
      <c r="E949" s="55"/>
      <c r="F949" s="55"/>
    </row>
    <row r="950" spans="1:6" x14ac:dyDescent="0.3">
      <c r="A950" s="220"/>
      <c r="B950" s="55"/>
      <c r="C950" s="55"/>
      <c r="D950" s="55"/>
      <c r="E950" s="55"/>
      <c r="F950" s="55"/>
    </row>
    <row r="951" spans="1:6" x14ac:dyDescent="0.3">
      <c r="A951" s="220"/>
      <c r="B951" s="55"/>
      <c r="C951" s="55"/>
      <c r="D951" s="55"/>
      <c r="E951" s="55"/>
      <c r="F951" s="55"/>
    </row>
    <row r="952" spans="1:6" x14ac:dyDescent="0.3">
      <c r="A952" s="220"/>
      <c r="B952" s="55"/>
      <c r="C952" s="55"/>
      <c r="D952" s="55"/>
      <c r="E952" s="55"/>
      <c r="F952" s="55"/>
    </row>
    <row r="953" spans="1:6" x14ac:dyDescent="0.3">
      <c r="A953" s="220"/>
      <c r="B953" s="55"/>
      <c r="C953" s="55"/>
      <c r="D953" s="55"/>
      <c r="E953" s="55"/>
      <c r="F953" s="55"/>
    </row>
    <row r="954" spans="1:6" x14ac:dyDescent="0.3">
      <c r="A954" s="220"/>
      <c r="B954" s="55"/>
      <c r="C954" s="55"/>
      <c r="D954" s="55"/>
      <c r="E954" s="55"/>
      <c r="F954" s="55"/>
    </row>
    <row r="955" spans="1:6" x14ac:dyDescent="0.3">
      <c r="A955" s="220"/>
      <c r="B955" s="55"/>
      <c r="C955" s="55"/>
      <c r="D955" s="55"/>
      <c r="E955" s="55"/>
      <c r="F955" s="55"/>
    </row>
    <row r="956" spans="1:6" x14ac:dyDescent="0.3">
      <c r="A956" s="220"/>
      <c r="B956" s="55"/>
      <c r="C956" s="55"/>
      <c r="D956" s="55"/>
      <c r="E956" s="55"/>
      <c r="F956" s="55"/>
    </row>
    <row r="957" spans="1:6" x14ac:dyDescent="0.3">
      <c r="A957" s="220"/>
      <c r="B957" s="55"/>
      <c r="C957" s="55"/>
      <c r="D957" s="55"/>
      <c r="E957" s="55"/>
      <c r="F957" s="55"/>
    </row>
    <row r="958" spans="1:6" x14ac:dyDescent="0.3">
      <c r="A958" s="220"/>
      <c r="B958" s="55"/>
      <c r="C958" s="55"/>
      <c r="D958" s="55"/>
      <c r="E958" s="55"/>
      <c r="F958" s="55"/>
    </row>
    <row r="959" spans="1:6" x14ac:dyDescent="0.3">
      <c r="A959" s="220"/>
      <c r="B959" s="55"/>
      <c r="C959" s="55"/>
      <c r="D959" s="55"/>
      <c r="E959" s="55"/>
      <c r="F959" s="55"/>
    </row>
    <row r="960" spans="1:6" x14ac:dyDescent="0.3">
      <c r="A960" s="220"/>
      <c r="B960" s="55"/>
      <c r="C960" s="55"/>
      <c r="D960" s="55"/>
      <c r="E960" s="55"/>
      <c r="F960" s="55"/>
    </row>
    <row r="961" spans="1:6" x14ac:dyDescent="0.3">
      <c r="A961" s="220"/>
      <c r="B961" s="55"/>
      <c r="C961" s="55"/>
      <c r="D961" s="55"/>
      <c r="E961" s="55"/>
      <c r="F961" s="55"/>
    </row>
    <row r="962" spans="1:6" x14ac:dyDescent="0.3">
      <c r="A962" s="220"/>
      <c r="B962" s="55"/>
      <c r="C962" s="55"/>
      <c r="D962" s="55"/>
      <c r="E962" s="55"/>
      <c r="F962" s="55"/>
    </row>
    <row r="963" spans="1:6" x14ac:dyDescent="0.3">
      <c r="A963" s="220"/>
      <c r="B963" s="55"/>
      <c r="C963" s="55"/>
      <c r="D963" s="55"/>
      <c r="E963" s="55"/>
      <c r="F963" s="55"/>
    </row>
    <row r="964" spans="1:6" x14ac:dyDescent="0.3">
      <c r="A964" s="220"/>
      <c r="B964" s="55"/>
      <c r="C964" s="55"/>
      <c r="D964" s="55"/>
      <c r="E964" s="55"/>
      <c r="F964" s="55"/>
    </row>
    <row r="965" spans="1:6" x14ac:dyDescent="0.3">
      <c r="A965" s="220"/>
      <c r="B965" s="55"/>
      <c r="C965" s="55"/>
      <c r="D965" s="55"/>
      <c r="E965" s="55"/>
      <c r="F965" s="55"/>
    </row>
    <row r="966" spans="1:6" x14ac:dyDescent="0.3">
      <c r="A966" s="220"/>
      <c r="B966" s="55"/>
      <c r="C966" s="55"/>
      <c r="D966" s="55"/>
      <c r="E966" s="55"/>
      <c r="F966" s="55"/>
    </row>
    <row r="967" spans="1:6" x14ac:dyDescent="0.3">
      <c r="A967" s="220"/>
      <c r="B967" s="55"/>
      <c r="C967" s="55"/>
      <c r="D967" s="55"/>
      <c r="E967" s="55"/>
      <c r="F967" s="55"/>
    </row>
    <row r="968" spans="1:6" x14ac:dyDescent="0.3">
      <c r="A968" s="220"/>
      <c r="B968" s="55"/>
      <c r="C968" s="55"/>
      <c r="D968" s="55"/>
      <c r="E968" s="55"/>
      <c r="F968" s="55"/>
    </row>
    <row r="969" spans="1:6" x14ac:dyDescent="0.3">
      <c r="A969" s="220"/>
      <c r="B969" s="55"/>
      <c r="C969" s="55"/>
      <c r="D969" s="55"/>
      <c r="E969" s="55"/>
      <c r="F969" s="55"/>
    </row>
    <row r="970" spans="1:6" x14ac:dyDescent="0.3">
      <c r="A970" s="220"/>
      <c r="B970" s="55"/>
      <c r="C970" s="55"/>
      <c r="D970" s="55"/>
      <c r="E970" s="55"/>
      <c r="F970" s="55"/>
    </row>
    <row r="971" spans="1:6" x14ac:dyDescent="0.3">
      <c r="A971" s="220"/>
      <c r="B971" s="55"/>
      <c r="C971" s="55"/>
      <c r="D971" s="55"/>
      <c r="E971" s="55"/>
      <c r="F971" s="55"/>
    </row>
    <row r="972" spans="1:6" x14ac:dyDescent="0.3">
      <c r="A972" s="220"/>
      <c r="B972" s="55"/>
      <c r="C972" s="55"/>
      <c r="D972" s="55"/>
      <c r="E972" s="55"/>
      <c r="F972" s="55"/>
    </row>
    <row r="973" spans="1:6" x14ac:dyDescent="0.3">
      <c r="A973" s="220"/>
      <c r="B973" s="55"/>
      <c r="C973" s="55"/>
      <c r="D973" s="55"/>
      <c r="E973" s="55"/>
      <c r="F973" s="55"/>
    </row>
    <row r="974" spans="1:6" x14ac:dyDescent="0.3">
      <c r="A974" s="220"/>
      <c r="B974" s="55"/>
      <c r="C974" s="55"/>
      <c r="D974" s="55"/>
      <c r="E974" s="55"/>
      <c r="F974" s="55"/>
    </row>
    <row r="975" spans="1:6" x14ac:dyDescent="0.3">
      <c r="A975" s="220"/>
      <c r="B975" s="55"/>
      <c r="C975" s="55"/>
      <c r="D975" s="55"/>
      <c r="E975" s="55"/>
      <c r="F975" s="55"/>
    </row>
    <row r="976" spans="1:6" x14ac:dyDescent="0.3">
      <c r="A976" s="220"/>
      <c r="B976" s="55"/>
      <c r="C976" s="55"/>
      <c r="D976" s="55"/>
      <c r="E976" s="55"/>
      <c r="F976" s="55"/>
    </row>
    <row r="977" spans="1:6" x14ac:dyDescent="0.3">
      <c r="A977" s="220"/>
      <c r="B977" s="55"/>
      <c r="C977" s="55"/>
      <c r="D977" s="55"/>
      <c r="E977" s="55"/>
      <c r="F977" s="55"/>
    </row>
    <row r="978" spans="1:6" x14ac:dyDescent="0.3">
      <c r="A978" s="220"/>
      <c r="B978" s="55"/>
      <c r="C978" s="55"/>
      <c r="D978" s="55"/>
      <c r="E978" s="55"/>
      <c r="F978" s="55"/>
    </row>
    <row r="979" spans="1:6" x14ac:dyDescent="0.3">
      <c r="A979" s="220"/>
      <c r="B979" s="55"/>
      <c r="C979" s="55"/>
      <c r="D979" s="55"/>
      <c r="E979" s="55"/>
      <c r="F979" s="55"/>
    </row>
    <row r="980" spans="1:6" x14ac:dyDescent="0.3">
      <c r="A980" s="220"/>
      <c r="B980" s="55"/>
      <c r="C980" s="55"/>
      <c r="D980" s="55"/>
      <c r="E980" s="55"/>
      <c r="F980" s="55"/>
    </row>
    <row r="981" spans="1:6" x14ac:dyDescent="0.3">
      <c r="A981" s="220"/>
      <c r="B981" s="55"/>
      <c r="C981" s="55"/>
      <c r="D981" s="55"/>
      <c r="E981" s="55"/>
      <c r="F981" s="55"/>
    </row>
    <row r="982" spans="1:6" x14ac:dyDescent="0.3">
      <c r="A982" s="220"/>
      <c r="B982" s="55"/>
      <c r="C982" s="55"/>
      <c r="D982" s="55"/>
      <c r="E982" s="55"/>
      <c r="F982" s="55"/>
    </row>
    <row r="983" spans="1:6" x14ac:dyDescent="0.3">
      <c r="A983" s="220"/>
      <c r="B983" s="55"/>
      <c r="C983" s="55"/>
      <c r="D983" s="55"/>
      <c r="E983" s="55"/>
      <c r="F983" s="55"/>
    </row>
    <row r="984" spans="1:6" x14ac:dyDescent="0.3">
      <c r="A984" s="220"/>
      <c r="B984" s="55"/>
      <c r="C984" s="55"/>
      <c r="D984" s="55"/>
      <c r="E984" s="55"/>
      <c r="F984" s="55"/>
    </row>
    <row r="985" spans="1:6" x14ac:dyDescent="0.3">
      <c r="A985" s="220"/>
      <c r="B985" s="55"/>
      <c r="C985" s="55"/>
      <c r="D985" s="55"/>
      <c r="E985" s="55"/>
      <c r="F985" s="55"/>
    </row>
    <row r="986" spans="1:6" x14ac:dyDescent="0.3">
      <c r="A986" s="220"/>
      <c r="B986" s="55"/>
      <c r="C986" s="55"/>
      <c r="D986" s="55"/>
      <c r="E986" s="55"/>
      <c r="F986" s="55"/>
    </row>
    <row r="987" spans="1:6" x14ac:dyDescent="0.3">
      <c r="A987" s="220"/>
      <c r="B987" s="55"/>
      <c r="C987" s="55"/>
      <c r="D987" s="55"/>
      <c r="E987" s="55"/>
      <c r="F987" s="55"/>
    </row>
    <row r="988" spans="1:6" x14ac:dyDescent="0.3">
      <c r="A988" s="220"/>
      <c r="B988" s="55"/>
      <c r="C988" s="55"/>
      <c r="D988" s="55"/>
      <c r="E988" s="55"/>
      <c r="F988" s="55"/>
    </row>
    <row r="989" spans="1:6" x14ac:dyDescent="0.3">
      <c r="A989" s="220"/>
      <c r="B989" s="55"/>
      <c r="C989" s="55"/>
      <c r="D989" s="55"/>
      <c r="E989" s="55"/>
      <c r="F989" s="55"/>
    </row>
    <row r="990" spans="1:6" x14ac:dyDescent="0.3">
      <c r="A990" s="220"/>
      <c r="B990" s="55"/>
      <c r="C990" s="55"/>
      <c r="D990" s="55"/>
      <c r="E990" s="55"/>
      <c r="F990" s="55"/>
    </row>
    <row r="991" spans="1:6" x14ac:dyDescent="0.3">
      <c r="A991" s="220"/>
      <c r="B991" s="55"/>
      <c r="C991" s="55"/>
      <c r="D991" s="55"/>
      <c r="E991" s="55"/>
      <c r="F991" s="55"/>
    </row>
    <row r="992" spans="1:6" x14ac:dyDescent="0.3">
      <c r="A992" s="220"/>
      <c r="B992" s="55"/>
      <c r="C992" s="55"/>
      <c r="D992" s="55"/>
      <c r="E992" s="55"/>
      <c r="F992" s="55"/>
    </row>
    <row r="993" spans="1:6" x14ac:dyDescent="0.3">
      <c r="A993" s="220"/>
      <c r="B993" s="55"/>
      <c r="C993" s="55"/>
      <c r="D993" s="55"/>
      <c r="E993" s="55"/>
      <c r="F993" s="55"/>
    </row>
    <row r="994" spans="1:6" x14ac:dyDescent="0.3">
      <c r="A994" s="220"/>
      <c r="B994" s="55"/>
      <c r="C994" s="55"/>
      <c r="D994" s="55"/>
      <c r="E994" s="55"/>
      <c r="F994" s="55"/>
    </row>
    <row r="995" spans="1:6" x14ac:dyDescent="0.3">
      <c r="A995" s="220"/>
      <c r="B995" s="55"/>
      <c r="C995" s="55"/>
      <c r="D995" s="55"/>
      <c r="E995" s="55"/>
      <c r="F995" s="55"/>
    </row>
    <row r="996" spans="1:6" x14ac:dyDescent="0.3">
      <c r="A996" s="220"/>
      <c r="B996" s="55"/>
      <c r="C996" s="55"/>
      <c r="D996" s="55"/>
      <c r="E996" s="55"/>
      <c r="F996" s="55"/>
    </row>
    <row r="997" spans="1:6" x14ac:dyDescent="0.3">
      <c r="A997" s="220"/>
      <c r="B997" s="55"/>
      <c r="C997" s="55"/>
      <c r="D997" s="55"/>
      <c r="E997" s="55"/>
      <c r="F997" s="55"/>
    </row>
    <row r="998" spans="1:6" x14ac:dyDescent="0.3">
      <c r="A998" s="220"/>
      <c r="B998" s="55"/>
      <c r="C998" s="55"/>
      <c r="D998" s="55"/>
      <c r="E998" s="55"/>
      <c r="F998" s="55"/>
    </row>
    <row r="999" spans="1:6" x14ac:dyDescent="0.3">
      <c r="A999" s="220"/>
      <c r="B999" s="55"/>
      <c r="C999" s="55"/>
      <c r="D999" s="55"/>
      <c r="E999" s="55"/>
      <c r="F999" s="55"/>
    </row>
    <row r="1000" spans="1:6" x14ac:dyDescent="0.3">
      <c r="A1000" s="220"/>
      <c r="B1000" s="55"/>
      <c r="C1000" s="55"/>
      <c r="D1000" s="55"/>
      <c r="E1000" s="55"/>
      <c r="F1000" s="55"/>
    </row>
    <row r="1001" spans="1:6" x14ac:dyDescent="0.3">
      <c r="A1001" s="220"/>
      <c r="B1001" s="55"/>
      <c r="C1001" s="55"/>
      <c r="D1001" s="55"/>
      <c r="E1001" s="55"/>
      <c r="F1001" s="55"/>
    </row>
    <row r="1002" spans="1:6" x14ac:dyDescent="0.3">
      <c r="A1002" s="220"/>
      <c r="B1002" s="55"/>
      <c r="C1002" s="55"/>
      <c r="D1002" s="55"/>
      <c r="E1002" s="55"/>
      <c r="F1002" s="55"/>
    </row>
    <row r="1003" spans="1:6" x14ac:dyDescent="0.3">
      <c r="A1003" s="220"/>
      <c r="B1003" s="55"/>
      <c r="C1003" s="55"/>
      <c r="D1003" s="55"/>
      <c r="E1003" s="55"/>
      <c r="F1003" s="55"/>
    </row>
    <row r="1004" spans="1:6" x14ac:dyDescent="0.3">
      <c r="A1004" s="220"/>
      <c r="B1004" s="55"/>
      <c r="C1004" s="55"/>
      <c r="D1004" s="55"/>
      <c r="E1004" s="55"/>
      <c r="F1004" s="55"/>
    </row>
    <row r="1005" spans="1:6" x14ac:dyDescent="0.3">
      <c r="A1005" s="220"/>
      <c r="B1005" s="55"/>
      <c r="C1005" s="55"/>
      <c r="D1005" s="55"/>
      <c r="E1005" s="55"/>
      <c r="F1005" s="55"/>
    </row>
    <row r="1006" spans="1:6" x14ac:dyDescent="0.3">
      <c r="A1006" s="220"/>
      <c r="B1006" s="55"/>
      <c r="C1006" s="55"/>
      <c r="D1006" s="55"/>
      <c r="E1006" s="55"/>
      <c r="F1006" s="55"/>
    </row>
    <row r="1007" spans="1:6" x14ac:dyDescent="0.3">
      <c r="A1007" s="220"/>
      <c r="B1007" s="55"/>
      <c r="C1007" s="55"/>
      <c r="D1007" s="55"/>
      <c r="E1007" s="55"/>
      <c r="F1007" s="55"/>
    </row>
    <row r="1008" spans="1:6" x14ac:dyDescent="0.3">
      <c r="A1008" s="220"/>
      <c r="B1008" s="55"/>
      <c r="C1008" s="55"/>
      <c r="D1008" s="55"/>
      <c r="E1008" s="55"/>
      <c r="F1008" s="55"/>
    </row>
    <row r="1009" spans="1:6" x14ac:dyDescent="0.3">
      <c r="A1009" s="220"/>
      <c r="B1009" s="55"/>
      <c r="C1009" s="55"/>
      <c r="D1009" s="55"/>
      <c r="E1009" s="55"/>
      <c r="F1009" s="55"/>
    </row>
    <row r="1010" spans="1:6" x14ac:dyDescent="0.3">
      <c r="A1010" s="220"/>
      <c r="B1010" s="55"/>
      <c r="C1010" s="55"/>
      <c r="D1010" s="55"/>
      <c r="E1010" s="55"/>
      <c r="F1010" s="55"/>
    </row>
    <row r="1011" spans="1:6" x14ac:dyDescent="0.3">
      <c r="A1011" s="220"/>
      <c r="B1011" s="55"/>
      <c r="C1011" s="55"/>
      <c r="D1011" s="55"/>
      <c r="E1011" s="55"/>
      <c r="F1011" s="55"/>
    </row>
    <row r="1012" spans="1:6" x14ac:dyDescent="0.3">
      <c r="A1012" s="220"/>
      <c r="B1012" s="55"/>
      <c r="C1012" s="55"/>
      <c r="D1012" s="55"/>
      <c r="E1012" s="55"/>
      <c r="F1012" s="55"/>
    </row>
    <row r="1013" spans="1:6" x14ac:dyDescent="0.3">
      <c r="A1013" s="220"/>
      <c r="B1013" s="55"/>
      <c r="C1013" s="55"/>
      <c r="D1013" s="55"/>
      <c r="E1013" s="55"/>
      <c r="F1013" s="55"/>
    </row>
    <row r="1014" spans="1:6" x14ac:dyDescent="0.3">
      <c r="A1014" s="220"/>
      <c r="B1014" s="55"/>
      <c r="C1014" s="55"/>
      <c r="D1014" s="55"/>
      <c r="E1014" s="55"/>
      <c r="F1014" s="55"/>
    </row>
    <row r="1015" spans="1:6" x14ac:dyDescent="0.3">
      <c r="A1015" s="220"/>
      <c r="B1015" s="55"/>
      <c r="C1015" s="55"/>
      <c r="D1015" s="55"/>
      <c r="E1015" s="55"/>
      <c r="F1015" s="55"/>
    </row>
    <row r="1016" spans="1:6" x14ac:dyDescent="0.3">
      <c r="A1016" s="220"/>
      <c r="B1016" s="55"/>
      <c r="C1016" s="55"/>
      <c r="D1016" s="55"/>
      <c r="E1016" s="55"/>
      <c r="F1016" s="55"/>
    </row>
    <row r="1017" spans="1:6" x14ac:dyDescent="0.3">
      <c r="A1017" s="220"/>
      <c r="B1017" s="55"/>
      <c r="C1017" s="55"/>
      <c r="D1017" s="55"/>
      <c r="E1017" s="55"/>
      <c r="F1017" s="55"/>
    </row>
    <row r="1018" spans="1:6" x14ac:dyDescent="0.3">
      <c r="A1018" s="220"/>
      <c r="B1018" s="55"/>
      <c r="C1018" s="55"/>
      <c r="D1018" s="55"/>
      <c r="E1018" s="55"/>
      <c r="F1018" s="55"/>
    </row>
    <row r="1019" spans="1:6" x14ac:dyDescent="0.3">
      <c r="A1019" s="220"/>
      <c r="B1019" s="55"/>
      <c r="C1019" s="55"/>
      <c r="D1019" s="55"/>
      <c r="E1019" s="55"/>
      <c r="F1019" s="55"/>
    </row>
    <row r="1020" spans="1:6" x14ac:dyDescent="0.3">
      <c r="A1020" s="220"/>
      <c r="B1020" s="55"/>
      <c r="C1020" s="55"/>
      <c r="D1020" s="55"/>
      <c r="E1020" s="55"/>
      <c r="F1020" s="55"/>
    </row>
    <row r="1021" spans="1:6" x14ac:dyDescent="0.3">
      <c r="A1021" s="220"/>
      <c r="B1021" s="55"/>
      <c r="C1021" s="55"/>
      <c r="D1021" s="55"/>
      <c r="E1021" s="55"/>
      <c r="F1021" s="55"/>
    </row>
    <row r="1022" spans="1:6" x14ac:dyDescent="0.3">
      <c r="A1022" s="220"/>
      <c r="B1022" s="55"/>
      <c r="C1022" s="55"/>
      <c r="D1022" s="55"/>
      <c r="E1022" s="55"/>
      <c r="F1022" s="55"/>
    </row>
    <row r="1023" spans="1:6" x14ac:dyDescent="0.3">
      <c r="A1023" s="220"/>
      <c r="B1023" s="55"/>
      <c r="C1023" s="55"/>
      <c r="D1023" s="55"/>
      <c r="E1023" s="55"/>
      <c r="F1023" s="55"/>
    </row>
    <row r="1024" spans="1:6" x14ac:dyDescent="0.3">
      <c r="A1024" s="220"/>
      <c r="B1024" s="55"/>
      <c r="C1024" s="55"/>
      <c r="D1024" s="55"/>
      <c r="E1024" s="55"/>
      <c r="F1024" s="55"/>
    </row>
    <row r="1025" spans="1:6" x14ac:dyDescent="0.3">
      <c r="A1025" s="220"/>
      <c r="B1025" s="55"/>
      <c r="C1025" s="55"/>
      <c r="D1025" s="55"/>
      <c r="E1025" s="55"/>
      <c r="F1025" s="55"/>
    </row>
    <row r="1026" spans="1:6" x14ac:dyDescent="0.3">
      <c r="A1026" s="220"/>
      <c r="B1026" s="55"/>
      <c r="C1026" s="55"/>
      <c r="D1026" s="55"/>
      <c r="E1026" s="55"/>
      <c r="F1026" s="55"/>
    </row>
    <row r="1027" spans="1:6" x14ac:dyDescent="0.3">
      <c r="A1027" s="220"/>
      <c r="B1027" s="55"/>
      <c r="C1027" s="55"/>
      <c r="D1027" s="55"/>
      <c r="E1027" s="55"/>
      <c r="F1027" s="55"/>
    </row>
    <row r="1028" spans="1:6" x14ac:dyDescent="0.3">
      <c r="A1028" s="220"/>
      <c r="B1028" s="55"/>
      <c r="C1028" s="55"/>
      <c r="D1028" s="55"/>
      <c r="E1028" s="55"/>
      <c r="F1028" s="55"/>
    </row>
    <row r="1029" spans="1:6" x14ac:dyDescent="0.3">
      <c r="A1029" s="220"/>
      <c r="B1029" s="55"/>
      <c r="C1029" s="55"/>
      <c r="D1029" s="55"/>
      <c r="E1029" s="55"/>
      <c r="F1029" s="55"/>
    </row>
    <row r="1030" spans="1:6" x14ac:dyDescent="0.3">
      <c r="A1030" s="220"/>
      <c r="B1030" s="55"/>
      <c r="C1030" s="55"/>
      <c r="D1030" s="55"/>
      <c r="E1030" s="55"/>
      <c r="F1030" s="55"/>
    </row>
    <row r="1031" spans="1:6" x14ac:dyDescent="0.3">
      <c r="A1031" s="220"/>
      <c r="B1031" s="55"/>
      <c r="C1031" s="55"/>
      <c r="D1031" s="55"/>
      <c r="E1031" s="55"/>
      <c r="F1031" s="55"/>
    </row>
    <row r="1032" spans="1:6" x14ac:dyDescent="0.3">
      <c r="A1032" s="220"/>
      <c r="B1032" s="55"/>
      <c r="C1032" s="55"/>
      <c r="D1032" s="55"/>
      <c r="E1032" s="55"/>
      <c r="F1032" s="55"/>
    </row>
    <row r="1033" spans="1:6" x14ac:dyDescent="0.3">
      <c r="A1033" s="220"/>
      <c r="B1033" s="55"/>
      <c r="C1033" s="55"/>
      <c r="D1033" s="55"/>
      <c r="E1033" s="55"/>
      <c r="F1033" s="55"/>
    </row>
    <row r="1034" spans="1:6" x14ac:dyDescent="0.3">
      <c r="A1034" s="55"/>
      <c r="B1034" s="55"/>
      <c r="C1034" s="55"/>
      <c r="D1034" s="55"/>
      <c r="E1034" s="55"/>
      <c r="F1034" s="55"/>
    </row>
    <row r="1035" spans="1:6" x14ac:dyDescent="0.3">
      <c r="A1035" s="55"/>
      <c r="B1035" s="55"/>
      <c r="C1035" s="55"/>
      <c r="D1035" s="55"/>
      <c r="E1035" s="55"/>
      <c r="F1035" s="55"/>
    </row>
    <row r="1036" spans="1:6" x14ac:dyDescent="0.3">
      <c r="A1036" s="55"/>
      <c r="B1036" s="55"/>
      <c r="C1036" s="55"/>
      <c r="D1036" s="55"/>
      <c r="E1036" s="55"/>
      <c r="F1036" s="55"/>
    </row>
    <row r="1037" spans="1:6" x14ac:dyDescent="0.3">
      <c r="A1037" s="55"/>
      <c r="B1037" s="55"/>
      <c r="C1037" s="55"/>
      <c r="D1037" s="55"/>
      <c r="E1037" s="55"/>
      <c r="F1037" s="55"/>
    </row>
    <row r="1038" spans="1:6" x14ac:dyDescent="0.3">
      <c r="A1038" s="55"/>
      <c r="B1038" s="55"/>
      <c r="C1038" s="55"/>
      <c r="D1038" s="55"/>
      <c r="E1038" s="55"/>
      <c r="F1038" s="55"/>
    </row>
    <row r="1039" spans="1:6" x14ac:dyDescent="0.3">
      <c r="A1039" s="55"/>
      <c r="B1039" s="55"/>
      <c r="C1039" s="55"/>
      <c r="D1039" s="55"/>
      <c r="E1039" s="55"/>
      <c r="F1039" s="55"/>
    </row>
    <row r="1040" spans="1:6" x14ac:dyDescent="0.3">
      <c r="A1040" s="55"/>
      <c r="B1040" s="55"/>
      <c r="C1040" s="55"/>
      <c r="D1040" s="55"/>
      <c r="E1040" s="55"/>
      <c r="F1040" s="55"/>
    </row>
    <row r="1041" spans="1:6" x14ac:dyDescent="0.3">
      <c r="A1041" s="55"/>
      <c r="B1041" s="55"/>
      <c r="C1041" s="55"/>
      <c r="D1041" s="55"/>
      <c r="E1041" s="55"/>
      <c r="F1041" s="55"/>
    </row>
    <row r="1042" spans="1:6" x14ac:dyDescent="0.3">
      <c r="A1042" s="55"/>
      <c r="B1042" s="55"/>
      <c r="C1042" s="55"/>
      <c r="D1042" s="55"/>
      <c r="E1042" s="55"/>
      <c r="F1042" s="55"/>
    </row>
    <row r="1043" spans="1:6" x14ac:dyDescent="0.3">
      <c r="A1043" s="55"/>
      <c r="B1043" s="55"/>
      <c r="C1043" s="55"/>
      <c r="D1043" s="55"/>
      <c r="E1043" s="55"/>
      <c r="F1043" s="55"/>
    </row>
    <row r="1044" spans="1:6" x14ac:dyDescent="0.3">
      <c r="A1044" s="55"/>
      <c r="B1044" s="55"/>
      <c r="C1044" s="55"/>
      <c r="D1044" s="55"/>
      <c r="E1044" s="55"/>
      <c r="F1044" s="55"/>
    </row>
    <row r="1045" spans="1:6" x14ac:dyDescent="0.3">
      <c r="A1045" s="55"/>
      <c r="B1045" s="55"/>
      <c r="C1045" s="55"/>
      <c r="D1045" s="55"/>
      <c r="E1045" s="55"/>
      <c r="F1045" s="55"/>
    </row>
    <row r="1046" spans="1:6" x14ac:dyDescent="0.3">
      <c r="A1046" s="55"/>
      <c r="B1046" s="55"/>
      <c r="C1046" s="55"/>
      <c r="D1046" s="55"/>
      <c r="E1046" s="55"/>
      <c r="F1046" s="55"/>
    </row>
    <row r="1047" spans="1:6" x14ac:dyDescent="0.3">
      <c r="A1047" s="55"/>
      <c r="B1047" s="55"/>
      <c r="C1047" s="55"/>
      <c r="D1047" s="55"/>
      <c r="E1047" s="55"/>
      <c r="F1047" s="55"/>
    </row>
    <row r="1048" spans="1:6" x14ac:dyDescent="0.3">
      <c r="A1048" s="55"/>
      <c r="B1048" s="55"/>
      <c r="C1048" s="55"/>
      <c r="D1048" s="55"/>
      <c r="E1048" s="55"/>
      <c r="F1048" s="55"/>
    </row>
    <row r="1049" spans="1:6" x14ac:dyDescent="0.3">
      <c r="A1049" s="55"/>
      <c r="B1049" s="55"/>
      <c r="C1049" s="55"/>
      <c r="D1049" s="55"/>
      <c r="E1049" s="55"/>
      <c r="F1049" s="55"/>
    </row>
    <row r="1050" spans="1:6" x14ac:dyDescent="0.3">
      <c r="A1050" s="55"/>
      <c r="B1050" s="55"/>
      <c r="C1050" s="55"/>
      <c r="D1050" s="55"/>
      <c r="E1050" s="55"/>
      <c r="F1050" s="55"/>
    </row>
    <row r="1051" spans="1:6" x14ac:dyDescent="0.3">
      <c r="A1051" s="55"/>
      <c r="B1051" s="55"/>
      <c r="C1051" s="55"/>
      <c r="D1051" s="55"/>
      <c r="E1051" s="55"/>
      <c r="F1051" s="55"/>
    </row>
    <row r="1052" spans="1:6" x14ac:dyDescent="0.3">
      <c r="A1052" s="55"/>
      <c r="B1052" s="55"/>
      <c r="C1052" s="55"/>
      <c r="D1052" s="55"/>
      <c r="E1052" s="55"/>
      <c r="F1052" s="55"/>
    </row>
    <row r="1053" spans="1:6" x14ac:dyDescent="0.3">
      <c r="A1053" s="55"/>
      <c r="B1053" s="55"/>
      <c r="C1053" s="55"/>
      <c r="D1053" s="55"/>
      <c r="E1053" s="55"/>
      <c r="F1053" s="55"/>
    </row>
    <row r="1054" spans="1:6" x14ac:dyDescent="0.3">
      <c r="A1054" s="55"/>
      <c r="B1054" s="55"/>
      <c r="C1054" s="55"/>
      <c r="D1054" s="55"/>
      <c r="E1054" s="55"/>
      <c r="F1054" s="55"/>
    </row>
    <row r="1055" spans="1:6" x14ac:dyDescent="0.3">
      <c r="A1055" s="55"/>
      <c r="B1055" s="55"/>
      <c r="C1055" s="55"/>
      <c r="D1055" s="55"/>
      <c r="E1055" s="55"/>
      <c r="F1055" s="55"/>
    </row>
    <row r="1056" spans="1:6" x14ac:dyDescent="0.3">
      <c r="A1056" s="55"/>
      <c r="B1056" s="55"/>
      <c r="C1056" s="55"/>
      <c r="D1056" s="55"/>
      <c r="E1056" s="55"/>
      <c r="F1056" s="55"/>
    </row>
    <row r="1057" spans="1:6" x14ac:dyDescent="0.3">
      <c r="A1057" s="55"/>
      <c r="B1057" s="55"/>
      <c r="C1057" s="55"/>
      <c r="D1057" s="55"/>
      <c r="E1057" s="55"/>
      <c r="F1057" s="55"/>
    </row>
    <row r="1058" spans="1:6" x14ac:dyDescent="0.3">
      <c r="A1058" s="55"/>
      <c r="B1058" s="55"/>
      <c r="C1058" s="55"/>
      <c r="D1058" s="55"/>
      <c r="E1058" s="55"/>
      <c r="F1058" s="55"/>
    </row>
    <row r="1059" spans="1:6" x14ac:dyDescent="0.3">
      <c r="A1059" s="55"/>
      <c r="B1059" s="55"/>
      <c r="C1059" s="55"/>
      <c r="D1059" s="55"/>
      <c r="E1059" s="55"/>
      <c r="F1059" s="55"/>
    </row>
    <row r="1060" spans="1:6" x14ac:dyDescent="0.3">
      <c r="A1060" s="55"/>
      <c r="B1060" s="55"/>
      <c r="C1060" s="55"/>
      <c r="D1060" s="55"/>
      <c r="E1060" s="55"/>
      <c r="F1060" s="55"/>
    </row>
    <row r="1061" spans="1:6" x14ac:dyDescent="0.3">
      <c r="A1061" s="55"/>
      <c r="B1061" s="55"/>
      <c r="C1061" s="55"/>
      <c r="D1061" s="55"/>
      <c r="E1061" s="55"/>
      <c r="F1061" s="55"/>
    </row>
    <row r="1062" spans="1:6" x14ac:dyDescent="0.3">
      <c r="A1062" s="55"/>
      <c r="B1062" s="55"/>
      <c r="C1062" s="55"/>
      <c r="D1062" s="55"/>
      <c r="E1062" s="55"/>
      <c r="F1062" s="55"/>
    </row>
    <row r="1063" spans="1:6" x14ac:dyDescent="0.3">
      <c r="A1063" s="55"/>
      <c r="B1063" s="55"/>
      <c r="C1063" s="55"/>
      <c r="D1063" s="55"/>
      <c r="E1063" s="55"/>
      <c r="F1063" s="55"/>
    </row>
    <row r="1064" spans="1:6" x14ac:dyDescent="0.3">
      <c r="A1064" s="55"/>
      <c r="B1064" s="55"/>
      <c r="C1064" s="55"/>
      <c r="D1064" s="55"/>
      <c r="E1064" s="55"/>
      <c r="F1064" s="55"/>
    </row>
    <row r="1065" spans="1:6" x14ac:dyDescent="0.3">
      <c r="A1065" s="55"/>
      <c r="B1065" s="55"/>
      <c r="C1065" s="55"/>
      <c r="D1065" s="55"/>
      <c r="E1065" s="55"/>
      <c r="F1065" s="55"/>
    </row>
    <row r="1066" spans="1:6" x14ac:dyDescent="0.3">
      <c r="A1066" s="55"/>
      <c r="B1066" s="55"/>
      <c r="C1066" s="55"/>
      <c r="D1066" s="55"/>
      <c r="E1066" s="55"/>
      <c r="F1066" s="55"/>
    </row>
    <row r="1067" spans="1:6" x14ac:dyDescent="0.3">
      <c r="A1067" s="55"/>
      <c r="B1067" s="55"/>
      <c r="C1067" s="55"/>
      <c r="D1067" s="55"/>
      <c r="E1067" s="55"/>
      <c r="F1067" s="55"/>
    </row>
    <row r="1068" spans="1:6" x14ac:dyDescent="0.3">
      <c r="A1068" s="55"/>
      <c r="B1068" s="55"/>
      <c r="C1068" s="55"/>
      <c r="D1068" s="55"/>
      <c r="E1068" s="55"/>
      <c r="F1068" s="55"/>
    </row>
    <row r="1069" spans="1:6" x14ac:dyDescent="0.3">
      <c r="A1069" s="55"/>
      <c r="B1069" s="55"/>
      <c r="C1069" s="55"/>
      <c r="D1069" s="55"/>
      <c r="E1069" s="55"/>
      <c r="F1069" s="55"/>
    </row>
    <row r="1070" spans="1:6" x14ac:dyDescent="0.3">
      <c r="A1070" s="55"/>
      <c r="B1070" s="55"/>
      <c r="C1070" s="55"/>
      <c r="D1070" s="55"/>
      <c r="E1070" s="55"/>
      <c r="F1070" s="55"/>
    </row>
    <row r="1071" spans="1:6" x14ac:dyDescent="0.3">
      <c r="A1071" s="55"/>
      <c r="B1071" s="55"/>
      <c r="C1071" s="55"/>
      <c r="D1071" s="55"/>
      <c r="E1071" s="55"/>
      <c r="F1071" s="55"/>
    </row>
    <row r="1072" spans="1:6" x14ac:dyDescent="0.3">
      <c r="A1072" s="55"/>
      <c r="B1072" s="55"/>
      <c r="C1072" s="55"/>
      <c r="D1072" s="55"/>
      <c r="E1072" s="55"/>
      <c r="F1072" s="55"/>
    </row>
    <row r="1073" spans="1:6" x14ac:dyDescent="0.3">
      <c r="A1073" s="55"/>
      <c r="B1073" s="55"/>
      <c r="C1073" s="55"/>
      <c r="D1073" s="55"/>
      <c r="E1073" s="55"/>
      <c r="F1073" s="55"/>
    </row>
    <row r="1074" spans="1:6" x14ac:dyDescent="0.3">
      <c r="A1074" s="55"/>
      <c r="B1074" s="55"/>
      <c r="C1074" s="55"/>
      <c r="D1074" s="55"/>
      <c r="E1074" s="55"/>
      <c r="F1074" s="55"/>
    </row>
    <row r="1075" spans="1:6" x14ac:dyDescent="0.3">
      <c r="A1075" s="55"/>
      <c r="B1075" s="55"/>
      <c r="C1075" s="55"/>
      <c r="D1075" s="55"/>
      <c r="E1075" s="55"/>
      <c r="F1075" s="55"/>
    </row>
    <row r="1076" spans="1:6" x14ac:dyDescent="0.3">
      <c r="A1076" s="55"/>
      <c r="B1076" s="55"/>
      <c r="C1076" s="55"/>
      <c r="D1076" s="55"/>
      <c r="E1076" s="55"/>
      <c r="F1076" s="55"/>
    </row>
  </sheetData>
  <mergeCells count="3">
    <mergeCell ref="A1:D2"/>
    <mergeCell ref="H10:I10"/>
    <mergeCell ref="J10:K10"/>
  </mergeCells>
  <conditionalFormatting sqref="J12">
    <cfRule type="expression" dxfId="13" priority="1">
      <formula>$J$12&gt;0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Botón7_Haga_clic_en">
                <anchor moveWithCells="1" sizeWithCells="1">
                  <from>
                    <xdr:col>4</xdr:col>
                    <xdr:colOff>22860</xdr:colOff>
                    <xdr:row>0</xdr:row>
                    <xdr:rowOff>152400</xdr:rowOff>
                  </from>
                  <to>
                    <xdr:col>4</xdr:col>
                    <xdr:colOff>1059180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AI1469"/>
  <sheetViews>
    <sheetView tabSelected="1" topLeftCell="H1" zoomScaleNormal="100" workbookViewId="0">
      <selection activeCell="P14" sqref="P14"/>
    </sheetView>
  </sheetViews>
  <sheetFormatPr baseColWidth="10" defaultRowHeight="14.4" x14ac:dyDescent="0.3"/>
  <cols>
    <col min="2" max="2" width="15.109375" bestFit="1" customWidth="1"/>
    <col min="3" max="3" width="19.6640625" customWidth="1"/>
    <col min="4" max="4" width="16" customWidth="1"/>
    <col min="5" max="5" width="16.109375" customWidth="1"/>
    <col min="6" max="6" width="17.109375" bestFit="1" customWidth="1"/>
    <col min="7" max="7" width="21.77734375" customWidth="1"/>
    <col min="9" max="9" width="15.109375" bestFit="1" customWidth="1"/>
    <col min="10" max="10" width="16" customWidth="1"/>
  </cols>
  <sheetData>
    <row r="1" spans="1:35" x14ac:dyDescent="0.3">
      <c r="A1" s="358" t="s">
        <v>139</v>
      </c>
      <c r="B1" s="358"/>
      <c r="C1" s="358"/>
      <c r="D1" s="358"/>
    </row>
    <row r="2" spans="1:35" ht="15" thickBot="1" x14ac:dyDescent="0.35">
      <c r="A2" s="358"/>
      <c r="B2" s="358"/>
      <c r="C2" s="358"/>
      <c r="D2" s="358"/>
    </row>
    <row r="3" spans="1:35" ht="15" thickBot="1" x14ac:dyDescent="0.35">
      <c r="A3" s="197" t="s">
        <v>47</v>
      </c>
      <c r="B3" s="268">
        <v>500</v>
      </c>
      <c r="C3" s="346" t="s">
        <v>209</v>
      </c>
      <c r="E3">
        <v>12</v>
      </c>
      <c r="J3">
        <v>0</v>
      </c>
    </row>
    <row r="4" spans="1:35" x14ac:dyDescent="0.3">
      <c r="A4" s="198" t="s">
        <v>140</v>
      </c>
      <c r="B4" s="10">
        <v>12</v>
      </c>
      <c r="C4" s="224" t="s">
        <v>155</v>
      </c>
      <c r="D4" s="222">
        <f>D8/B4</f>
        <v>10</v>
      </c>
      <c r="E4" s="284"/>
      <c r="F4" s="285">
        <v>55</v>
      </c>
      <c r="G4" s="285" t="s">
        <v>230</v>
      </c>
      <c r="J4" s="229">
        <f>SUM(D21:D32)</f>
        <v>25.790000000000003</v>
      </c>
    </row>
    <row r="5" spans="1:35" ht="15" thickBot="1" x14ac:dyDescent="0.35">
      <c r="A5" s="198" t="s">
        <v>54</v>
      </c>
      <c r="B5" s="10">
        <v>9</v>
      </c>
      <c r="C5" s="225" t="s">
        <v>156</v>
      </c>
      <c r="D5" s="223">
        <f>B8*B4</f>
        <v>12</v>
      </c>
      <c r="E5" s="55"/>
      <c r="F5" s="285">
        <v>5</v>
      </c>
      <c r="G5" s="285" t="s">
        <v>229</v>
      </c>
      <c r="J5" s="229">
        <f>SUM(D33:D44)</f>
        <v>43.45</v>
      </c>
    </row>
    <row r="6" spans="1:35" x14ac:dyDescent="0.3">
      <c r="A6" s="198" t="s">
        <v>141</v>
      </c>
      <c r="B6" s="9">
        <v>1</v>
      </c>
      <c r="C6" s="226" t="s">
        <v>143</v>
      </c>
      <c r="D6" s="221">
        <f>(B3*(((1+(B7/B6))^(B6/B4))-1))/(1-((1+(B7/B6))^(-B6*B5)))</f>
        <v>6.557610847157318</v>
      </c>
      <c r="E6" s="55"/>
      <c r="F6" s="285">
        <v>8</v>
      </c>
      <c r="G6" s="285" t="s">
        <v>228</v>
      </c>
      <c r="J6" s="229">
        <f>SUM(D45:D56)</f>
        <v>61.999999999999993</v>
      </c>
    </row>
    <row r="7" spans="1:35" x14ac:dyDescent="0.3">
      <c r="A7" s="198" t="s">
        <v>142</v>
      </c>
      <c r="B7" s="151">
        <v>8.5000000000000006E-2</v>
      </c>
      <c r="C7" s="227" t="s">
        <v>145</v>
      </c>
      <c r="D7" s="199">
        <f>(1+(B7/B6))^((B6/B4))-1</f>
        <v>6.8214933659622723E-3</v>
      </c>
      <c r="E7" s="55"/>
      <c r="F7" s="368">
        <v>27.29</v>
      </c>
      <c r="G7" s="366" t="s">
        <v>231</v>
      </c>
      <c r="J7" s="229">
        <f>SUM(D57:D67)</f>
        <v>68.760000000000005</v>
      </c>
    </row>
    <row r="8" spans="1:35" x14ac:dyDescent="0.3">
      <c r="A8" s="369" t="s">
        <v>28</v>
      </c>
      <c r="B8" s="12">
        <v>1</v>
      </c>
      <c r="C8" s="228" t="s">
        <v>144</v>
      </c>
      <c r="D8" s="29">
        <f>B5*B4+(B8*B4)</f>
        <v>120</v>
      </c>
      <c r="E8" s="55"/>
      <c r="F8" s="285">
        <v>47</v>
      </c>
      <c r="G8" s="285" t="s">
        <v>232</v>
      </c>
      <c r="H8" s="243"/>
    </row>
    <row r="9" spans="1:35" x14ac:dyDescent="0.3">
      <c r="A9" s="194"/>
      <c r="B9" s="10"/>
      <c r="C9" s="55"/>
      <c r="D9" s="55"/>
      <c r="E9" s="55"/>
      <c r="F9" s="285">
        <v>3.9166666666666665</v>
      </c>
      <c r="G9" s="285" t="s">
        <v>233</v>
      </c>
      <c r="I9" s="229"/>
      <c r="L9" s="243">
        <f>SUM(L13:L17)</f>
        <v>122.38000000000001</v>
      </c>
    </row>
    <row r="10" spans="1:35" x14ac:dyDescent="0.3">
      <c r="A10" s="55"/>
      <c r="B10" s="55"/>
      <c r="C10" s="55"/>
      <c r="D10" s="55"/>
      <c r="E10" s="55"/>
      <c r="H10" s="359"/>
      <c r="I10" s="359"/>
      <c r="J10" s="359"/>
      <c r="K10" s="359"/>
    </row>
    <row r="11" spans="1:35" x14ac:dyDescent="0.3">
      <c r="A11" s="212" t="s">
        <v>144</v>
      </c>
      <c r="B11" s="206" t="s">
        <v>143</v>
      </c>
      <c r="C11" s="206" t="s">
        <v>146</v>
      </c>
      <c r="D11" s="206" t="s">
        <v>147</v>
      </c>
      <c r="E11" s="206" t="s">
        <v>148</v>
      </c>
      <c r="F11" s="207" t="s">
        <v>149</v>
      </c>
      <c r="G11" s="87" t="s">
        <v>205</v>
      </c>
      <c r="H11" s="267"/>
      <c r="I11" s="206" t="s">
        <v>152</v>
      </c>
      <c r="J11" s="206" t="s">
        <v>157</v>
      </c>
      <c r="K11" s="328" t="s">
        <v>203</v>
      </c>
      <c r="L11" s="326" t="s">
        <v>157</v>
      </c>
      <c r="M11" s="327"/>
      <c r="O11" s="318" t="s">
        <v>146</v>
      </c>
      <c r="P11" s="320">
        <v>40.93</v>
      </c>
      <c r="Q11" s="320">
        <v>39.479999999999997</v>
      </c>
      <c r="R11" s="320">
        <v>29.9</v>
      </c>
      <c r="S11" s="320">
        <v>10.86</v>
      </c>
      <c r="T11" s="320">
        <v>1.2</v>
      </c>
      <c r="U11" s="320">
        <v>0</v>
      </c>
      <c r="V11" s="320">
        <v>0</v>
      </c>
      <c r="W11" s="320">
        <v>0</v>
      </c>
      <c r="X11" s="320">
        <v>0</v>
      </c>
      <c r="Y11" s="320">
        <v>0</v>
      </c>
      <c r="Z11" s="319">
        <v>0</v>
      </c>
      <c r="AA11" s="319">
        <v>0</v>
      </c>
      <c r="AB11" s="319">
        <v>0</v>
      </c>
      <c r="AC11" s="319">
        <v>0</v>
      </c>
      <c r="AD11" s="319">
        <v>0</v>
      </c>
      <c r="AE11" s="319">
        <v>0</v>
      </c>
      <c r="AF11" s="319">
        <v>0</v>
      </c>
      <c r="AG11" s="319">
        <v>0</v>
      </c>
      <c r="AH11" s="319">
        <v>0</v>
      </c>
      <c r="AI11" s="319">
        <v>0</v>
      </c>
    </row>
    <row r="12" spans="1:35" x14ac:dyDescent="0.3">
      <c r="A12" s="208">
        <v>0</v>
      </c>
      <c r="B12" s="203">
        <f>0</f>
        <v>0</v>
      </c>
      <c r="C12" s="204">
        <v>0</v>
      </c>
      <c r="D12" s="203">
        <f>0</f>
        <v>0</v>
      </c>
      <c r="E12" s="203">
        <f>0</f>
        <v>0</v>
      </c>
      <c r="F12" s="201">
        <f>B3</f>
        <v>500</v>
      </c>
      <c r="G12" s="367" t="s">
        <v>206</v>
      </c>
      <c r="H12" s="5" t="s">
        <v>155</v>
      </c>
      <c r="I12" s="274">
        <v>500</v>
      </c>
      <c r="J12" s="321">
        <v>122.3753</v>
      </c>
      <c r="K12" s="370">
        <v>200</v>
      </c>
      <c r="L12" s="374">
        <v>122.38</v>
      </c>
      <c r="M12" s="193"/>
      <c r="O12" s="318" t="s">
        <v>152</v>
      </c>
      <c r="P12" s="319">
        <v>0</v>
      </c>
      <c r="Q12" s="319">
        <v>39.22</v>
      </c>
      <c r="R12" s="319">
        <v>198.78</v>
      </c>
      <c r="S12" s="319">
        <v>217.84</v>
      </c>
      <c r="T12" s="319">
        <v>44.16</v>
      </c>
      <c r="U12" s="319">
        <v>0</v>
      </c>
      <c r="V12" s="319">
        <v>0</v>
      </c>
      <c r="W12" s="319">
        <v>0</v>
      </c>
      <c r="X12" s="319">
        <v>0</v>
      </c>
      <c r="Y12" s="319">
        <v>0</v>
      </c>
      <c r="Z12" s="319">
        <v>0</v>
      </c>
      <c r="AA12" s="319">
        <v>0</v>
      </c>
      <c r="AB12" s="319">
        <v>0</v>
      </c>
      <c r="AC12" s="319">
        <v>0</v>
      </c>
      <c r="AD12" s="319">
        <v>0</v>
      </c>
      <c r="AE12" s="319">
        <v>0</v>
      </c>
      <c r="AF12" s="319">
        <v>0</v>
      </c>
      <c r="AG12" s="319">
        <v>0</v>
      </c>
      <c r="AH12" s="319">
        <v>0</v>
      </c>
      <c r="AI12" s="319">
        <v>0</v>
      </c>
    </row>
    <row r="13" spans="1:35" x14ac:dyDescent="0.3">
      <c r="A13" s="209">
        <v>1</v>
      </c>
      <c r="B13" s="213">
        <v>6.56</v>
      </c>
      <c r="C13" s="193">
        <v>3.4107466829811361</v>
      </c>
      <c r="D13" s="215">
        <v>0</v>
      </c>
      <c r="E13" s="205">
        <v>0</v>
      </c>
      <c r="F13" s="214">
        <v>500</v>
      </c>
      <c r="G13" s="367" t="s">
        <v>207</v>
      </c>
      <c r="H13" s="8">
        <v>1</v>
      </c>
      <c r="I13" s="242">
        <v>0</v>
      </c>
      <c r="J13" s="322">
        <v>40.928400000000003</v>
      </c>
      <c r="K13" s="282">
        <v>0</v>
      </c>
      <c r="L13" s="373">
        <v>27.29</v>
      </c>
      <c r="M13" s="193"/>
      <c r="O13" s="311"/>
    </row>
    <row r="14" spans="1:35" x14ac:dyDescent="0.3">
      <c r="A14" s="209">
        <v>2</v>
      </c>
      <c r="B14" s="213">
        <v>6.56</v>
      </c>
      <c r="C14" s="193">
        <v>3.4107466829811361</v>
      </c>
      <c r="D14" s="215">
        <v>0</v>
      </c>
      <c r="E14" s="205">
        <v>0</v>
      </c>
      <c r="F14" s="214">
        <v>500</v>
      </c>
      <c r="G14" s="367" t="s">
        <v>208</v>
      </c>
      <c r="H14" s="8">
        <v>2</v>
      </c>
      <c r="I14" s="242">
        <v>39.22</v>
      </c>
      <c r="J14" s="322">
        <v>39.478999999999999</v>
      </c>
      <c r="K14" s="282">
        <v>25.79</v>
      </c>
      <c r="L14" s="373">
        <v>40.32</v>
      </c>
      <c r="M14" s="193"/>
      <c r="O14" s="326" t="s">
        <v>146</v>
      </c>
      <c r="P14" s="320">
        <v>27.29</v>
      </c>
      <c r="Q14" s="320">
        <v>40.32</v>
      </c>
      <c r="R14" s="320">
        <v>35.229999999999997</v>
      </c>
      <c r="S14" s="320">
        <v>16.71</v>
      </c>
      <c r="T14" s="320">
        <v>2.83</v>
      </c>
      <c r="U14" s="320"/>
      <c r="V14" s="319"/>
      <c r="W14" s="319"/>
      <c r="X14" s="319"/>
      <c r="Y14" s="319"/>
      <c r="Z14" s="319">
        <v>0</v>
      </c>
      <c r="AA14" s="319">
        <v>0</v>
      </c>
      <c r="AB14" s="319">
        <v>0</v>
      </c>
      <c r="AC14" s="319">
        <v>0</v>
      </c>
      <c r="AD14" s="319">
        <v>0</v>
      </c>
      <c r="AE14" s="319">
        <v>0</v>
      </c>
      <c r="AF14" s="319">
        <v>0</v>
      </c>
      <c r="AG14" s="319">
        <v>0</v>
      </c>
      <c r="AH14" s="319">
        <v>0</v>
      </c>
      <c r="AI14" s="319">
        <v>0</v>
      </c>
    </row>
    <row r="15" spans="1:35" x14ac:dyDescent="0.3">
      <c r="A15" s="209">
        <v>3</v>
      </c>
      <c r="B15" s="213">
        <v>6.56</v>
      </c>
      <c r="C15" s="193">
        <v>3.4107466829811361</v>
      </c>
      <c r="D15" s="215">
        <v>0</v>
      </c>
      <c r="E15" s="205">
        <v>0</v>
      </c>
      <c r="F15" s="214">
        <v>500</v>
      </c>
      <c r="G15" s="367" t="s">
        <v>209</v>
      </c>
      <c r="H15" s="8">
        <v>3</v>
      </c>
      <c r="I15" s="242">
        <v>198.78</v>
      </c>
      <c r="J15" s="322">
        <v>29.901399999999999</v>
      </c>
      <c r="K15" s="282">
        <v>43.45</v>
      </c>
      <c r="L15" s="373">
        <v>35.229999999999997</v>
      </c>
      <c r="M15" s="193"/>
      <c r="O15" s="326" t="s">
        <v>152</v>
      </c>
      <c r="P15" s="319">
        <v>0</v>
      </c>
      <c r="Q15" s="319">
        <v>25.79</v>
      </c>
      <c r="R15" s="319">
        <v>43.45</v>
      </c>
      <c r="S15" s="319">
        <v>62</v>
      </c>
      <c r="T15" s="319">
        <v>68.760000000000005</v>
      </c>
      <c r="U15" s="319">
        <v>0</v>
      </c>
      <c r="V15" s="319">
        <v>0</v>
      </c>
      <c r="W15" s="319">
        <v>0</v>
      </c>
      <c r="X15" s="319">
        <v>0</v>
      </c>
      <c r="Y15" s="319">
        <v>0</v>
      </c>
      <c r="Z15" s="319">
        <v>0</v>
      </c>
      <c r="AA15" s="319">
        <v>0</v>
      </c>
      <c r="AB15" s="319">
        <v>0</v>
      </c>
      <c r="AC15" s="319">
        <v>0</v>
      </c>
      <c r="AD15" s="319">
        <v>0</v>
      </c>
      <c r="AE15" s="319">
        <v>0</v>
      </c>
      <c r="AF15" s="319">
        <v>0</v>
      </c>
      <c r="AG15" s="319">
        <v>0</v>
      </c>
      <c r="AH15" s="319">
        <v>0</v>
      </c>
      <c r="AI15" s="319">
        <v>0</v>
      </c>
    </row>
    <row r="16" spans="1:35" x14ac:dyDescent="0.3">
      <c r="A16" s="209">
        <v>4</v>
      </c>
      <c r="B16" s="213">
        <v>6.56</v>
      </c>
      <c r="C16" s="193">
        <v>3.4107466829811361</v>
      </c>
      <c r="D16" s="215">
        <v>0</v>
      </c>
      <c r="E16" s="205">
        <v>0</v>
      </c>
      <c r="F16" s="214">
        <v>500</v>
      </c>
      <c r="G16" s="367" t="s">
        <v>210</v>
      </c>
      <c r="H16" s="8">
        <v>4</v>
      </c>
      <c r="I16" s="242">
        <v>217.84</v>
      </c>
      <c r="J16" s="322">
        <v>10.864599999999999</v>
      </c>
      <c r="K16" s="282">
        <v>62</v>
      </c>
      <c r="L16" s="373">
        <v>16.71</v>
      </c>
      <c r="M16" s="193"/>
    </row>
    <row r="17" spans="1:13" x14ac:dyDescent="0.3">
      <c r="A17" s="209">
        <v>5</v>
      </c>
      <c r="B17" s="213">
        <v>6.56</v>
      </c>
      <c r="C17" s="193">
        <v>3.4107466829811361</v>
      </c>
      <c r="D17" s="215">
        <v>0</v>
      </c>
      <c r="E17" s="205">
        <v>0</v>
      </c>
      <c r="F17" s="214">
        <v>500</v>
      </c>
      <c r="G17" s="367" t="s">
        <v>211</v>
      </c>
      <c r="H17" s="8">
        <v>5</v>
      </c>
      <c r="I17" s="242">
        <v>44.16</v>
      </c>
      <c r="J17" s="322">
        <v>1.2019</v>
      </c>
      <c r="K17" s="282">
        <v>68.760000000000005</v>
      </c>
      <c r="L17" s="373">
        <v>2.83</v>
      </c>
      <c r="M17" s="193"/>
    </row>
    <row r="18" spans="1:13" x14ac:dyDescent="0.3">
      <c r="A18" s="209">
        <v>6</v>
      </c>
      <c r="B18" s="213">
        <v>6.56</v>
      </c>
      <c r="C18" s="193">
        <v>3.4107466829811361</v>
      </c>
      <c r="D18" s="215">
        <v>0</v>
      </c>
      <c r="E18" s="205">
        <v>0</v>
      </c>
      <c r="F18" s="214">
        <v>500</v>
      </c>
      <c r="G18" s="367" t="s">
        <v>212</v>
      </c>
      <c r="H18" s="8">
        <v>6</v>
      </c>
      <c r="I18" s="242">
        <v>0</v>
      </c>
      <c r="J18" s="322">
        <v>0</v>
      </c>
      <c r="K18" s="282">
        <v>0</v>
      </c>
      <c r="L18" s="373"/>
      <c r="M18" s="193"/>
    </row>
    <row r="19" spans="1:13" x14ac:dyDescent="0.3">
      <c r="A19" s="209">
        <v>7</v>
      </c>
      <c r="B19" s="213">
        <v>6.56</v>
      </c>
      <c r="C19" s="193">
        <v>3.4107466829811361</v>
      </c>
      <c r="D19" s="215">
        <v>0</v>
      </c>
      <c r="E19" s="205">
        <v>0</v>
      </c>
      <c r="F19" s="214">
        <v>500</v>
      </c>
      <c r="G19" s="367" t="s">
        <v>227</v>
      </c>
      <c r="H19" s="8">
        <v>7</v>
      </c>
      <c r="I19" s="242">
        <v>0</v>
      </c>
      <c r="J19" s="322">
        <v>0</v>
      </c>
      <c r="K19" s="282">
        <v>0</v>
      </c>
      <c r="L19" s="371"/>
      <c r="M19" s="193"/>
    </row>
    <row r="20" spans="1:13" x14ac:dyDescent="0.3">
      <c r="A20" s="209">
        <v>8</v>
      </c>
      <c r="B20" s="213">
        <v>6.56</v>
      </c>
      <c r="C20" s="193">
        <v>3.4107466829811361</v>
      </c>
      <c r="D20" s="215">
        <v>0</v>
      </c>
      <c r="E20" s="205">
        <v>0</v>
      </c>
      <c r="F20" s="214">
        <v>500</v>
      </c>
      <c r="G20" s="367" t="s">
        <v>214</v>
      </c>
      <c r="H20" s="8">
        <v>8</v>
      </c>
      <c r="I20" s="242">
        <v>0</v>
      </c>
      <c r="J20" s="322">
        <v>0</v>
      </c>
      <c r="K20" s="282">
        <v>0</v>
      </c>
      <c r="L20" s="371"/>
      <c r="M20" s="193"/>
    </row>
    <row r="21" spans="1:13" x14ac:dyDescent="0.3">
      <c r="A21" s="209">
        <v>9</v>
      </c>
      <c r="B21" s="213">
        <v>6.56</v>
      </c>
      <c r="C21" s="193">
        <v>3.4107466829811361</v>
      </c>
      <c r="D21" s="215">
        <v>0</v>
      </c>
      <c r="E21" s="205">
        <v>0</v>
      </c>
      <c r="F21" s="214">
        <v>500</v>
      </c>
      <c r="G21" s="367" t="s">
        <v>215</v>
      </c>
      <c r="H21" s="8">
        <v>9</v>
      </c>
      <c r="I21" s="242">
        <v>0</v>
      </c>
      <c r="J21" s="322">
        <v>0</v>
      </c>
      <c r="K21" s="282">
        <v>0</v>
      </c>
      <c r="L21" s="371"/>
      <c r="M21" s="193"/>
    </row>
    <row r="22" spans="1:13" x14ac:dyDescent="0.3">
      <c r="A22" s="209">
        <v>10</v>
      </c>
      <c r="B22" s="213">
        <v>6.56</v>
      </c>
      <c r="C22" s="193">
        <v>3.4107466829811361</v>
      </c>
      <c r="D22" s="215">
        <v>0</v>
      </c>
      <c r="E22" s="205">
        <v>0</v>
      </c>
      <c r="F22" s="214">
        <v>500</v>
      </c>
      <c r="G22" s="367" t="s">
        <v>216</v>
      </c>
      <c r="H22" s="8">
        <v>10</v>
      </c>
      <c r="I22" s="242">
        <v>0</v>
      </c>
      <c r="J22" s="322">
        <v>0</v>
      </c>
      <c r="K22" s="282">
        <v>0</v>
      </c>
      <c r="L22" s="371"/>
      <c r="M22" s="193"/>
    </row>
    <row r="23" spans="1:13" x14ac:dyDescent="0.3">
      <c r="A23" s="209">
        <v>11</v>
      </c>
      <c r="B23" s="213">
        <v>6.56</v>
      </c>
      <c r="C23" s="193">
        <v>3.4107466829811361</v>
      </c>
      <c r="D23" s="215">
        <v>0</v>
      </c>
      <c r="E23" s="205">
        <v>0</v>
      </c>
      <c r="F23" s="214">
        <v>500</v>
      </c>
      <c r="G23" s="347"/>
      <c r="H23" s="8"/>
      <c r="I23" s="242"/>
      <c r="J23" s="282"/>
      <c r="K23" s="282">
        <v>0</v>
      </c>
      <c r="L23" s="371"/>
      <c r="M23" s="193"/>
    </row>
    <row r="24" spans="1:13" x14ac:dyDescent="0.3">
      <c r="A24" s="209">
        <v>12</v>
      </c>
      <c r="B24" s="213">
        <v>6.56</v>
      </c>
      <c r="C24" s="193">
        <v>3.4107466829811361</v>
      </c>
      <c r="D24" s="215">
        <v>0</v>
      </c>
      <c r="E24" s="205">
        <v>0</v>
      </c>
      <c r="F24" s="214">
        <v>500</v>
      </c>
      <c r="G24" s="365">
        <f>SUM(C13:C20)</f>
        <v>27.285973463849082</v>
      </c>
      <c r="H24" s="8"/>
      <c r="I24" s="242"/>
      <c r="J24" s="282"/>
      <c r="K24" s="282">
        <v>0</v>
      </c>
      <c r="L24" s="371"/>
      <c r="M24" s="193"/>
    </row>
    <row r="25" spans="1:13" x14ac:dyDescent="0.3">
      <c r="A25" s="209">
        <v>13</v>
      </c>
      <c r="B25" s="213">
        <v>6.56</v>
      </c>
      <c r="C25" s="193">
        <v>3.4107466829811361</v>
      </c>
      <c r="D25" s="215">
        <v>3.15</v>
      </c>
      <c r="E25" s="205">
        <v>0</v>
      </c>
      <c r="F25" s="214">
        <v>496.85</v>
      </c>
      <c r="G25" s="365">
        <f>SUM(C21:C32)</f>
        <v>40.319459763524904</v>
      </c>
      <c r="H25" s="8"/>
      <c r="I25" s="242"/>
      <c r="J25" s="282"/>
      <c r="K25" s="282">
        <v>0</v>
      </c>
      <c r="L25" s="371"/>
      <c r="M25" s="193"/>
    </row>
    <row r="26" spans="1:13" x14ac:dyDescent="0.3">
      <c r="A26" s="209">
        <v>14</v>
      </c>
      <c r="B26" s="213">
        <v>6.56</v>
      </c>
      <c r="C26" s="193">
        <v>3.3892589788783551</v>
      </c>
      <c r="D26" s="215">
        <v>3.17</v>
      </c>
      <c r="E26" s="205">
        <v>0</v>
      </c>
      <c r="F26" s="214">
        <v>493.68</v>
      </c>
      <c r="G26" s="365">
        <f>SUM(C33:C44)</f>
        <v>35.234020087615953</v>
      </c>
      <c r="H26" s="8"/>
      <c r="I26" s="236"/>
      <c r="J26" s="282"/>
      <c r="K26" s="282">
        <v>0</v>
      </c>
      <c r="L26" s="371"/>
      <c r="M26" s="193"/>
    </row>
    <row r="27" spans="1:13" x14ac:dyDescent="0.3">
      <c r="A27" s="209">
        <v>15</v>
      </c>
      <c r="B27" s="213">
        <v>6.56</v>
      </c>
      <c r="C27" s="193">
        <v>3.3676348449082547</v>
      </c>
      <c r="D27" s="215">
        <v>3.19</v>
      </c>
      <c r="E27" s="205">
        <v>0</v>
      </c>
      <c r="F27" s="214">
        <v>490.49</v>
      </c>
      <c r="G27" s="365">
        <f>SUM(C45:C56)</f>
        <v>16.708984008131324</v>
      </c>
      <c r="H27" s="8"/>
      <c r="I27" s="236"/>
      <c r="J27" s="282"/>
      <c r="K27" s="282">
        <v>0</v>
      </c>
      <c r="L27" s="371"/>
      <c r="M27" s="193"/>
    </row>
    <row r="28" spans="1:13" x14ac:dyDescent="0.3">
      <c r="A28" s="209">
        <v>16</v>
      </c>
      <c r="B28" s="213">
        <v>6.56</v>
      </c>
      <c r="C28" s="193">
        <v>3.3458742810708348</v>
      </c>
      <c r="D28" s="215">
        <v>3.21</v>
      </c>
      <c r="E28" s="205">
        <v>0</v>
      </c>
      <c r="F28" s="214">
        <v>487.28000000000003</v>
      </c>
      <c r="G28" s="365">
        <f>SUM(C57:C67)</f>
        <v>2.8277818599260005</v>
      </c>
      <c r="H28" s="8"/>
      <c r="I28" s="236"/>
      <c r="J28" s="282"/>
      <c r="K28" s="282">
        <v>0</v>
      </c>
      <c r="L28" s="371"/>
      <c r="M28" s="193"/>
    </row>
    <row r="29" spans="1:13" x14ac:dyDescent="0.3">
      <c r="A29" s="209">
        <v>17</v>
      </c>
      <c r="B29" s="213">
        <v>6.56</v>
      </c>
      <c r="C29" s="193">
        <v>3.3239772873660964</v>
      </c>
      <c r="D29" s="215">
        <v>3.23</v>
      </c>
      <c r="E29" s="205">
        <v>0</v>
      </c>
      <c r="F29" s="214">
        <v>484.04999999999995</v>
      </c>
      <c r="G29" s="347" t="str">
        <f t="shared" ref="G29:G32" si="0">IF($B$5="","",IF(ROW(A19)&gt;$B$5+$B$8,"",ROW(A19)))</f>
        <v/>
      </c>
      <c r="H29" s="8"/>
      <c r="I29" s="236"/>
      <c r="J29" s="282"/>
      <c r="K29" s="282">
        <v>0</v>
      </c>
      <c r="L29" s="371"/>
      <c r="M29" s="193"/>
    </row>
    <row r="30" spans="1:13" x14ac:dyDescent="0.3">
      <c r="A30" s="209">
        <v>18</v>
      </c>
      <c r="B30" s="213">
        <v>6.56</v>
      </c>
      <c r="C30" s="193">
        <v>3.3019438637940377</v>
      </c>
      <c r="D30" s="215">
        <v>3.26</v>
      </c>
      <c r="E30" s="205">
        <v>0</v>
      </c>
      <c r="F30" s="214">
        <v>480.79</v>
      </c>
      <c r="G30" s="347" t="str">
        <f t="shared" si="0"/>
        <v/>
      </c>
      <c r="H30" s="8"/>
      <c r="I30" s="236"/>
      <c r="J30" s="282"/>
      <c r="K30" s="282">
        <v>0</v>
      </c>
      <c r="L30" s="371"/>
      <c r="M30" s="193"/>
    </row>
    <row r="31" spans="1:13" x14ac:dyDescent="0.3">
      <c r="A31" s="209">
        <v>19</v>
      </c>
      <c r="B31" s="213">
        <v>6.56</v>
      </c>
      <c r="C31" s="193">
        <v>3.2797057954210009</v>
      </c>
      <c r="D31" s="215">
        <v>3.28</v>
      </c>
      <c r="E31" s="205">
        <v>0</v>
      </c>
      <c r="F31" s="214">
        <v>477.51000000000005</v>
      </c>
      <c r="G31" s="347" t="str">
        <f t="shared" si="0"/>
        <v/>
      </c>
      <c r="H31" s="8"/>
      <c r="I31" s="236"/>
      <c r="J31" s="282"/>
      <c r="K31" s="282">
        <v>0</v>
      </c>
      <c r="L31" s="371"/>
      <c r="M31" s="193"/>
    </row>
    <row r="32" spans="1:13" x14ac:dyDescent="0.3">
      <c r="A32" s="209">
        <v>20</v>
      </c>
      <c r="B32" s="213">
        <v>6.56</v>
      </c>
      <c r="C32" s="193">
        <v>3.2573312971806452</v>
      </c>
      <c r="D32" s="215">
        <v>3.3</v>
      </c>
      <c r="E32" s="205">
        <v>0</v>
      </c>
      <c r="F32" s="214">
        <v>474.21</v>
      </c>
      <c r="G32" s="347" t="str">
        <f t="shared" si="0"/>
        <v/>
      </c>
      <c r="H32" s="8"/>
      <c r="I32" s="236"/>
      <c r="J32" s="282"/>
      <c r="K32" s="282">
        <v>0</v>
      </c>
      <c r="L32" s="371"/>
      <c r="M32" s="193"/>
    </row>
    <row r="33" spans="1:13" x14ac:dyDescent="0.3">
      <c r="A33" s="209">
        <v>21</v>
      </c>
      <c r="B33" s="213">
        <v>6.56</v>
      </c>
      <c r="C33" s="193">
        <v>3.2348203690729691</v>
      </c>
      <c r="D33" s="215">
        <v>3.32</v>
      </c>
      <c r="E33" s="205">
        <v>0</v>
      </c>
      <c r="F33" s="214">
        <v>470.89</v>
      </c>
      <c r="G33" s="347" t="str">
        <f t="shared" ref="G33:G75" si="1">IF($B$5="","",IF(ROW(A23)&gt;$B$5+$B$8,"",ROW(A23)))</f>
        <v/>
      </c>
      <c r="H33" s="8"/>
      <c r="I33" s="236"/>
      <c r="J33" s="282"/>
      <c r="K33" s="282">
        <v>0</v>
      </c>
      <c r="L33" s="371"/>
      <c r="M33" s="193"/>
    </row>
    <row r="34" spans="1:13" x14ac:dyDescent="0.3">
      <c r="A34" s="209">
        <v>22</v>
      </c>
      <c r="B34" s="213">
        <v>6.56</v>
      </c>
      <c r="C34" s="193">
        <v>3.2121730110979745</v>
      </c>
      <c r="D34" s="215">
        <v>3.35</v>
      </c>
      <c r="E34" s="205">
        <v>0</v>
      </c>
      <c r="F34" s="214">
        <v>467.53999999999996</v>
      </c>
      <c r="G34" s="347" t="str">
        <f>IF($B$5="","",IF(ROW(A24)&gt;$B$5+$B$8,"",ROW(A24)))</f>
        <v/>
      </c>
      <c r="H34" s="8"/>
      <c r="I34" s="236"/>
      <c r="J34" s="282"/>
      <c r="K34" s="282">
        <v>0</v>
      </c>
      <c r="L34" s="371"/>
      <c r="M34" s="193"/>
    </row>
    <row r="35" spans="1:13" x14ac:dyDescent="0.3">
      <c r="A35" s="209">
        <v>23</v>
      </c>
      <c r="B35" s="213">
        <v>6.56</v>
      </c>
      <c r="C35" s="193">
        <v>3.1893210083220005</v>
      </c>
      <c r="D35" s="215">
        <v>3.37</v>
      </c>
      <c r="E35" s="205">
        <v>0</v>
      </c>
      <c r="F35" s="214">
        <v>464.17</v>
      </c>
      <c r="G35" s="347" t="str">
        <f t="shared" si="1"/>
        <v/>
      </c>
      <c r="H35" s="8"/>
      <c r="I35" s="236"/>
      <c r="J35" s="282"/>
      <c r="K35" s="282">
        <v>0</v>
      </c>
      <c r="L35" s="371"/>
      <c r="M35" s="193"/>
    </row>
    <row r="36" spans="1:13" x14ac:dyDescent="0.3">
      <c r="A36" s="209">
        <v>24</v>
      </c>
      <c r="B36" s="213">
        <v>6.56</v>
      </c>
      <c r="C36" s="193">
        <v>3.166332575678708</v>
      </c>
      <c r="D36" s="215">
        <v>3.39</v>
      </c>
      <c r="E36" s="205">
        <v>0</v>
      </c>
      <c r="F36" s="214">
        <v>460.78000000000003</v>
      </c>
      <c r="G36" s="347" t="str">
        <f t="shared" si="1"/>
        <v/>
      </c>
      <c r="H36" s="8"/>
      <c r="I36" s="236"/>
      <c r="J36" s="282"/>
      <c r="K36" s="282">
        <v>0</v>
      </c>
      <c r="L36" s="371"/>
      <c r="M36" s="193"/>
    </row>
    <row r="37" spans="1:13" x14ac:dyDescent="0.3">
      <c r="A37" s="209">
        <v>25</v>
      </c>
      <c r="B37" s="213">
        <v>6.56</v>
      </c>
      <c r="C37" s="193">
        <v>3.143207713168096</v>
      </c>
      <c r="D37" s="215">
        <v>3.41</v>
      </c>
      <c r="E37" s="205">
        <v>0</v>
      </c>
      <c r="F37" s="214">
        <v>457.36999999999995</v>
      </c>
      <c r="G37" t="str">
        <f t="shared" si="1"/>
        <v/>
      </c>
      <c r="H37" s="8"/>
      <c r="I37" s="236"/>
      <c r="J37" s="282"/>
      <c r="K37" s="282">
        <v>0</v>
      </c>
      <c r="L37" s="371"/>
      <c r="M37" s="193"/>
    </row>
    <row r="38" spans="1:13" x14ac:dyDescent="0.3">
      <c r="A38" s="209">
        <v>26</v>
      </c>
      <c r="B38" s="213">
        <v>6.56</v>
      </c>
      <c r="C38" s="193">
        <v>3.1199464207901642</v>
      </c>
      <c r="D38" s="215">
        <v>3.44</v>
      </c>
      <c r="E38" s="205">
        <v>0</v>
      </c>
      <c r="F38" s="214">
        <v>453.93</v>
      </c>
      <c r="G38" t="str">
        <f t="shared" si="1"/>
        <v/>
      </c>
      <c r="H38" s="8"/>
      <c r="I38" s="236"/>
      <c r="J38" s="282"/>
      <c r="K38" s="282">
        <v>0</v>
      </c>
      <c r="L38" s="371"/>
      <c r="M38" s="193"/>
    </row>
    <row r="39" spans="1:13" x14ac:dyDescent="0.3">
      <c r="A39" s="209">
        <v>27</v>
      </c>
      <c r="B39" s="213">
        <v>6.56</v>
      </c>
      <c r="C39" s="193">
        <v>3.0964804836112543</v>
      </c>
      <c r="D39" s="215">
        <v>3.46</v>
      </c>
      <c r="E39" s="205">
        <v>0</v>
      </c>
      <c r="F39" s="214">
        <v>450.47</v>
      </c>
      <c r="G39" t="str">
        <f t="shared" si="1"/>
        <v/>
      </c>
      <c r="H39" s="8"/>
      <c r="I39" s="236"/>
      <c r="J39" s="282"/>
      <c r="K39" s="282">
        <v>0</v>
      </c>
      <c r="L39" s="371"/>
      <c r="M39" s="193"/>
    </row>
    <row r="40" spans="1:13" x14ac:dyDescent="0.3">
      <c r="A40" s="209">
        <v>28</v>
      </c>
      <c r="B40" s="213">
        <v>6.56</v>
      </c>
      <c r="C40" s="193">
        <v>3.072878116565025</v>
      </c>
      <c r="D40" s="215">
        <v>3.48</v>
      </c>
      <c r="E40" s="205">
        <v>0</v>
      </c>
      <c r="F40" s="214">
        <v>446.99</v>
      </c>
      <c r="G40" t="str">
        <f t="shared" si="1"/>
        <v/>
      </c>
      <c r="H40" s="8"/>
      <c r="I40" s="236"/>
      <c r="J40" s="282"/>
      <c r="K40" s="282">
        <v>0</v>
      </c>
      <c r="L40" s="371"/>
      <c r="M40" s="193"/>
    </row>
    <row r="41" spans="1:13" x14ac:dyDescent="0.3">
      <c r="A41" s="209">
        <v>29</v>
      </c>
      <c r="B41" s="213">
        <v>6.56</v>
      </c>
      <c r="C41" s="193">
        <v>3.0491393196514762</v>
      </c>
      <c r="D41" s="215">
        <v>3.51</v>
      </c>
      <c r="E41" s="205">
        <v>0</v>
      </c>
      <c r="F41" s="214">
        <v>443.48</v>
      </c>
      <c r="G41" t="str">
        <f t="shared" si="1"/>
        <v/>
      </c>
      <c r="H41" s="8"/>
      <c r="I41" s="236"/>
      <c r="J41" s="282"/>
      <c r="K41" s="282">
        <v>0</v>
      </c>
      <c r="L41" s="371"/>
      <c r="M41" s="193"/>
    </row>
    <row r="42" spans="1:13" x14ac:dyDescent="0.3">
      <c r="A42" s="209">
        <v>30</v>
      </c>
      <c r="B42" s="213">
        <v>6.56</v>
      </c>
      <c r="C42" s="193">
        <v>3.0251958779369486</v>
      </c>
      <c r="D42" s="215">
        <v>3.53</v>
      </c>
      <c r="E42" s="205">
        <v>150</v>
      </c>
      <c r="F42" s="214">
        <v>289.95</v>
      </c>
      <c r="G42" t="str">
        <f t="shared" si="1"/>
        <v/>
      </c>
      <c r="H42" s="8"/>
      <c r="I42" s="236"/>
      <c r="J42" s="282"/>
      <c r="K42" s="282">
        <v>0</v>
      </c>
      <c r="L42" s="371"/>
      <c r="M42" s="193"/>
    </row>
    <row r="43" spans="1:13" x14ac:dyDescent="0.3">
      <c r="A43" s="209">
        <v>31</v>
      </c>
      <c r="B43" s="213">
        <v>6.56</v>
      </c>
      <c r="C43" s="193">
        <v>1.9778756298766826</v>
      </c>
      <c r="D43" s="215">
        <v>4.58</v>
      </c>
      <c r="E43" s="205">
        <v>0</v>
      </c>
      <c r="F43" s="214">
        <v>285.37</v>
      </c>
      <c r="G43" t="str">
        <f t="shared" si="1"/>
        <v/>
      </c>
      <c r="H43" s="8"/>
      <c r="I43" s="236"/>
      <c r="J43" s="282"/>
      <c r="K43" s="282">
        <v>0</v>
      </c>
      <c r="L43" s="371"/>
      <c r="M43" s="193"/>
    </row>
    <row r="44" spans="1:13" x14ac:dyDescent="0.3">
      <c r="A44" s="209">
        <v>32</v>
      </c>
      <c r="B44" s="213">
        <v>6.56</v>
      </c>
      <c r="C44" s="193">
        <v>1.9466495618446538</v>
      </c>
      <c r="D44" s="215">
        <v>4.6100000000000003</v>
      </c>
      <c r="E44" s="205">
        <v>0</v>
      </c>
      <c r="F44" s="214">
        <v>280.76</v>
      </c>
      <c r="G44" t="str">
        <f t="shared" si="1"/>
        <v/>
      </c>
      <c r="H44" s="8"/>
      <c r="I44" s="236"/>
      <c r="J44" s="282"/>
      <c r="K44" s="282">
        <v>0</v>
      </c>
      <c r="L44" s="371"/>
      <c r="M44" s="193"/>
    </row>
    <row r="45" spans="1:13" x14ac:dyDescent="0.3">
      <c r="A45" s="209">
        <v>33</v>
      </c>
      <c r="B45" s="213">
        <v>6.56</v>
      </c>
      <c r="C45" s="193">
        <v>1.9152024774275676</v>
      </c>
      <c r="D45" s="215">
        <v>4.6399999999999997</v>
      </c>
      <c r="E45" s="205">
        <v>0</v>
      </c>
      <c r="F45" s="214">
        <v>276.12</v>
      </c>
      <c r="G45" t="str">
        <f t="shared" si="1"/>
        <v/>
      </c>
      <c r="H45" s="8"/>
      <c r="I45" s="236"/>
      <c r="J45" s="282"/>
      <c r="K45" s="282">
        <v>0</v>
      </c>
      <c r="L45" s="371"/>
      <c r="M45" s="193"/>
    </row>
    <row r="46" spans="1:13" x14ac:dyDescent="0.3">
      <c r="A46" s="209">
        <v>34</v>
      </c>
      <c r="B46" s="213">
        <v>6.56</v>
      </c>
      <c r="C46" s="193">
        <v>1.8835507482095026</v>
      </c>
      <c r="D46" s="215">
        <v>4.67</v>
      </c>
      <c r="E46" s="205">
        <v>0</v>
      </c>
      <c r="F46" s="214">
        <v>271.45</v>
      </c>
      <c r="G46" t="str">
        <f t="shared" si="1"/>
        <v/>
      </c>
      <c r="H46" s="8"/>
      <c r="I46" s="236"/>
      <c r="J46" s="282"/>
      <c r="K46" s="282">
        <v>0</v>
      </c>
      <c r="L46" s="371"/>
      <c r="M46" s="193"/>
    </row>
    <row r="47" spans="1:13" x14ac:dyDescent="0.3">
      <c r="A47" s="209">
        <v>35</v>
      </c>
      <c r="B47" s="213">
        <v>6.56</v>
      </c>
      <c r="C47" s="193">
        <v>1.8516943741904588</v>
      </c>
      <c r="D47" s="215">
        <v>4.71</v>
      </c>
      <c r="E47" s="205">
        <v>0</v>
      </c>
      <c r="F47" s="214">
        <v>266.74</v>
      </c>
      <c r="G47" t="str">
        <f t="shared" si="1"/>
        <v/>
      </c>
      <c r="H47" s="8"/>
      <c r="I47" s="236"/>
      <c r="J47" s="282"/>
      <c r="K47" s="282">
        <v>0</v>
      </c>
      <c r="L47" s="371"/>
      <c r="M47" s="193"/>
    </row>
    <row r="48" spans="1:13" x14ac:dyDescent="0.3">
      <c r="A48" s="209">
        <v>36</v>
      </c>
      <c r="B48" s="213">
        <v>6.56</v>
      </c>
      <c r="C48" s="193">
        <v>1.8195651404367765</v>
      </c>
      <c r="D48" s="215">
        <v>4.74</v>
      </c>
      <c r="E48" s="205">
        <v>0</v>
      </c>
      <c r="F48" s="214">
        <v>262</v>
      </c>
      <c r="G48" s="229"/>
      <c r="H48" s="8"/>
      <c r="I48" s="236"/>
      <c r="J48" s="282"/>
      <c r="K48" s="282">
        <v>0</v>
      </c>
      <c r="L48" s="371"/>
      <c r="M48" s="193"/>
    </row>
    <row r="49" spans="1:13" x14ac:dyDescent="0.3">
      <c r="A49" s="209">
        <v>37</v>
      </c>
      <c r="B49" s="213">
        <v>6.56</v>
      </c>
      <c r="C49" s="193">
        <v>1.7872312618821153</v>
      </c>
      <c r="D49" s="215">
        <v>4.7699999999999996</v>
      </c>
      <c r="E49" s="205">
        <v>0</v>
      </c>
      <c r="F49" s="214">
        <v>257.23</v>
      </c>
      <c r="H49" s="8"/>
      <c r="I49" s="236"/>
      <c r="J49" s="282"/>
      <c r="K49" s="282">
        <v>0</v>
      </c>
      <c r="L49" s="371"/>
      <c r="M49" s="193"/>
    </row>
    <row r="50" spans="1:13" x14ac:dyDescent="0.3">
      <c r="A50" s="209">
        <v>38</v>
      </c>
      <c r="B50" s="213">
        <v>6.56</v>
      </c>
      <c r="C50" s="193">
        <v>1.7546927385264754</v>
      </c>
      <c r="D50" s="215">
        <v>4.8</v>
      </c>
      <c r="E50" s="205">
        <v>0</v>
      </c>
      <c r="F50" s="214">
        <v>252.43</v>
      </c>
      <c r="G50" s="278"/>
      <c r="H50" s="8"/>
      <c r="I50" s="236"/>
      <c r="J50" s="282"/>
      <c r="K50" s="282">
        <v>0</v>
      </c>
      <c r="L50" s="371"/>
      <c r="M50" s="193"/>
    </row>
    <row r="51" spans="1:13" x14ac:dyDescent="0.3">
      <c r="A51" s="209">
        <v>39</v>
      </c>
      <c r="B51" s="213">
        <v>6.56</v>
      </c>
      <c r="C51" s="193">
        <v>1.7219495703698564</v>
      </c>
      <c r="D51" s="215">
        <v>4.84</v>
      </c>
      <c r="E51" s="205">
        <v>0</v>
      </c>
      <c r="F51" s="214">
        <v>247.59</v>
      </c>
      <c r="G51" s="229"/>
      <c r="H51" s="8"/>
      <c r="I51" s="236"/>
      <c r="J51" s="282"/>
      <c r="K51" s="282">
        <v>0</v>
      </c>
      <c r="L51" s="371"/>
      <c r="M51" s="193"/>
    </row>
    <row r="52" spans="1:13" x14ac:dyDescent="0.3">
      <c r="A52" s="209">
        <v>40</v>
      </c>
      <c r="B52" s="213">
        <v>6.56</v>
      </c>
      <c r="C52" s="193">
        <v>1.6889335424785989</v>
      </c>
      <c r="D52" s="215">
        <v>4.87</v>
      </c>
      <c r="E52" s="205">
        <v>150</v>
      </c>
      <c r="F52" s="214">
        <v>92.72</v>
      </c>
      <c r="G52" s="229"/>
      <c r="H52" s="8"/>
      <c r="I52" s="236"/>
      <c r="J52" s="282"/>
      <c r="K52" s="282">
        <v>0</v>
      </c>
      <c r="L52" s="371"/>
      <c r="M52" s="193"/>
    </row>
    <row r="53" spans="1:13" x14ac:dyDescent="0.3">
      <c r="A53" s="209">
        <v>41</v>
      </c>
      <c r="B53" s="213">
        <v>6.56</v>
      </c>
      <c r="C53" s="193">
        <v>0.63249773283339761</v>
      </c>
      <c r="D53" s="215">
        <v>5.93</v>
      </c>
      <c r="E53" s="205">
        <v>0</v>
      </c>
      <c r="F53" s="214">
        <v>86.789999999999992</v>
      </c>
      <c r="G53" t="str">
        <f t="shared" si="1"/>
        <v/>
      </c>
      <c r="H53" s="8"/>
      <c r="I53" s="236"/>
      <c r="J53" s="282"/>
      <c r="K53" s="282">
        <v>0</v>
      </c>
      <c r="L53" s="371"/>
      <c r="M53" s="193"/>
    </row>
    <row r="54" spans="1:13" x14ac:dyDescent="0.3">
      <c r="A54" s="209">
        <v>42</v>
      </c>
      <c r="B54" s="213">
        <v>6.56</v>
      </c>
      <c r="C54" s="193">
        <v>0.59203740923186554</v>
      </c>
      <c r="D54" s="215">
        <v>5.97</v>
      </c>
      <c r="E54" s="205">
        <v>0</v>
      </c>
      <c r="F54" s="214">
        <v>80.820000000000007</v>
      </c>
      <c r="G54" t="str">
        <f t="shared" si="1"/>
        <v/>
      </c>
      <c r="H54" s="8"/>
      <c r="I54" s="236"/>
      <c r="J54" s="282"/>
      <c r="K54" s="282">
        <v>0</v>
      </c>
      <c r="L54" s="371"/>
      <c r="M54" s="193"/>
    </row>
    <row r="55" spans="1:13" x14ac:dyDescent="0.3">
      <c r="A55" s="209">
        <v>43</v>
      </c>
      <c r="B55" s="213">
        <v>6.56</v>
      </c>
      <c r="C55" s="193">
        <v>0.55131309383707094</v>
      </c>
      <c r="D55" s="215">
        <v>6.01</v>
      </c>
      <c r="E55" s="205">
        <v>0</v>
      </c>
      <c r="F55" s="214">
        <v>74.809999999999988</v>
      </c>
      <c r="G55" t="str">
        <f t="shared" si="1"/>
        <v/>
      </c>
      <c r="H55" s="8"/>
      <c r="I55" s="236"/>
      <c r="J55" s="282"/>
      <c r="K55" s="282">
        <v>0</v>
      </c>
      <c r="L55" s="371"/>
      <c r="M55" s="193"/>
    </row>
    <row r="56" spans="1:13" x14ac:dyDescent="0.3">
      <c r="A56" s="209">
        <v>44</v>
      </c>
      <c r="B56" s="213">
        <v>6.56</v>
      </c>
      <c r="C56" s="193">
        <v>0.51031591870763748</v>
      </c>
      <c r="D56" s="215">
        <v>6.05</v>
      </c>
      <c r="E56" s="205">
        <v>0</v>
      </c>
      <c r="F56" s="214">
        <v>68.760000000000005</v>
      </c>
      <c r="G56" t="str">
        <f t="shared" si="1"/>
        <v/>
      </c>
      <c r="H56" s="8"/>
      <c r="I56" s="236"/>
      <c r="J56" s="282"/>
      <c r="K56" s="282">
        <v>0</v>
      </c>
      <c r="L56" s="371"/>
      <c r="M56" s="193"/>
    </row>
    <row r="57" spans="1:13" x14ac:dyDescent="0.3">
      <c r="A57" s="209">
        <v>45</v>
      </c>
      <c r="B57" s="213">
        <v>6.56</v>
      </c>
      <c r="C57" s="193">
        <v>0.46904588384356588</v>
      </c>
      <c r="D57" s="215">
        <v>6.09</v>
      </c>
      <c r="E57" s="205">
        <v>0</v>
      </c>
      <c r="F57" s="214">
        <v>62.67</v>
      </c>
      <c r="G57" t="str">
        <f t="shared" si="1"/>
        <v/>
      </c>
      <c r="H57" s="8"/>
      <c r="I57" s="236"/>
      <c r="J57" s="282"/>
      <c r="K57" s="282">
        <v>0</v>
      </c>
      <c r="L57" s="371"/>
      <c r="M57" s="193"/>
    </row>
    <row r="58" spans="1:13" x14ac:dyDescent="0.3">
      <c r="A58" s="209">
        <v>46</v>
      </c>
      <c r="B58" s="213">
        <v>6.56</v>
      </c>
      <c r="C58" s="193">
        <v>0.42750298924485564</v>
      </c>
      <c r="D58" s="215">
        <v>6.13</v>
      </c>
      <c r="E58" s="205">
        <v>0</v>
      </c>
      <c r="F58" s="214">
        <v>56.54</v>
      </c>
      <c r="G58" t="str">
        <f t="shared" si="1"/>
        <v/>
      </c>
      <c r="H58" s="8"/>
      <c r="I58" s="236"/>
      <c r="J58" s="282"/>
      <c r="K58" s="282">
        <v>0</v>
      </c>
      <c r="L58" s="371"/>
      <c r="M58" s="193"/>
    </row>
    <row r="59" spans="1:13" x14ac:dyDescent="0.3">
      <c r="A59" s="209">
        <v>47</v>
      </c>
      <c r="B59" s="213">
        <v>6.56</v>
      </c>
      <c r="C59" s="193">
        <v>0.38568723491150686</v>
      </c>
      <c r="D59" s="215">
        <v>6.17</v>
      </c>
      <c r="E59" s="205">
        <v>0</v>
      </c>
      <c r="F59" s="214">
        <v>50.37</v>
      </c>
      <c r="G59" t="str">
        <f t="shared" si="1"/>
        <v/>
      </c>
      <c r="H59" s="8"/>
      <c r="I59" s="236"/>
      <c r="J59" s="282"/>
      <c r="K59" s="282">
        <v>0</v>
      </c>
      <c r="L59" s="371"/>
      <c r="M59" s="193"/>
    </row>
    <row r="60" spans="1:13" x14ac:dyDescent="0.3">
      <c r="A60" s="209">
        <v>48</v>
      </c>
      <c r="B60" s="213">
        <v>6.56</v>
      </c>
      <c r="C60" s="193">
        <v>0.34359862084351966</v>
      </c>
      <c r="D60" s="215">
        <v>6.21</v>
      </c>
      <c r="E60" s="205">
        <v>0</v>
      </c>
      <c r="F60" s="214">
        <v>44.16</v>
      </c>
      <c r="G60" t="str">
        <f t="shared" si="1"/>
        <v/>
      </c>
      <c r="H60" s="8"/>
      <c r="I60" s="236"/>
      <c r="J60" s="282"/>
      <c r="K60" s="282">
        <v>0</v>
      </c>
      <c r="L60" s="371"/>
      <c r="M60" s="193"/>
    </row>
    <row r="61" spans="1:13" x14ac:dyDescent="0.3">
      <c r="A61" s="209">
        <v>49</v>
      </c>
      <c r="B61" s="213">
        <v>6.56</v>
      </c>
      <c r="C61" s="193">
        <v>0.30123714704089394</v>
      </c>
      <c r="D61" s="215">
        <v>6.26</v>
      </c>
      <c r="E61" s="205">
        <v>0</v>
      </c>
      <c r="F61" s="214">
        <v>37.9</v>
      </c>
      <c r="G61" t="str">
        <f t="shared" si="1"/>
        <v/>
      </c>
      <c r="H61" s="8"/>
      <c r="I61" s="236"/>
      <c r="J61" s="282"/>
      <c r="K61" s="282">
        <v>0</v>
      </c>
      <c r="L61" s="371"/>
      <c r="M61" s="193"/>
    </row>
    <row r="62" spans="1:13" x14ac:dyDescent="0.3">
      <c r="A62" s="209">
        <v>50</v>
      </c>
      <c r="B62" s="213">
        <v>6.56</v>
      </c>
      <c r="C62" s="193">
        <v>0.25853459856997013</v>
      </c>
      <c r="D62" s="215">
        <v>6.3</v>
      </c>
      <c r="E62" s="205">
        <v>0</v>
      </c>
      <c r="F62" s="214">
        <v>31.599999999999998</v>
      </c>
      <c r="G62" t="str">
        <f t="shared" si="1"/>
        <v/>
      </c>
      <c r="H62" s="8"/>
      <c r="I62" s="236"/>
      <c r="J62" s="282"/>
      <c r="K62" s="282">
        <v>0</v>
      </c>
      <c r="L62" s="371"/>
      <c r="M62" s="193"/>
    </row>
    <row r="63" spans="1:13" x14ac:dyDescent="0.3">
      <c r="A63" s="209">
        <v>51</v>
      </c>
      <c r="B63" s="213">
        <v>6.56</v>
      </c>
      <c r="C63" s="193">
        <v>0.21555919036440779</v>
      </c>
      <c r="D63" s="215">
        <v>6.34</v>
      </c>
      <c r="E63" s="205">
        <v>0</v>
      </c>
      <c r="F63" s="214">
        <v>25.26</v>
      </c>
      <c r="G63" t="str">
        <f t="shared" si="1"/>
        <v/>
      </c>
      <c r="H63" s="8"/>
      <c r="I63" s="236"/>
      <c r="J63" s="282"/>
      <c r="K63" s="282">
        <v>0</v>
      </c>
      <c r="L63" s="371"/>
      <c r="M63" s="193"/>
    </row>
    <row r="64" spans="1:13" x14ac:dyDescent="0.3">
      <c r="A64" s="209">
        <v>52</v>
      </c>
      <c r="B64" s="213">
        <v>6.56</v>
      </c>
      <c r="C64" s="193">
        <v>0.17231092242420701</v>
      </c>
      <c r="D64" s="215">
        <v>6.39</v>
      </c>
      <c r="E64" s="205">
        <v>0</v>
      </c>
      <c r="F64" s="214">
        <v>18.87</v>
      </c>
      <c r="G64" t="str">
        <f t="shared" si="1"/>
        <v/>
      </c>
      <c r="H64" s="8"/>
      <c r="I64" s="236"/>
      <c r="J64" s="282"/>
      <c r="K64" s="282">
        <v>0</v>
      </c>
      <c r="L64" s="371"/>
      <c r="M64" s="193"/>
    </row>
    <row r="65" spans="1:13" x14ac:dyDescent="0.3">
      <c r="A65" s="209">
        <v>53</v>
      </c>
      <c r="B65" s="213">
        <v>6.56</v>
      </c>
      <c r="C65" s="193">
        <v>0.12872157981570809</v>
      </c>
      <c r="D65" s="215">
        <v>6.43</v>
      </c>
      <c r="E65" s="205">
        <v>0</v>
      </c>
      <c r="F65" s="214">
        <v>12.440000000000001</v>
      </c>
      <c r="G65" t="str">
        <f t="shared" si="1"/>
        <v/>
      </c>
      <c r="H65" s="8"/>
      <c r="I65" s="236"/>
      <c r="J65" s="282"/>
      <c r="K65" s="282">
        <v>0</v>
      </c>
      <c r="L65" s="371"/>
      <c r="M65" s="193"/>
    </row>
    <row r="66" spans="1:13" x14ac:dyDescent="0.3">
      <c r="A66" s="209">
        <v>54</v>
      </c>
      <c r="B66" s="213">
        <v>6.56</v>
      </c>
      <c r="C66" s="193">
        <v>8.4859377472570677E-2</v>
      </c>
      <c r="D66" s="215">
        <v>6.47</v>
      </c>
      <c r="E66" s="205">
        <v>0</v>
      </c>
      <c r="F66" s="214">
        <v>5.97</v>
      </c>
      <c r="G66" t="str">
        <f t="shared" si="1"/>
        <v/>
      </c>
      <c r="H66" s="8"/>
      <c r="I66" s="236"/>
      <c r="J66" s="282"/>
      <c r="K66" s="282">
        <v>0</v>
      </c>
      <c r="L66" s="371"/>
      <c r="M66" s="193"/>
    </row>
    <row r="67" spans="1:13" x14ac:dyDescent="0.3">
      <c r="A67" s="209">
        <v>55</v>
      </c>
      <c r="B67" s="213">
        <v>6.01</v>
      </c>
      <c r="C67" s="193">
        <v>4.0724315394794763E-2</v>
      </c>
      <c r="D67" s="215">
        <v>5.97</v>
      </c>
      <c r="E67" s="205">
        <v>0</v>
      </c>
      <c r="F67" s="214">
        <v>0</v>
      </c>
      <c r="G67" t="str">
        <f>IF($B$5="","",IF(ROW(A57)&gt;$B$5+$B$8,"",ROW(A57)))</f>
        <v/>
      </c>
      <c r="H67" s="8"/>
      <c r="I67" s="236"/>
      <c r="J67" s="282"/>
      <c r="K67" s="282">
        <v>0</v>
      </c>
      <c r="L67" s="371"/>
      <c r="M67" s="193"/>
    </row>
    <row r="68" spans="1:13" x14ac:dyDescent="0.3">
      <c r="A68" s="209"/>
      <c r="B68" s="213"/>
      <c r="C68" s="193"/>
      <c r="D68" s="215"/>
      <c r="E68" s="205">
        <v>0</v>
      </c>
      <c r="F68" s="214"/>
      <c r="G68" t="str">
        <f>IF($B$5="","",IF(ROW(A58)&gt;$B$5+$B$8,"",ROW(A58)))</f>
        <v/>
      </c>
      <c r="H68" s="8"/>
      <c r="I68" s="236"/>
      <c r="J68" s="282"/>
      <c r="K68" s="282">
        <v>0</v>
      </c>
      <c r="L68" s="371"/>
      <c r="M68" s="193"/>
    </row>
    <row r="69" spans="1:13" x14ac:dyDescent="0.3">
      <c r="A69" s="209"/>
      <c r="B69" s="213"/>
      <c r="C69" s="193"/>
      <c r="D69" s="215"/>
      <c r="E69" s="205">
        <v>0</v>
      </c>
      <c r="F69" s="214"/>
      <c r="G69" t="str">
        <f t="shared" si="1"/>
        <v/>
      </c>
      <c r="H69" s="8"/>
      <c r="I69" s="236"/>
      <c r="J69" s="282"/>
      <c r="K69" s="282">
        <v>0</v>
      </c>
      <c r="L69" s="371"/>
      <c r="M69" s="193"/>
    </row>
    <row r="70" spans="1:13" x14ac:dyDescent="0.3">
      <c r="A70" s="209"/>
      <c r="B70" s="213"/>
      <c r="C70" s="193"/>
      <c r="D70" s="215"/>
      <c r="E70" s="205">
        <v>0</v>
      </c>
      <c r="F70" s="214"/>
      <c r="G70" t="str">
        <f t="shared" si="1"/>
        <v/>
      </c>
      <c r="H70" s="8"/>
      <c r="I70" s="236"/>
      <c r="J70" s="282"/>
      <c r="K70" s="282">
        <v>0</v>
      </c>
      <c r="L70" s="371"/>
      <c r="M70" s="193"/>
    </row>
    <row r="71" spans="1:13" x14ac:dyDescent="0.3">
      <c r="A71" s="209"/>
      <c r="B71" s="213"/>
      <c r="C71" s="193"/>
      <c r="D71" s="215"/>
      <c r="E71" s="205">
        <v>0</v>
      </c>
      <c r="F71" s="214"/>
      <c r="G71" t="str">
        <f t="shared" si="1"/>
        <v/>
      </c>
      <c r="H71" s="8"/>
      <c r="I71" s="236"/>
      <c r="J71" s="282"/>
      <c r="K71" s="282">
        <v>0</v>
      </c>
      <c r="L71" s="371"/>
      <c r="M71" s="193"/>
    </row>
    <row r="72" spans="1:13" x14ac:dyDescent="0.3">
      <c r="A72" s="209"/>
      <c r="B72" s="213"/>
      <c r="C72" s="193"/>
      <c r="D72" s="215"/>
      <c r="E72" s="205">
        <v>0</v>
      </c>
      <c r="F72" s="214"/>
      <c r="G72" t="str">
        <f t="shared" si="1"/>
        <v/>
      </c>
      <c r="H72" s="8"/>
      <c r="I72" s="236"/>
      <c r="J72" s="282"/>
      <c r="K72" s="282">
        <v>0</v>
      </c>
      <c r="L72" s="371"/>
      <c r="M72" s="193"/>
    </row>
    <row r="73" spans="1:13" x14ac:dyDescent="0.3">
      <c r="A73" s="209"/>
      <c r="B73" s="213"/>
      <c r="C73" s="193"/>
      <c r="D73" s="215"/>
      <c r="E73" s="205">
        <v>0</v>
      </c>
      <c r="F73" s="214"/>
      <c r="G73" t="str">
        <f t="shared" si="1"/>
        <v/>
      </c>
      <c r="H73" s="8"/>
      <c r="I73" s="236"/>
      <c r="J73" s="282"/>
      <c r="K73" s="282">
        <v>0</v>
      </c>
      <c r="L73" s="371"/>
      <c r="M73" s="193"/>
    </row>
    <row r="74" spans="1:13" x14ac:dyDescent="0.3">
      <c r="A74" s="209"/>
      <c r="B74" s="213"/>
      <c r="C74" s="193"/>
      <c r="D74" s="215"/>
      <c r="E74" s="205">
        <v>0</v>
      </c>
      <c r="F74" s="214"/>
      <c r="G74" t="str">
        <f t="shared" si="1"/>
        <v/>
      </c>
      <c r="H74" s="8"/>
      <c r="I74" s="236"/>
      <c r="J74" s="282"/>
      <c r="K74" s="282">
        <v>0</v>
      </c>
      <c r="L74" s="371"/>
      <c r="M74" s="193"/>
    </row>
    <row r="75" spans="1:13" x14ac:dyDescent="0.3">
      <c r="A75" s="209"/>
      <c r="B75" s="213"/>
      <c r="C75" s="193"/>
      <c r="D75" s="215"/>
      <c r="E75" s="205">
        <v>0</v>
      </c>
      <c r="F75" s="214"/>
      <c r="G75" t="str">
        <f t="shared" si="1"/>
        <v/>
      </c>
      <c r="H75" s="8"/>
      <c r="I75" s="236"/>
      <c r="J75" s="282"/>
      <c r="K75" s="282">
        <v>0</v>
      </c>
      <c r="L75" s="371"/>
      <c r="M75" s="193"/>
    </row>
    <row r="76" spans="1:13" x14ac:dyDescent="0.3">
      <c r="A76" s="209"/>
      <c r="B76" s="213"/>
      <c r="C76" s="193"/>
      <c r="D76" s="215"/>
      <c r="E76" s="205">
        <v>0</v>
      </c>
      <c r="F76" s="214"/>
      <c r="G76" t="str">
        <f t="shared" ref="G76:G113" si="2">IF($B$5="","",IF(ROW(A66)&gt;$B$5+$B$8,"",ROW(A66)))</f>
        <v/>
      </c>
      <c r="H76" s="8"/>
      <c r="I76" s="236"/>
      <c r="J76" s="282"/>
      <c r="K76" s="282">
        <v>0</v>
      </c>
      <c r="L76" s="371"/>
      <c r="M76" s="193"/>
    </row>
    <row r="77" spans="1:13" x14ac:dyDescent="0.3">
      <c r="A77" s="209"/>
      <c r="B77" s="213"/>
      <c r="C77" s="193"/>
      <c r="D77" s="215"/>
      <c r="E77" s="205">
        <v>0</v>
      </c>
      <c r="F77" s="214"/>
      <c r="G77" t="str">
        <f t="shared" si="2"/>
        <v/>
      </c>
      <c r="H77" s="8"/>
      <c r="I77" s="236"/>
      <c r="J77" s="282"/>
      <c r="K77" s="282">
        <v>0</v>
      </c>
      <c r="L77" s="371"/>
      <c r="M77" s="193"/>
    </row>
    <row r="78" spans="1:13" x14ac:dyDescent="0.3">
      <c r="A78" s="209"/>
      <c r="B78" s="213"/>
      <c r="C78" s="193"/>
      <c r="D78" s="215"/>
      <c r="E78" s="205">
        <v>0</v>
      </c>
      <c r="F78" s="214"/>
      <c r="G78" t="str">
        <f t="shared" si="2"/>
        <v/>
      </c>
      <c r="H78" s="8"/>
      <c r="I78" s="236"/>
      <c r="J78" s="282"/>
      <c r="K78" s="282">
        <v>0</v>
      </c>
      <c r="L78" s="371"/>
      <c r="M78" s="193"/>
    </row>
    <row r="79" spans="1:13" x14ac:dyDescent="0.3">
      <c r="A79" s="209"/>
      <c r="B79" s="213"/>
      <c r="C79" s="193"/>
      <c r="D79" s="215"/>
      <c r="E79" s="205">
        <v>0</v>
      </c>
      <c r="F79" s="214"/>
      <c r="G79" t="str">
        <f t="shared" si="2"/>
        <v/>
      </c>
      <c r="H79" s="8"/>
      <c r="I79" s="236"/>
      <c r="J79" s="282"/>
      <c r="K79" s="282">
        <v>0</v>
      </c>
      <c r="L79" s="371"/>
      <c r="M79" s="193"/>
    </row>
    <row r="80" spans="1:13" x14ac:dyDescent="0.3">
      <c r="A80" s="209"/>
      <c r="B80" s="213"/>
      <c r="C80" s="193"/>
      <c r="D80" s="215"/>
      <c r="E80" s="205">
        <v>0</v>
      </c>
      <c r="F80" s="214"/>
      <c r="G80" t="str">
        <f t="shared" si="2"/>
        <v/>
      </c>
      <c r="H80" s="8"/>
      <c r="I80" s="236"/>
      <c r="J80" s="282"/>
      <c r="K80" s="282">
        <v>0</v>
      </c>
      <c r="L80" s="371"/>
      <c r="M80" s="193"/>
    </row>
    <row r="81" spans="1:13" x14ac:dyDescent="0.3">
      <c r="A81" s="209"/>
      <c r="B81" s="213"/>
      <c r="C81" s="193"/>
      <c r="D81" s="215"/>
      <c r="E81" s="205">
        <v>0</v>
      </c>
      <c r="F81" s="214"/>
      <c r="G81" t="str">
        <f t="shared" si="2"/>
        <v/>
      </c>
      <c r="H81" s="8"/>
      <c r="I81" s="236"/>
      <c r="J81" s="282"/>
      <c r="K81" s="282">
        <v>0</v>
      </c>
      <c r="L81" s="371"/>
      <c r="M81" s="193"/>
    </row>
    <row r="82" spans="1:13" x14ac:dyDescent="0.3">
      <c r="A82" s="209"/>
      <c r="B82" s="213"/>
      <c r="C82" s="193"/>
      <c r="D82" s="215"/>
      <c r="E82" s="205">
        <v>0</v>
      </c>
      <c r="F82" s="214"/>
      <c r="G82" t="str">
        <f t="shared" si="2"/>
        <v/>
      </c>
      <c r="H82" s="8"/>
      <c r="I82" s="236"/>
      <c r="J82" s="282"/>
      <c r="K82" s="282">
        <v>0</v>
      </c>
      <c r="L82" s="371"/>
      <c r="M82" s="193"/>
    </row>
    <row r="83" spans="1:13" x14ac:dyDescent="0.3">
      <c r="A83" s="209"/>
      <c r="B83" s="213"/>
      <c r="C83" s="193"/>
      <c r="D83" s="215"/>
      <c r="E83" s="205">
        <v>0</v>
      </c>
      <c r="F83" s="214"/>
      <c r="G83" t="str">
        <f t="shared" si="2"/>
        <v/>
      </c>
      <c r="H83" s="8"/>
      <c r="I83" s="236"/>
      <c r="J83" s="282"/>
      <c r="K83" s="282">
        <v>0</v>
      </c>
      <c r="L83" s="371"/>
      <c r="M83" s="193"/>
    </row>
    <row r="84" spans="1:13" x14ac:dyDescent="0.3">
      <c r="A84" s="209"/>
      <c r="B84" s="213"/>
      <c r="C84" s="193"/>
      <c r="D84" s="215"/>
      <c r="E84" s="205">
        <v>0</v>
      </c>
      <c r="F84" s="214"/>
      <c r="G84" t="str">
        <f t="shared" si="2"/>
        <v/>
      </c>
      <c r="H84" s="8"/>
      <c r="I84" s="236"/>
      <c r="J84" s="282"/>
      <c r="K84" s="282">
        <v>0</v>
      </c>
      <c r="L84" s="371"/>
      <c r="M84" s="193"/>
    </row>
    <row r="85" spans="1:13" x14ac:dyDescent="0.3">
      <c r="A85" s="209"/>
      <c r="B85" s="213"/>
      <c r="C85" s="193"/>
      <c r="D85" s="215"/>
      <c r="E85" s="205">
        <v>0</v>
      </c>
      <c r="F85" s="214"/>
      <c r="G85" t="str">
        <f t="shared" si="2"/>
        <v/>
      </c>
      <c r="H85" s="8"/>
      <c r="I85" s="236"/>
      <c r="J85" s="282"/>
      <c r="K85" s="282">
        <v>0</v>
      </c>
      <c r="L85" s="371"/>
      <c r="M85" s="193"/>
    </row>
    <row r="86" spans="1:13" x14ac:dyDescent="0.3">
      <c r="A86" s="209"/>
      <c r="B86" s="213"/>
      <c r="C86" s="193"/>
      <c r="D86" s="215"/>
      <c r="E86" s="205">
        <v>0</v>
      </c>
      <c r="F86" s="214"/>
      <c r="G86" t="str">
        <f t="shared" si="2"/>
        <v/>
      </c>
      <c r="H86" s="8"/>
      <c r="I86" s="236"/>
      <c r="J86" s="282"/>
      <c r="K86" s="282">
        <v>0</v>
      </c>
      <c r="L86" s="371"/>
      <c r="M86" s="193"/>
    </row>
    <row r="87" spans="1:13" x14ac:dyDescent="0.3">
      <c r="A87" s="209"/>
      <c r="B87" s="213"/>
      <c r="C87" s="193"/>
      <c r="D87" s="215"/>
      <c r="E87" s="205">
        <v>0</v>
      </c>
      <c r="F87" s="214"/>
      <c r="G87" t="str">
        <f t="shared" si="2"/>
        <v/>
      </c>
      <c r="H87" s="8"/>
      <c r="I87" s="236"/>
      <c r="J87" s="282"/>
      <c r="K87" s="282">
        <v>0</v>
      </c>
      <c r="L87" s="371"/>
      <c r="M87" s="193"/>
    </row>
    <row r="88" spans="1:13" x14ac:dyDescent="0.3">
      <c r="A88" s="209"/>
      <c r="B88" s="213"/>
      <c r="C88" s="193"/>
      <c r="D88" s="215"/>
      <c r="E88" s="205">
        <v>0</v>
      </c>
      <c r="F88" s="214"/>
      <c r="G88" t="str">
        <f t="shared" si="2"/>
        <v/>
      </c>
      <c r="H88" s="8"/>
      <c r="I88" s="236"/>
      <c r="J88" s="282"/>
      <c r="K88" s="282">
        <v>0</v>
      </c>
      <c r="L88" s="371"/>
      <c r="M88" s="193"/>
    </row>
    <row r="89" spans="1:13" x14ac:dyDescent="0.3">
      <c r="A89" s="209"/>
      <c r="B89" s="213"/>
      <c r="C89" s="193"/>
      <c r="D89" s="215"/>
      <c r="E89" s="205">
        <v>0</v>
      </c>
      <c r="F89" s="214"/>
      <c r="G89" t="str">
        <f t="shared" si="2"/>
        <v/>
      </c>
      <c r="H89" s="8"/>
      <c r="I89" s="236"/>
      <c r="J89" s="282"/>
      <c r="K89" s="282">
        <v>0</v>
      </c>
      <c r="L89" s="371"/>
      <c r="M89" s="193"/>
    </row>
    <row r="90" spans="1:13" x14ac:dyDescent="0.3">
      <c r="A90" s="209"/>
      <c r="B90" s="213"/>
      <c r="C90" s="193"/>
      <c r="D90" s="215"/>
      <c r="E90" s="205">
        <v>0</v>
      </c>
      <c r="F90" s="214"/>
      <c r="G90" t="str">
        <f t="shared" si="2"/>
        <v/>
      </c>
      <c r="H90" s="8"/>
      <c r="I90" s="236"/>
      <c r="J90" s="282"/>
      <c r="K90" s="282">
        <v>0</v>
      </c>
      <c r="L90" s="371"/>
      <c r="M90" s="193"/>
    </row>
    <row r="91" spans="1:13" x14ac:dyDescent="0.3">
      <c r="A91" s="209"/>
      <c r="B91" s="213"/>
      <c r="C91" s="193"/>
      <c r="D91" s="215"/>
      <c r="E91" s="205">
        <v>0</v>
      </c>
      <c r="F91" s="214"/>
      <c r="G91" t="str">
        <f t="shared" si="2"/>
        <v/>
      </c>
      <c r="H91" s="8"/>
      <c r="I91" s="236"/>
      <c r="J91" s="282"/>
      <c r="K91" s="282">
        <v>0</v>
      </c>
      <c r="L91" s="371"/>
      <c r="M91" s="193"/>
    </row>
    <row r="92" spans="1:13" x14ac:dyDescent="0.3">
      <c r="A92" s="209"/>
      <c r="B92" s="213"/>
      <c r="C92" s="193"/>
      <c r="D92" s="215"/>
      <c r="E92" s="205">
        <v>0</v>
      </c>
      <c r="F92" s="214"/>
      <c r="G92" t="str">
        <f t="shared" si="2"/>
        <v/>
      </c>
      <c r="H92" s="8"/>
      <c r="I92" s="236"/>
      <c r="J92" s="282"/>
      <c r="K92" s="282">
        <v>0</v>
      </c>
      <c r="L92" s="371"/>
      <c r="M92" s="193"/>
    </row>
    <row r="93" spans="1:13" x14ac:dyDescent="0.3">
      <c r="A93" s="209"/>
      <c r="B93" s="213"/>
      <c r="C93" s="193"/>
      <c r="D93" s="215"/>
      <c r="E93" s="205">
        <v>0</v>
      </c>
      <c r="F93" s="214"/>
      <c r="G93" t="str">
        <f t="shared" si="2"/>
        <v/>
      </c>
      <c r="H93" s="8"/>
      <c r="I93" s="236"/>
      <c r="J93" s="282"/>
      <c r="K93" s="282">
        <v>0</v>
      </c>
      <c r="L93" s="371"/>
      <c r="M93" s="193"/>
    </row>
    <row r="94" spans="1:13" x14ac:dyDescent="0.3">
      <c r="A94" s="209"/>
      <c r="B94" s="213"/>
      <c r="C94" s="193"/>
      <c r="D94" s="215"/>
      <c r="E94" s="205">
        <v>0</v>
      </c>
      <c r="F94" s="214"/>
      <c r="G94" t="str">
        <f t="shared" si="2"/>
        <v/>
      </c>
      <c r="H94" s="8"/>
      <c r="I94" s="236"/>
      <c r="J94" s="282"/>
      <c r="K94" s="282">
        <v>0</v>
      </c>
      <c r="L94" s="371"/>
      <c r="M94" s="193"/>
    </row>
    <row r="95" spans="1:13" x14ac:dyDescent="0.3">
      <c r="A95" s="209"/>
      <c r="B95" s="213"/>
      <c r="C95" s="193"/>
      <c r="D95" s="215"/>
      <c r="E95" s="205">
        <v>0</v>
      </c>
      <c r="F95" s="214"/>
      <c r="G95" t="str">
        <f t="shared" si="2"/>
        <v/>
      </c>
      <c r="H95" s="8"/>
      <c r="I95" s="236"/>
      <c r="J95" s="282"/>
      <c r="K95" s="282">
        <v>0</v>
      </c>
      <c r="L95" s="371"/>
      <c r="M95" s="193"/>
    </row>
    <row r="96" spans="1:13" x14ac:dyDescent="0.3">
      <c r="A96" s="209"/>
      <c r="B96" s="213"/>
      <c r="C96" s="193"/>
      <c r="D96" s="215"/>
      <c r="E96" s="205">
        <v>0</v>
      </c>
      <c r="F96" s="214"/>
      <c r="G96" t="str">
        <f t="shared" si="2"/>
        <v/>
      </c>
      <c r="H96" s="8"/>
      <c r="I96" s="236"/>
      <c r="J96" s="282"/>
      <c r="K96" s="282">
        <v>0</v>
      </c>
      <c r="L96" s="371"/>
      <c r="M96" s="193"/>
    </row>
    <row r="97" spans="1:13" x14ac:dyDescent="0.3">
      <c r="A97" s="209"/>
      <c r="B97" s="213"/>
      <c r="C97" s="193"/>
      <c r="D97" s="215"/>
      <c r="E97" s="205">
        <v>0</v>
      </c>
      <c r="F97" s="214"/>
      <c r="G97" t="str">
        <f t="shared" si="2"/>
        <v/>
      </c>
      <c r="H97" s="8"/>
      <c r="I97" s="236"/>
      <c r="J97" s="282"/>
      <c r="K97" s="282">
        <v>0</v>
      </c>
      <c r="L97" s="371"/>
      <c r="M97" s="193"/>
    </row>
    <row r="98" spans="1:13" x14ac:dyDescent="0.3">
      <c r="A98" s="209"/>
      <c r="B98" s="213"/>
      <c r="C98" s="193"/>
      <c r="D98" s="215"/>
      <c r="E98" s="205">
        <v>0</v>
      </c>
      <c r="F98" s="214"/>
      <c r="G98" t="str">
        <f t="shared" si="2"/>
        <v/>
      </c>
      <c r="H98" s="8"/>
      <c r="I98" s="236"/>
      <c r="J98" s="282"/>
      <c r="K98" s="282">
        <v>0</v>
      </c>
      <c r="L98" s="371"/>
      <c r="M98" s="193"/>
    </row>
    <row r="99" spans="1:13" x14ac:dyDescent="0.3">
      <c r="A99" s="209"/>
      <c r="B99" s="213"/>
      <c r="C99" s="193"/>
      <c r="D99" s="215"/>
      <c r="E99" s="205">
        <v>0</v>
      </c>
      <c r="F99" s="214"/>
      <c r="G99" t="str">
        <f t="shared" si="2"/>
        <v/>
      </c>
      <c r="H99" s="8"/>
      <c r="I99" s="236"/>
      <c r="J99" s="282"/>
      <c r="K99" s="282">
        <v>0</v>
      </c>
      <c r="L99" s="371"/>
      <c r="M99" s="193"/>
    </row>
    <row r="100" spans="1:13" x14ac:dyDescent="0.3">
      <c r="A100" s="209"/>
      <c r="B100" s="213"/>
      <c r="C100" s="193"/>
      <c r="D100" s="215"/>
      <c r="E100" s="205">
        <v>0</v>
      </c>
      <c r="F100" s="214"/>
      <c r="G100" t="str">
        <f t="shared" si="2"/>
        <v/>
      </c>
      <c r="H100" s="8"/>
      <c r="I100" s="236"/>
      <c r="J100" s="282"/>
      <c r="K100" s="282">
        <v>0</v>
      </c>
      <c r="L100" s="371"/>
      <c r="M100" s="193"/>
    </row>
    <row r="101" spans="1:13" x14ac:dyDescent="0.3">
      <c r="A101" s="209"/>
      <c r="B101" s="213"/>
      <c r="C101" s="193"/>
      <c r="D101" s="215"/>
      <c r="E101" s="205">
        <v>0</v>
      </c>
      <c r="F101" s="214"/>
      <c r="G101" t="str">
        <f t="shared" si="2"/>
        <v/>
      </c>
      <c r="H101" s="8"/>
      <c r="I101" s="236"/>
      <c r="J101" s="282"/>
      <c r="K101" s="282">
        <v>0</v>
      </c>
      <c r="L101" s="371"/>
      <c r="M101" s="193"/>
    </row>
    <row r="102" spans="1:13" x14ac:dyDescent="0.3">
      <c r="A102" s="209"/>
      <c r="B102" s="213"/>
      <c r="C102" s="193"/>
      <c r="D102" s="215"/>
      <c r="E102" s="205">
        <v>0</v>
      </c>
      <c r="F102" s="214"/>
      <c r="G102" t="str">
        <f t="shared" si="2"/>
        <v/>
      </c>
      <c r="H102" s="8"/>
      <c r="I102" s="236"/>
      <c r="J102" s="282"/>
      <c r="K102" s="282">
        <v>0</v>
      </c>
      <c r="L102" s="371"/>
      <c r="M102" s="193"/>
    </row>
    <row r="103" spans="1:13" x14ac:dyDescent="0.3">
      <c r="A103" s="209"/>
      <c r="B103" s="213"/>
      <c r="C103" s="193"/>
      <c r="D103" s="215"/>
      <c r="E103" s="205">
        <v>0</v>
      </c>
      <c r="F103" s="214"/>
      <c r="G103" t="str">
        <f t="shared" si="2"/>
        <v/>
      </c>
      <c r="H103" s="8"/>
      <c r="I103" s="236"/>
      <c r="J103" s="282"/>
      <c r="K103" s="282">
        <v>0</v>
      </c>
      <c r="L103" s="371"/>
      <c r="M103" s="193"/>
    </row>
    <row r="104" spans="1:13" x14ac:dyDescent="0.3">
      <c r="A104" s="209"/>
      <c r="B104" s="213"/>
      <c r="C104" s="193"/>
      <c r="D104" s="215"/>
      <c r="E104" s="205">
        <v>0</v>
      </c>
      <c r="F104" s="214"/>
      <c r="G104" t="str">
        <f t="shared" si="2"/>
        <v/>
      </c>
      <c r="H104" s="8"/>
      <c r="I104" s="236"/>
      <c r="J104" s="282"/>
      <c r="K104" s="282">
        <v>0</v>
      </c>
      <c r="L104" s="371"/>
      <c r="M104" s="193"/>
    </row>
    <row r="105" spans="1:13" x14ac:dyDescent="0.3">
      <c r="A105" s="209"/>
      <c r="B105" s="213"/>
      <c r="C105" s="193"/>
      <c r="D105" s="215"/>
      <c r="E105" s="205">
        <v>0</v>
      </c>
      <c r="F105" s="214"/>
      <c r="G105" t="str">
        <f t="shared" si="2"/>
        <v/>
      </c>
      <c r="H105" s="8"/>
      <c r="I105" s="236"/>
      <c r="J105" s="282"/>
      <c r="K105" s="282">
        <v>0</v>
      </c>
      <c r="L105" s="371"/>
      <c r="M105" s="193"/>
    </row>
    <row r="106" spans="1:13" x14ac:dyDescent="0.3">
      <c r="A106" s="209"/>
      <c r="B106" s="213"/>
      <c r="C106" s="193"/>
      <c r="D106" s="215"/>
      <c r="E106" s="205">
        <v>0</v>
      </c>
      <c r="F106" s="214"/>
      <c r="G106" t="str">
        <f t="shared" si="2"/>
        <v/>
      </c>
      <c r="H106" s="8"/>
      <c r="I106" s="236"/>
      <c r="J106" s="282"/>
      <c r="K106" s="282">
        <v>0</v>
      </c>
      <c r="L106" s="371"/>
      <c r="M106" s="193"/>
    </row>
    <row r="107" spans="1:13" x14ac:dyDescent="0.3">
      <c r="A107" s="209"/>
      <c r="B107" s="213"/>
      <c r="C107" s="193"/>
      <c r="D107" s="215"/>
      <c r="E107" s="205">
        <v>0</v>
      </c>
      <c r="F107" s="214"/>
      <c r="G107" t="str">
        <f t="shared" si="2"/>
        <v/>
      </c>
      <c r="H107" s="8"/>
      <c r="I107" s="236"/>
      <c r="J107" s="282"/>
      <c r="K107" s="282">
        <v>0</v>
      </c>
      <c r="L107" s="371"/>
      <c r="M107" s="193"/>
    </row>
    <row r="108" spans="1:13" x14ac:dyDescent="0.3">
      <c r="A108" s="209"/>
      <c r="B108" s="213"/>
      <c r="C108" s="193"/>
      <c r="D108" s="215"/>
      <c r="E108" s="205">
        <v>0</v>
      </c>
      <c r="F108" s="214"/>
      <c r="G108" t="str">
        <f t="shared" si="2"/>
        <v/>
      </c>
      <c r="H108" s="8"/>
      <c r="I108" s="236"/>
      <c r="J108" s="282"/>
      <c r="K108" s="282">
        <v>0</v>
      </c>
      <c r="L108" s="371"/>
      <c r="M108" s="193"/>
    </row>
    <row r="109" spans="1:13" x14ac:dyDescent="0.3">
      <c r="A109" s="209"/>
      <c r="B109" s="213"/>
      <c r="C109" s="193"/>
      <c r="D109" s="215"/>
      <c r="E109" s="205">
        <v>0</v>
      </c>
      <c r="F109" s="214"/>
      <c r="G109" t="str">
        <f t="shared" si="2"/>
        <v/>
      </c>
      <c r="H109" s="8"/>
      <c r="I109" s="236"/>
      <c r="J109" s="282"/>
      <c r="K109" s="282">
        <v>0</v>
      </c>
      <c r="L109" s="371"/>
      <c r="M109" s="193"/>
    </row>
    <row r="110" spans="1:13" x14ac:dyDescent="0.3">
      <c r="A110" s="209"/>
      <c r="B110" s="213"/>
      <c r="C110" s="193"/>
      <c r="D110" s="215"/>
      <c r="E110" s="205">
        <v>0</v>
      </c>
      <c r="F110" s="214"/>
      <c r="G110" t="str">
        <f t="shared" si="2"/>
        <v/>
      </c>
      <c r="H110" s="8"/>
      <c r="I110" s="236"/>
      <c r="J110" s="282"/>
      <c r="K110" s="282">
        <v>0</v>
      </c>
      <c r="L110" s="371"/>
      <c r="M110" s="193"/>
    </row>
    <row r="111" spans="1:13" x14ac:dyDescent="0.3">
      <c r="A111" s="209"/>
      <c r="B111" s="213"/>
      <c r="C111" s="193"/>
      <c r="D111" s="215"/>
      <c r="E111" s="205">
        <v>0</v>
      </c>
      <c r="F111" s="214"/>
      <c r="G111" t="str">
        <f t="shared" si="2"/>
        <v/>
      </c>
      <c r="H111" s="8"/>
      <c r="I111" s="236"/>
      <c r="J111" s="282"/>
      <c r="K111" s="282">
        <v>0</v>
      </c>
      <c r="L111" s="371"/>
      <c r="M111" s="193"/>
    </row>
    <row r="112" spans="1:13" x14ac:dyDescent="0.3">
      <c r="A112" s="209"/>
      <c r="B112" s="213"/>
      <c r="C112" s="193"/>
      <c r="D112" s="215"/>
      <c r="E112" s="205">
        <v>0</v>
      </c>
      <c r="F112" s="214"/>
      <c r="G112" t="str">
        <f t="shared" si="2"/>
        <v/>
      </c>
      <c r="H112" s="8"/>
      <c r="I112" s="236"/>
      <c r="J112" s="282"/>
      <c r="K112" s="282">
        <v>0</v>
      </c>
      <c r="L112" s="371"/>
      <c r="M112" s="193"/>
    </row>
    <row r="113" spans="1:13" x14ac:dyDescent="0.3">
      <c r="A113" s="209"/>
      <c r="B113" s="213"/>
      <c r="C113" s="193"/>
      <c r="D113" s="215"/>
      <c r="E113" s="205">
        <v>0</v>
      </c>
      <c r="F113" s="214"/>
      <c r="G113" t="str">
        <f t="shared" si="2"/>
        <v/>
      </c>
      <c r="H113" s="8"/>
      <c r="I113" s="236"/>
      <c r="J113" s="282"/>
      <c r="K113" s="282">
        <v>0</v>
      </c>
      <c r="L113" s="371"/>
      <c r="M113" s="193"/>
    </row>
    <row r="114" spans="1:13" x14ac:dyDescent="0.3">
      <c r="A114" s="209"/>
      <c r="B114" s="213"/>
      <c r="C114" s="193"/>
      <c r="D114" s="215"/>
      <c r="E114" s="205">
        <v>0</v>
      </c>
      <c r="F114" s="214"/>
      <c r="H114" s="8"/>
      <c r="I114" s="236"/>
      <c r="J114" s="282"/>
      <c r="K114" s="282">
        <v>0</v>
      </c>
      <c r="L114" s="371"/>
      <c r="M114" s="193"/>
    </row>
    <row r="115" spans="1:13" x14ac:dyDescent="0.3">
      <c r="A115" s="209"/>
      <c r="B115" s="213"/>
      <c r="C115" s="193"/>
      <c r="D115" s="215"/>
      <c r="E115" s="205">
        <v>0</v>
      </c>
      <c r="F115" s="214"/>
      <c r="H115" s="8"/>
      <c r="I115" s="236"/>
      <c r="J115" s="282"/>
      <c r="K115" s="282">
        <v>0</v>
      </c>
      <c r="L115" s="371"/>
      <c r="M115" s="193"/>
    </row>
    <row r="116" spans="1:13" x14ac:dyDescent="0.3">
      <c r="A116" s="209"/>
      <c r="B116" s="213"/>
      <c r="C116" s="193"/>
      <c r="D116" s="215"/>
      <c r="E116" s="205">
        <v>0</v>
      </c>
      <c r="F116" s="214"/>
      <c r="H116" s="8"/>
      <c r="I116" s="236"/>
      <c r="J116" s="282"/>
      <c r="K116" s="282">
        <v>0</v>
      </c>
      <c r="L116" s="371"/>
      <c r="M116" s="193"/>
    </row>
    <row r="117" spans="1:13" x14ac:dyDescent="0.3">
      <c r="A117" s="209"/>
      <c r="B117" s="213"/>
      <c r="C117" s="193"/>
      <c r="D117" s="215"/>
      <c r="E117" s="205">
        <v>0</v>
      </c>
      <c r="F117" s="214"/>
      <c r="H117" s="8"/>
      <c r="I117" s="236"/>
      <c r="J117" s="282"/>
      <c r="K117" s="282">
        <v>0</v>
      </c>
      <c r="L117" s="371"/>
      <c r="M117" s="193"/>
    </row>
    <row r="118" spans="1:13" x14ac:dyDescent="0.3">
      <c r="A118" s="209"/>
      <c r="B118" s="213"/>
      <c r="C118" s="193"/>
      <c r="D118" s="215"/>
      <c r="E118" s="205">
        <v>0</v>
      </c>
      <c r="F118" s="214"/>
      <c r="H118" s="8"/>
      <c r="I118" s="236"/>
      <c r="J118" s="282"/>
      <c r="K118" s="282">
        <v>0</v>
      </c>
      <c r="L118" s="371"/>
      <c r="M118" s="193"/>
    </row>
    <row r="119" spans="1:13" x14ac:dyDescent="0.3">
      <c r="A119" s="209"/>
      <c r="B119" s="213"/>
      <c r="C119" s="193"/>
      <c r="D119" s="215"/>
      <c r="E119" s="205">
        <v>0</v>
      </c>
      <c r="F119" s="214"/>
      <c r="H119" s="8"/>
      <c r="I119" s="236"/>
      <c r="J119" s="282"/>
      <c r="K119" s="282">
        <v>0</v>
      </c>
      <c r="L119" s="371"/>
      <c r="M119" s="193"/>
    </row>
    <row r="120" spans="1:13" x14ac:dyDescent="0.3">
      <c r="A120" s="209"/>
      <c r="B120" s="213"/>
      <c r="C120" s="193"/>
      <c r="D120" s="215"/>
      <c r="E120" s="205">
        <v>0</v>
      </c>
      <c r="F120" s="214"/>
      <c r="H120" s="8"/>
      <c r="I120" s="236"/>
      <c r="J120" s="282"/>
      <c r="K120" s="282">
        <v>0</v>
      </c>
      <c r="L120" s="371"/>
      <c r="M120" s="193"/>
    </row>
    <row r="121" spans="1:13" x14ac:dyDescent="0.3">
      <c r="A121" s="209"/>
      <c r="B121" s="213"/>
      <c r="C121" s="193"/>
      <c r="D121" s="215"/>
      <c r="E121" s="205">
        <v>0</v>
      </c>
      <c r="F121" s="214"/>
      <c r="H121" s="8"/>
      <c r="I121" s="236"/>
      <c r="J121" s="282"/>
      <c r="K121" s="282">
        <v>0</v>
      </c>
      <c r="L121" s="371"/>
      <c r="M121" s="193"/>
    </row>
    <row r="122" spans="1:13" x14ac:dyDescent="0.3">
      <c r="A122" s="209"/>
      <c r="B122" s="213"/>
      <c r="C122" s="193"/>
      <c r="D122" s="215"/>
      <c r="E122" s="205">
        <v>0</v>
      </c>
      <c r="F122" s="214"/>
      <c r="H122" s="8"/>
      <c r="I122" s="236"/>
      <c r="J122" s="282"/>
      <c r="K122" s="282">
        <v>0</v>
      </c>
      <c r="L122" s="371"/>
      <c r="M122" s="193"/>
    </row>
    <row r="123" spans="1:13" x14ac:dyDescent="0.3">
      <c r="A123" s="209"/>
      <c r="B123" s="213"/>
      <c r="C123" s="193"/>
      <c r="D123" s="215"/>
      <c r="E123" s="205">
        <v>0</v>
      </c>
      <c r="F123" s="214"/>
      <c r="H123" s="8"/>
      <c r="I123" s="236"/>
      <c r="J123" s="282"/>
      <c r="K123" s="282">
        <v>0</v>
      </c>
      <c r="L123" s="371"/>
      <c r="M123" s="193"/>
    </row>
    <row r="124" spans="1:13" x14ac:dyDescent="0.3">
      <c r="A124" s="209"/>
      <c r="B124" s="213"/>
      <c r="C124" s="193"/>
      <c r="D124" s="215"/>
      <c r="E124" s="205">
        <v>0</v>
      </c>
      <c r="F124" s="214"/>
      <c r="H124" s="8"/>
      <c r="I124" s="236"/>
      <c r="J124" s="282"/>
      <c r="K124" s="282">
        <v>0</v>
      </c>
      <c r="L124" s="371"/>
      <c r="M124" s="193"/>
    </row>
    <row r="125" spans="1:13" x14ac:dyDescent="0.3">
      <c r="A125" s="209"/>
      <c r="B125" s="213"/>
      <c r="C125" s="193"/>
      <c r="D125" s="215"/>
      <c r="E125" s="205">
        <v>0</v>
      </c>
      <c r="F125" s="214"/>
      <c r="H125" s="8"/>
      <c r="I125" s="236"/>
      <c r="J125" s="282"/>
      <c r="K125" s="282">
        <v>0</v>
      </c>
      <c r="L125" s="371"/>
      <c r="M125" s="193"/>
    </row>
    <row r="126" spans="1:13" x14ac:dyDescent="0.3">
      <c r="A126" s="209"/>
      <c r="B126" s="213"/>
      <c r="C126" s="193"/>
      <c r="D126" s="215"/>
      <c r="E126" s="205">
        <v>0</v>
      </c>
      <c r="F126" s="214"/>
      <c r="H126" s="8"/>
      <c r="I126" s="236"/>
      <c r="J126" s="282"/>
      <c r="K126" s="282">
        <v>0</v>
      </c>
      <c r="L126" s="371"/>
      <c r="M126" s="193"/>
    </row>
    <row r="127" spans="1:13" x14ac:dyDescent="0.3">
      <c r="A127" s="209"/>
      <c r="B127" s="213"/>
      <c r="C127" s="193"/>
      <c r="D127" s="215"/>
      <c r="E127" s="205">
        <v>0</v>
      </c>
      <c r="F127" s="214"/>
      <c r="H127" s="8"/>
      <c r="I127" s="236"/>
      <c r="J127" s="282"/>
      <c r="K127" s="282">
        <v>0</v>
      </c>
      <c r="L127" s="371"/>
      <c r="M127" s="193"/>
    </row>
    <row r="128" spans="1:13" x14ac:dyDescent="0.3">
      <c r="A128" s="209"/>
      <c r="B128" s="213"/>
      <c r="C128" s="193"/>
      <c r="D128" s="215"/>
      <c r="E128" s="205">
        <v>0</v>
      </c>
      <c r="F128" s="214"/>
      <c r="H128" s="8"/>
      <c r="I128" s="236"/>
      <c r="J128" s="282"/>
      <c r="K128" s="282">
        <v>0</v>
      </c>
      <c r="L128" s="371"/>
      <c r="M128" s="193"/>
    </row>
    <row r="129" spans="1:13" x14ac:dyDescent="0.3">
      <c r="A129" s="209"/>
      <c r="B129" s="213"/>
      <c r="C129" s="193"/>
      <c r="D129" s="215"/>
      <c r="E129" s="205">
        <v>0</v>
      </c>
      <c r="F129" s="214"/>
      <c r="H129" s="8"/>
      <c r="I129" s="236"/>
      <c r="J129" s="282"/>
      <c r="K129" s="282">
        <v>0</v>
      </c>
      <c r="L129" s="371"/>
      <c r="M129" s="193"/>
    </row>
    <row r="130" spans="1:13" x14ac:dyDescent="0.3">
      <c r="A130" s="209"/>
      <c r="B130" s="213"/>
      <c r="C130" s="193"/>
      <c r="D130" s="215"/>
      <c r="E130" s="205">
        <v>0</v>
      </c>
      <c r="F130" s="214"/>
      <c r="H130" s="8"/>
      <c r="I130" s="236"/>
      <c r="J130" s="282"/>
      <c r="K130" s="282">
        <v>0</v>
      </c>
      <c r="L130" s="371"/>
      <c r="M130" s="193"/>
    </row>
    <row r="131" spans="1:13" x14ac:dyDescent="0.3">
      <c r="A131" s="209"/>
      <c r="B131" s="213"/>
      <c r="C131" s="193"/>
      <c r="D131" s="215"/>
      <c r="E131" s="205">
        <v>0</v>
      </c>
      <c r="F131" s="214"/>
      <c r="H131" s="8"/>
      <c r="I131" s="236"/>
      <c r="J131" s="282"/>
      <c r="K131" s="282">
        <v>0</v>
      </c>
      <c r="L131" s="371"/>
      <c r="M131" s="193"/>
    </row>
    <row r="132" spans="1:13" x14ac:dyDescent="0.3">
      <c r="A132" s="209"/>
      <c r="B132" s="213"/>
      <c r="C132" s="193"/>
      <c r="D132" s="215"/>
      <c r="E132" s="205">
        <v>0</v>
      </c>
      <c r="F132" s="214"/>
      <c r="H132" s="8"/>
      <c r="I132" s="236"/>
      <c r="J132" s="282"/>
      <c r="K132" s="282">
        <v>0</v>
      </c>
      <c r="L132" s="371"/>
      <c r="M132" s="193"/>
    </row>
    <row r="133" spans="1:13" x14ac:dyDescent="0.3">
      <c r="A133" s="216"/>
      <c r="B133" s="215"/>
      <c r="C133" s="205"/>
      <c r="D133" s="215"/>
      <c r="E133" s="205"/>
      <c r="F133" s="214"/>
      <c r="H133" s="8"/>
      <c r="I133" s="236"/>
      <c r="J133" s="282"/>
      <c r="K133" s="282">
        <v>0</v>
      </c>
      <c r="L133" s="371"/>
      <c r="M133" s="193"/>
    </row>
    <row r="134" spans="1:13" x14ac:dyDescent="0.3">
      <c r="A134" s="216"/>
      <c r="B134" s="215"/>
      <c r="C134" s="205"/>
      <c r="D134" s="215"/>
      <c r="E134" s="205"/>
      <c r="F134" s="214"/>
      <c r="H134" s="8"/>
      <c r="I134" s="236"/>
      <c r="J134" s="282"/>
      <c r="K134" s="282">
        <v>0</v>
      </c>
      <c r="L134" s="371"/>
      <c r="M134" s="193"/>
    </row>
    <row r="135" spans="1:13" x14ac:dyDescent="0.3">
      <c r="A135" s="216"/>
      <c r="B135" s="215"/>
      <c r="C135" s="205"/>
      <c r="D135" s="215"/>
      <c r="E135" s="205"/>
      <c r="F135" s="214"/>
      <c r="H135" s="8"/>
      <c r="I135" s="236"/>
      <c r="J135" s="282"/>
      <c r="K135" s="282">
        <v>0</v>
      </c>
      <c r="L135" s="371"/>
      <c r="M135" s="193"/>
    </row>
    <row r="136" spans="1:13" x14ac:dyDescent="0.3">
      <c r="A136" s="216"/>
      <c r="B136" s="215"/>
      <c r="C136" s="205"/>
      <c r="D136" s="215"/>
      <c r="E136" s="205"/>
      <c r="F136" s="214"/>
      <c r="H136" s="8"/>
      <c r="I136" s="236"/>
      <c r="J136" s="282"/>
      <c r="K136" s="282">
        <v>0</v>
      </c>
      <c r="L136" s="371"/>
      <c r="M136" s="193"/>
    </row>
    <row r="137" spans="1:13" x14ac:dyDescent="0.3">
      <c r="A137" s="216"/>
      <c r="B137" s="215"/>
      <c r="C137" s="205"/>
      <c r="D137" s="215"/>
      <c r="E137" s="205"/>
      <c r="F137" s="214"/>
      <c r="H137" s="8"/>
      <c r="I137" s="236"/>
      <c r="J137" s="282"/>
      <c r="K137" s="282">
        <v>0</v>
      </c>
      <c r="L137" s="371"/>
      <c r="M137" s="193"/>
    </row>
    <row r="138" spans="1:13" x14ac:dyDescent="0.3">
      <c r="A138" s="216"/>
      <c r="B138" s="215"/>
      <c r="C138" s="205"/>
      <c r="D138" s="215"/>
      <c r="E138" s="205"/>
      <c r="F138" s="214"/>
      <c r="H138" s="8"/>
      <c r="I138" s="236"/>
      <c r="J138" s="282"/>
      <c r="K138" s="282">
        <v>0</v>
      </c>
      <c r="L138" s="371"/>
      <c r="M138" s="193"/>
    </row>
    <row r="139" spans="1:13" x14ac:dyDescent="0.3">
      <c r="A139" s="216"/>
      <c r="B139" s="215"/>
      <c r="C139" s="205"/>
      <c r="D139" s="215"/>
      <c r="E139" s="205"/>
      <c r="F139" s="214"/>
      <c r="H139" s="8"/>
      <c r="I139" s="236"/>
      <c r="J139" s="282"/>
      <c r="K139" s="282">
        <v>0</v>
      </c>
      <c r="L139" s="371"/>
      <c r="M139" s="193"/>
    </row>
    <row r="140" spans="1:13" x14ac:dyDescent="0.3">
      <c r="A140" s="216"/>
      <c r="B140" s="215"/>
      <c r="C140" s="205"/>
      <c r="D140" s="215"/>
      <c r="E140" s="205"/>
      <c r="F140" s="214"/>
      <c r="H140" s="8"/>
      <c r="I140" s="236"/>
      <c r="J140" s="282"/>
      <c r="K140" s="282">
        <v>0</v>
      </c>
      <c r="L140" s="371"/>
      <c r="M140" s="193"/>
    </row>
    <row r="141" spans="1:13" x14ac:dyDescent="0.3">
      <c r="A141" s="216"/>
      <c r="B141" s="215"/>
      <c r="C141" s="205"/>
      <c r="D141" s="215"/>
      <c r="E141" s="205"/>
      <c r="F141" s="214"/>
      <c r="H141" s="8"/>
      <c r="I141" s="236"/>
      <c r="J141" s="282"/>
      <c r="K141" s="282">
        <v>0</v>
      </c>
      <c r="L141" s="371"/>
      <c r="M141" s="193"/>
    </row>
    <row r="142" spans="1:13" x14ac:dyDescent="0.3">
      <c r="A142" s="216"/>
      <c r="B142" s="215"/>
      <c r="C142" s="205"/>
      <c r="D142" s="215"/>
      <c r="E142" s="205"/>
      <c r="F142" s="214"/>
      <c r="H142" s="8"/>
      <c r="I142" s="236"/>
      <c r="J142" s="282"/>
      <c r="K142" s="282">
        <v>0</v>
      </c>
      <c r="L142" s="371"/>
      <c r="M142" s="193"/>
    </row>
    <row r="143" spans="1:13" x14ac:dyDescent="0.3">
      <c r="A143" s="216"/>
      <c r="B143" s="215"/>
      <c r="C143" s="205"/>
      <c r="D143" s="215"/>
      <c r="E143" s="205"/>
      <c r="F143" s="214"/>
      <c r="H143" s="8"/>
      <c r="I143" s="236"/>
      <c r="J143" s="282"/>
      <c r="K143" s="282">
        <v>0</v>
      </c>
      <c r="L143" s="371"/>
      <c r="M143" s="193"/>
    </row>
    <row r="144" spans="1:13" x14ac:dyDescent="0.3">
      <c r="A144" s="216"/>
      <c r="B144" s="215"/>
      <c r="C144" s="205"/>
      <c r="D144" s="215"/>
      <c r="E144" s="205"/>
      <c r="F144" s="214"/>
      <c r="H144" s="8"/>
      <c r="I144" s="236"/>
      <c r="J144" s="282"/>
      <c r="K144" s="282">
        <v>0</v>
      </c>
      <c r="L144" s="371"/>
      <c r="M144" s="193"/>
    </row>
    <row r="145" spans="1:13" x14ac:dyDescent="0.3">
      <c r="A145" s="216"/>
      <c r="B145" s="215"/>
      <c r="C145" s="205"/>
      <c r="D145" s="215"/>
      <c r="E145" s="205"/>
      <c r="F145" s="214"/>
      <c r="H145" s="8"/>
      <c r="I145" s="236"/>
      <c r="J145" s="282"/>
      <c r="K145" s="282">
        <v>0</v>
      </c>
      <c r="L145" s="371"/>
      <c r="M145" s="193"/>
    </row>
    <row r="146" spans="1:13" x14ac:dyDescent="0.3">
      <c r="A146" s="216"/>
      <c r="B146" s="215"/>
      <c r="C146" s="205"/>
      <c r="D146" s="215"/>
      <c r="E146" s="205"/>
      <c r="F146" s="214"/>
      <c r="H146" s="8"/>
      <c r="I146" s="236"/>
      <c r="J146" s="282"/>
      <c r="K146" s="282">
        <v>0</v>
      </c>
      <c r="L146" s="371"/>
      <c r="M146" s="193"/>
    </row>
    <row r="147" spans="1:13" x14ac:dyDescent="0.3">
      <c r="A147" s="216"/>
      <c r="B147" s="215"/>
      <c r="C147" s="205"/>
      <c r="D147" s="215"/>
      <c r="E147" s="205"/>
      <c r="F147" s="214"/>
      <c r="H147" s="8"/>
      <c r="I147" s="236"/>
      <c r="J147" s="282"/>
      <c r="K147" s="282">
        <v>0</v>
      </c>
      <c r="L147" s="371"/>
      <c r="M147" s="193"/>
    </row>
    <row r="148" spans="1:13" x14ac:dyDescent="0.3">
      <c r="A148" s="216"/>
      <c r="B148" s="215"/>
      <c r="C148" s="205"/>
      <c r="D148" s="215"/>
      <c r="E148" s="205"/>
      <c r="F148" s="214"/>
      <c r="H148" s="8"/>
      <c r="I148" s="236"/>
      <c r="J148" s="282"/>
      <c r="K148" s="282">
        <v>0</v>
      </c>
      <c r="L148" s="371"/>
      <c r="M148" s="193"/>
    </row>
    <row r="149" spans="1:13" x14ac:dyDescent="0.3">
      <c r="A149" s="216"/>
      <c r="B149" s="215"/>
      <c r="C149" s="205"/>
      <c r="D149" s="215"/>
      <c r="E149" s="205"/>
      <c r="F149" s="214"/>
      <c r="H149" s="8"/>
      <c r="I149" s="236"/>
      <c r="J149" s="282"/>
      <c r="K149" s="282">
        <v>0</v>
      </c>
      <c r="L149" s="371"/>
      <c r="M149" s="193"/>
    </row>
    <row r="150" spans="1:13" x14ac:dyDescent="0.3">
      <c r="A150" s="216"/>
      <c r="B150" s="215"/>
      <c r="C150" s="205"/>
      <c r="D150" s="215"/>
      <c r="E150" s="205"/>
      <c r="F150" s="214"/>
      <c r="H150" s="8"/>
      <c r="I150" s="236"/>
      <c r="J150" s="282"/>
      <c r="K150" s="282">
        <v>0</v>
      </c>
      <c r="L150" s="371"/>
      <c r="M150" s="193"/>
    </row>
    <row r="151" spans="1:13" x14ac:dyDescent="0.3">
      <c r="A151" s="216"/>
      <c r="B151" s="215"/>
      <c r="C151" s="205"/>
      <c r="D151" s="215"/>
      <c r="E151" s="205"/>
      <c r="F151" s="214"/>
      <c r="H151" s="8"/>
      <c r="I151" s="236"/>
      <c r="J151" s="282"/>
      <c r="K151" s="282">
        <v>0</v>
      </c>
      <c r="L151" s="371"/>
      <c r="M151" s="193"/>
    </row>
    <row r="152" spans="1:13" x14ac:dyDescent="0.3">
      <c r="A152" s="216"/>
      <c r="B152" s="215"/>
      <c r="C152" s="205"/>
      <c r="D152" s="215"/>
      <c r="E152" s="205"/>
      <c r="F152" s="214"/>
      <c r="H152" s="8"/>
      <c r="I152" s="236"/>
      <c r="J152" s="282"/>
      <c r="K152" s="282">
        <v>0</v>
      </c>
      <c r="L152" s="371"/>
      <c r="M152" s="193"/>
    </row>
    <row r="153" spans="1:13" x14ac:dyDescent="0.3">
      <c r="A153" s="216"/>
      <c r="B153" s="215"/>
      <c r="C153" s="205"/>
      <c r="D153" s="215"/>
      <c r="E153" s="205"/>
      <c r="F153" s="214"/>
      <c r="H153" s="8"/>
      <c r="I153" s="236"/>
      <c r="J153" s="282"/>
      <c r="K153" s="282">
        <v>0</v>
      </c>
      <c r="L153" s="371"/>
      <c r="M153" s="193"/>
    </row>
    <row r="154" spans="1:13" x14ac:dyDescent="0.3">
      <c r="A154" s="216"/>
      <c r="B154" s="215"/>
      <c r="C154" s="205"/>
      <c r="D154" s="215"/>
      <c r="E154" s="205"/>
      <c r="F154" s="214"/>
      <c r="H154" s="8"/>
      <c r="I154" s="236"/>
      <c r="J154" s="282"/>
      <c r="K154" s="282">
        <v>0</v>
      </c>
      <c r="L154" s="371"/>
      <c r="M154" s="193"/>
    </row>
    <row r="155" spans="1:13" x14ac:dyDescent="0.3">
      <c r="A155" s="216"/>
      <c r="B155" s="215"/>
      <c r="C155" s="205"/>
      <c r="D155" s="215"/>
      <c r="E155" s="205"/>
      <c r="F155" s="214"/>
      <c r="H155" s="8"/>
      <c r="I155" s="236"/>
      <c r="J155" s="282"/>
      <c r="K155" s="282">
        <v>0</v>
      </c>
      <c r="L155" s="371"/>
      <c r="M155" s="193"/>
    </row>
    <row r="156" spans="1:13" x14ac:dyDescent="0.3">
      <c r="A156" s="216"/>
      <c r="B156" s="215"/>
      <c r="C156" s="205"/>
      <c r="D156" s="215"/>
      <c r="E156" s="205"/>
      <c r="F156" s="214"/>
      <c r="H156" s="8"/>
      <c r="I156" s="236"/>
      <c r="J156" s="282"/>
      <c r="K156" s="282">
        <v>0</v>
      </c>
      <c r="L156" s="371"/>
      <c r="M156" s="193"/>
    </row>
    <row r="157" spans="1:13" x14ac:dyDescent="0.3">
      <c r="A157" s="216"/>
      <c r="B157" s="215"/>
      <c r="C157" s="205"/>
      <c r="D157" s="215"/>
      <c r="E157" s="205"/>
      <c r="F157" s="214"/>
      <c r="H157" s="8"/>
      <c r="I157" s="236"/>
      <c r="J157" s="282"/>
      <c r="K157" s="282">
        <v>0</v>
      </c>
      <c r="L157" s="371"/>
      <c r="M157" s="193"/>
    </row>
    <row r="158" spans="1:13" x14ac:dyDescent="0.3">
      <c r="A158" s="216"/>
      <c r="B158" s="215"/>
      <c r="C158" s="205"/>
      <c r="D158" s="215"/>
      <c r="E158" s="205"/>
      <c r="F158" s="214"/>
      <c r="H158" s="8"/>
      <c r="I158" s="236"/>
      <c r="J158" s="282"/>
      <c r="K158" s="282">
        <v>0</v>
      </c>
      <c r="L158" s="371"/>
      <c r="M158" s="193"/>
    </row>
    <row r="159" spans="1:13" x14ac:dyDescent="0.3">
      <c r="A159" s="216"/>
      <c r="B159" s="215"/>
      <c r="C159" s="205"/>
      <c r="D159" s="215"/>
      <c r="E159" s="205"/>
      <c r="F159" s="214"/>
      <c r="H159" s="8"/>
      <c r="I159" s="236"/>
      <c r="J159" s="282"/>
      <c r="K159" s="282">
        <v>0</v>
      </c>
      <c r="L159" s="371"/>
      <c r="M159" s="193"/>
    </row>
    <row r="160" spans="1:13" x14ac:dyDescent="0.3">
      <c r="A160" s="216"/>
      <c r="B160" s="215"/>
      <c r="C160" s="205"/>
      <c r="D160" s="215"/>
      <c r="E160" s="205"/>
      <c r="F160" s="214"/>
      <c r="H160" s="8"/>
      <c r="I160" s="236"/>
      <c r="J160" s="282"/>
      <c r="K160" s="282">
        <v>0</v>
      </c>
      <c r="L160" s="371"/>
      <c r="M160" s="193"/>
    </row>
    <row r="161" spans="1:13" x14ac:dyDescent="0.3">
      <c r="A161" s="216"/>
      <c r="B161" s="215"/>
      <c r="C161" s="205"/>
      <c r="D161" s="215"/>
      <c r="E161" s="205"/>
      <c r="F161" s="214"/>
      <c r="H161" s="8"/>
      <c r="I161" s="236"/>
      <c r="J161" s="282"/>
      <c r="K161" s="282">
        <v>0</v>
      </c>
      <c r="L161" s="371"/>
      <c r="M161" s="193"/>
    </row>
    <row r="162" spans="1:13" x14ac:dyDescent="0.3">
      <c r="A162" s="216"/>
      <c r="B162" s="215"/>
      <c r="C162" s="205"/>
      <c r="D162" s="215"/>
      <c r="E162" s="205"/>
      <c r="F162" s="214"/>
      <c r="H162" s="8"/>
      <c r="I162" s="236"/>
      <c r="J162" s="282"/>
      <c r="K162" s="282">
        <v>0</v>
      </c>
      <c r="L162" s="371"/>
      <c r="M162" s="193"/>
    </row>
    <row r="163" spans="1:13" x14ac:dyDescent="0.3">
      <c r="A163" s="216"/>
      <c r="B163" s="215"/>
      <c r="C163" s="205"/>
      <c r="D163" s="215"/>
      <c r="E163" s="205"/>
      <c r="F163" s="214"/>
      <c r="H163" s="8"/>
      <c r="I163" s="236"/>
      <c r="J163" s="282"/>
      <c r="K163" s="282">
        <v>0</v>
      </c>
      <c r="L163" s="371"/>
      <c r="M163" s="193"/>
    </row>
    <row r="164" spans="1:13" x14ac:dyDescent="0.3">
      <c r="A164" s="216"/>
      <c r="B164" s="215"/>
      <c r="C164" s="205"/>
      <c r="D164" s="215"/>
      <c r="E164" s="205"/>
      <c r="F164" s="214"/>
      <c r="H164" s="8"/>
      <c r="I164" s="236"/>
      <c r="J164" s="282"/>
      <c r="K164" s="282">
        <v>0</v>
      </c>
      <c r="L164" s="371"/>
      <c r="M164" s="193"/>
    </row>
    <row r="165" spans="1:13" x14ac:dyDescent="0.3">
      <c r="A165" s="216"/>
      <c r="B165" s="215"/>
      <c r="C165" s="205"/>
      <c r="D165" s="215"/>
      <c r="E165" s="205"/>
      <c r="F165" s="214"/>
      <c r="H165" s="8"/>
      <c r="I165" s="236"/>
      <c r="J165" s="282"/>
      <c r="K165" s="282">
        <v>0</v>
      </c>
      <c r="L165" s="371"/>
      <c r="M165" s="193"/>
    </row>
    <row r="166" spans="1:13" x14ac:dyDescent="0.3">
      <c r="A166" s="216"/>
      <c r="B166" s="215"/>
      <c r="C166" s="205"/>
      <c r="D166" s="215"/>
      <c r="E166" s="205"/>
      <c r="F166" s="214"/>
      <c r="H166" s="8"/>
      <c r="I166" s="236"/>
      <c r="J166" s="282"/>
      <c r="K166" s="282">
        <v>0</v>
      </c>
      <c r="L166" s="371"/>
      <c r="M166" s="193"/>
    </row>
    <row r="167" spans="1:13" x14ac:dyDescent="0.3">
      <c r="A167" s="216"/>
      <c r="B167" s="215"/>
      <c r="C167" s="205"/>
      <c r="D167" s="215"/>
      <c r="E167" s="205"/>
      <c r="F167" s="214"/>
      <c r="H167" s="8"/>
      <c r="I167" s="236"/>
      <c r="J167" s="282"/>
      <c r="K167" s="282">
        <v>0</v>
      </c>
      <c r="L167" s="371"/>
      <c r="M167" s="193"/>
    </row>
    <row r="168" spans="1:13" x14ac:dyDescent="0.3">
      <c r="A168" s="216"/>
      <c r="B168" s="215"/>
      <c r="C168" s="205"/>
      <c r="D168" s="215"/>
      <c r="E168" s="205"/>
      <c r="F168" s="214"/>
      <c r="H168" s="8"/>
      <c r="I168" s="236"/>
      <c r="J168" s="282"/>
      <c r="K168" s="282">
        <v>0</v>
      </c>
      <c r="L168" s="371"/>
      <c r="M168" s="193"/>
    </row>
    <row r="169" spans="1:13" x14ac:dyDescent="0.3">
      <c r="A169" s="216"/>
      <c r="B169" s="205"/>
      <c r="C169" s="205"/>
      <c r="D169" s="205"/>
      <c r="E169" s="205"/>
      <c r="F169" s="201"/>
      <c r="H169" s="8"/>
      <c r="I169" s="236"/>
      <c r="J169" s="282"/>
      <c r="K169" s="282">
        <v>0</v>
      </c>
      <c r="L169" s="371"/>
      <c r="M169" s="193"/>
    </row>
    <row r="170" spans="1:13" x14ac:dyDescent="0.3">
      <c r="A170" s="216"/>
      <c r="B170" s="205"/>
      <c r="C170" s="205"/>
      <c r="D170" s="205"/>
      <c r="E170" s="205"/>
      <c r="F170" s="201"/>
      <c r="H170" s="8"/>
      <c r="I170" s="236"/>
      <c r="J170" s="282"/>
      <c r="K170" s="282">
        <v>0</v>
      </c>
      <c r="L170" s="371"/>
      <c r="M170" s="193"/>
    </row>
    <row r="171" spans="1:13" x14ac:dyDescent="0.3">
      <c r="A171" s="216"/>
      <c r="B171" s="205"/>
      <c r="C171" s="205"/>
      <c r="D171" s="205"/>
      <c r="E171" s="205"/>
      <c r="F171" s="201"/>
      <c r="H171" s="8"/>
      <c r="I171" s="236"/>
      <c r="J171" s="282"/>
      <c r="K171" s="282">
        <v>0</v>
      </c>
      <c r="L171" s="371"/>
      <c r="M171" s="193"/>
    </row>
    <row r="172" spans="1:13" x14ac:dyDescent="0.3">
      <c r="A172" s="216"/>
      <c r="B172" s="205"/>
      <c r="C172" s="205"/>
      <c r="D172" s="205"/>
      <c r="E172" s="205"/>
      <c r="F172" s="201"/>
      <c r="H172" s="8"/>
      <c r="I172" s="236"/>
      <c r="J172" s="282"/>
      <c r="K172" s="282">
        <v>0</v>
      </c>
      <c r="L172" s="371"/>
      <c r="M172" s="193"/>
    </row>
    <row r="173" spans="1:13" x14ac:dyDescent="0.3">
      <c r="A173" s="216"/>
      <c r="B173" s="205"/>
      <c r="C173" s="205"/>
      <c r="D173" s="205"/>
      <c r="E173" s="205"/>
      <c r="F173" s="201"/>
      <c r="H173" s="8"/>
      <c r="I173" s="236"/>
      <c r="J173" s="282"/>
      <c r="K173" s="282">
        <v>0</v>
      </c>
      <c r="L173" s="371"/>
      <c r="M173" s="193"/>
    </row>
    <row r="174" spans="1:13" x14ac:dyDescent="0.3">
      <c r="A174" s="216"/>
      <c r="B174" s="205"/>
      <c r="C174" s="205"/>
      <c r="D174" s="205"/>
      <c r="E174" s="205"/>
      <c r="F174" s="201"/>
      <c r="H174" s="8"/>
      <c r="I174" s="236"/>
      <c r="J174" s="282"/>
      <c r="K174" s="282">
        <v>0</v>
      </c>
      <c r="L174" s="371"/>
      <c r="M174" s="193"/>
    </row>
    <row r="175" spans="1:13" x14ac:dyDescent="0.3">
      <c r="A175" s="216"/>
      <c r="B175" s="205"/>
      <c r="C175" s="205"/>
      <c r="D175" s="205"/>
      <c r="E175" s="205"/>
      <c r="F175" s="201"/>
      <c r="H175" s="8"/>
      <c r="I175" s="236"/>
      <c r="J175" s="282"/>
      <c r="K175" s="282">
        <v>0</v>
      </c>
      <c r="L175" s="371"/>
      <c r="M175" s="193"/>
    </row>
    <row r="176" spans="1:13" x14ac:dyDescent="0.3">
      <c r="A176" s="216"/>
      <c r="B176" s="205"/>
      <c r="C176" s="205"/>
      <c r="D176" s="205"/>
      <c r="E176" s="205"/>
      <c r="F176" s="201"/>
      <c r="H176" s="8"/>
      <c r="I176" s="236"/>
      <c r="J176" s="282"/>
      <c r="K176" s="282">
        <v>0</v>
      </c>
      <c r="L176" s="371"/>
      <c r="M176" s="193"/>
    </row>
    <row r="177" spans="1:13" x14ac:dyDescent="0.3">
      <c r="A177" s="216"/>
      <c r="B177" s="205"/>
      <c r="C177" s="205"/>
      <c r="D177" s="205"/>
      <c r="E177" s="205"/>
      <c r="F177" s="201"/>
      <c r="H177" s="8"/>
      <c r="I177" s="236"/>
      <c r="J177" s="282"/>
      <c r="K177" s="282">
        <v>0</v>
      </c>
      <c r="L177" s="371"/>
      <c r="M177" s="193"/>
    </row>
    <row r="178" spans="1:13" x14ac:dyDescent="0.3">
      <c r="A178" s="216"/>
      <c r="B178" s="205"/>
      <c r="C178" s="205"/>
      <c r="D178" s="205"/>
      <c r="E178" s="205"/>
      <c r="F178" s="201"/>
      <c r="H178" s="8"/>
      <c r="I178" s="236"/>
      <c r="J178" s="282"/>
      <c r="K178" s="282">
        <v>0</v>
      </c>
      <c r="L178" s="371"/>
      <c r="M178" s="193"/>
    </row>
    <row r="179" spans="1:13" x14ac:dyDescent="0.3">
      <c r="A179" s="216"/>
      <c r="B179" s="205"/>
      <c r="C179" s="205"/>
      <c r="D179" s="205"/>
      <c r="E179" s="205"/>
      <c r="F179" s="201"/>
      <c r="H179" s="8"/>
      <c r="I179" s="236"/>
      <c r="J179" s="282"/>
      <c r="K179" s="282">
        <v>0</v>
      </c>
      <c r="L179" s="371"/>
      <c r="M179" s="193"/>
    </row>
    <row r="180" spans="1:13" x14ac:dyDescent="0.3">
      <c r="A180" s="216"/>
      <c r="B180" s="205"/>
      <c r="C180" s="205"/>
      <c r="D180" s="205"/>
      <c r="E180" s="205"/>
      <c r="F180" s="201"/>
      <c r="H180" s="8"/>
      <c r="I180" s="236"/>
      <c r="J180" s="282"/>
      <c r="K180" s="282">
        <v>0</v>
      </c>
      <c r="L180" s="371"/>
      <c r="M180" s="193"/>
    </row>
    <row r="181" spans="1:13" x14ac:dyDescent="0.3">
      <c r="A181" s="216"/>
      <c r="B181" s="205"/>
      <c r="C181" s="205"/>
      <c r="D181" s="205"/>
      <c r="E181" s="205"/>
      <c r="F181" s="201"/>
      <c r="H181" s="8"/>
      <c r="I181" s="236"/>
      <c r="J181" s="282"/>
      <c r="K181" s="282">
        <v>0</v>
      </c>
      <c r="L181" s="371"/>
      <c r="M181" s="193"/>
    </row>
    <row r="182" spans="1:13" x14ac:dyDescent="0.3">
      <c r="A182" s="216"/>
      <c r="B182" s="205"/>
      <c r="C182" s="205"/>
      <c r="D182" s="205"/>
      <c r="E182" s="205"/>
      <c r="F182" s="201"/>
      <c r="H182" s="8"/>
      <c r="I182" s="236"/>
      <c r="J182" s="282"/>
      <c r="K182" s="282">
        <v>0</v>
      </c>
      <c r="L182" s="371"/>
      <c r="M182" s="193"/>
    </row>
    <row r="183" spans="1:13" x14ac:dyDescent="0.3">
      <c r="A183" s="216"/>
      <c r="B183" s="205"/>
      <c r="C183" s="205"/>
      <c r="D183" s="205"/>
      <c r="E183" s="205"/>
      <c r="F183" s="201"/>
      <c r="H183" s="8"/>
      <c r="I183" s="236"/>
      <c r="J183" s="282"/>
      <c r="K183" s="282">
        <v>0</v>
      </c>
      <c r="L183" s="371"/>
      <c r="M183" s="193"/>
    </row>
    <row r="184" spans="1:13" x14ac:dyDescent="0.3">
      <c r="A184" s="216"/>
      <c r="B184" s="205"/>
      <c r="C184" s="205"/>
      <c r="D184" s="205"/>
      <c r="E184" s="205"/>
      <c r="F184" s="201"/>
      <c r="H184" s="8"/>
      <c r="I184" s="236"/>
      <c r="J184" s="282"/>
      <c r="K184" s="282">
        <v>0</v>
      </c>
      <c r="L184" s="371"/>
      <c r="M184" s="193"/>
    </row>
    <row r="185" spans="1:13" x14ac:dyDescent="0.3">
      <c r="A185" s="216"/>
      <c r="B185" s="205"/>
      <c r="C185" s="205"/>
      <c r="D185" s="205"/>
      <c r="E185" s="205"/>
      <c r="F185" s="201"/>
      <c r="H185" s="8"/>
      <c r="I185" s="236"/>
      <c r="J185" s="282"/>
      <c r="K185" s="282">
        <v>0</v>
      </c>
      <c r="L185" s="371"/>
      <c r="M185" s="193"/>
    </row>
    <row r="186" spans="1:13" x14ac:dyDescent="0.3">
      <c r="A186" s="216"/>
      <c r="B186" s="205"/>
      <c r="C186" s="205"/>
      <c r="D186" s="205"/>
      <c r="E186" s="205"/>
      <c r="F186" s="201"/>
      <c r="H186" s="8"/>
      <c r="I186" s="236"/>
      <c r="J186" s="282"/>
      <c r="K186" s="282">
        <v>0</v>
      </c>
      <c r="L186" s="371"/>
      <c r="M186" s="193"/>
    </row>
    <row r="187" spans="1:13" x14ac:dyDescent="0.3">
      <c r="A187" s="216"/>
      <c r="B187" s="205"/>
      <c r="C187" s="205"/>
      <c r="D187" s="205"/>
      <c r="E187" s="205"/>
      <c r="F187" s="201"/>
      <c r="H187" s="8"/>
      <c r="I187" s="236"/>
      <c r="J187" s="282"/>
      <c r="K187" s="282">
        <v>0</v>
      </c>
      <c r="L187" s="371"/>
      <c r="M187" s="193"/>
    </row>
    <row r="188" spans="1:13" x14ac:dyDescent="0.3">
      <c r="A188" s="216"/>
      <c r="B188" s="205"/>
      <c r="C188" s="205"/>
      <c r="D188" s="205"/>
      <c r="E188" s="205"/>
      <c r="F188" s="201"/>
      <c r="H188" s="8"/>
      <c r="I188" s="236"/>
      <c r="J188" s="282"/>
      <c r="K188" s="282">
        <v>0</v>
      </c>
      <c r="L188" s="371"/>
      <c r="M188" s="193"/>
    </row>
    <row r="189" spans="1:13" x14ac:dyDescent="0.3">
      <c r="A189" s="216"/>
      <c r="B189" s="205"/>
      <c r="C189" s="205"/>
      <c r="D189" s="205"/>
      <c r="E189" s="205"/>
      <c r="F189" s="201"/>
      <c r="H189" s="8"/>
      <c r="I189" s="236"/>
      <c r="J189" s="282"/>
      <c r="K189" s="282">
        <v>0</v>
      </c>
      <c r="L189" s="371"/>
      <c r="M189" s="193"/>
    </row>
    <row r="190" spans="1:13" x14ac:dyDescent="0.3">
      <c r="A190" s="216"/>
      <c r="B190" s="205"/>
      <c r="C190" s="205"/>
      <c r="D190" s="205"/>
      <c r="E190" s="205"/>
      <c r="F190" s="201"/>
      <c r="H190" s="8"/>
      <c r="I190" s="236"/>
      <c r="J190" s="282"/>
      <c r="K190" s="282">
        <v>0</v>
      </c>
      <c r="L190" s="371"/>
      <c r="M190" s="193"/>
    </row>
    <row r="191" spans="1:13" x14ac:dyDescent="0.3">
      <c r="A191" s="216"/>
      <c r="B191" s="205"/>
      <c r="C191" s="205"/>
      <c r="D191" s="205"/>
      <c r="E191" s="205"/>
      <c r="F191" s="201"/>
      <c r="H191" s="8"/>
      <c r="I191" s="236"/>
      <c r="J191" s="282"/>
      <c r="K191" s="282">
        <v>0</v>
      </c>
      <c r="L191" s="371"/>
      <c r="M191" s="193"/>
    </row>
    <row r="192" spans="1:13" x14ac:dyDescent="0.3">
      <c r="A192" s="216"/>
      <c r="B192" s="205"/>
      <c r="C192" s="205"/>
      <c r="D192" s="205"/>
      <c r="E192" s="205"/>
      <c r="F192" s="201"/>
      <c r="H192" s="8"/>
      <c r="I192" s="236"/>
      <c r="J192" s="282"/>
      <c r="K192" s="282">
        <v>0</v>
      </c>
      <c r="L192" s="371"/>
      <c r="M192" s="193"/>
    </row>
    <row r="193" spans="1:13" x14ac:dyDescent="0.3">
      <c r="A193" s="216"/>
      <c r="B193" s="205"/>
      <c r="C193" s="205"/>
      <c r="D193" s="205"/>
      <c r="E193" s="205"/>
      <c r="F193" s="201"/>
      <c r="H193" s="8"/>
      <c r="I193" s="236"/>
      <c r="J193" s="282"/>
      <c r="K193" s="282">
        <v>0</v>
      </c>
      <c r="L193" s="371"/>
      <c r="M193" s="193"/>
    </row>
    <row r="194" spans="1:13" x14ac:dyDescent="0.3">
      <c r="A194" s="216"/>
      <c r="B194" s="205"/>
      <c r="C194" s="205"/>
      <c r="D194" s="205"/>
      <c r="E194" s="205"/>
      <c r="F194" s="201"/>
      <c r="H194" s="8"/>
      <c r="I194" s="236"/>
      <c r="J194" s="282"/>
      <c r="K194" s="282">
        <v>0</v>
      </c>
      <c r="L194" s="371"/>
      <c r="M194" s="193"/>
    </row>
    <row r="195" spans="1:13" x14ac:dyDescent="0.3">
      <c r="A195" s="216"/>
      <c r="B195" s="205"/>
      <c r="C195" s="205"/>
      <c r="D195" s="205"/>
      <c r="E195" s="205"/>
      <c r="F195" s="201"/>
      <c r="H195" s="8"/>
      <c r="I195" s="236"/>
      <c r="J195" s="282"/>
      <c r="K195" s="282">
        <v>0</v>
      </c>
      <c r="L195" s="371"/>
      <c r="M195" s="193"/>
    </row>
    <row r="196" spans="1:13" x14ac:dyDescent="0.3">
      <c r="A196" s="216"/>
      <c r="B196" s="205"/>
      <c r="C196" s="205"/>
      <c r="D196" s="205"/>
      <c r="E196" s="205"/>
      <c r="F196" s="201"/>
      <c r="H196" s="8"/>
      <c r="I196" s="236"/>
      <c r="J196" s="282"/>
      <c r="K196" s="282">
        <v>0</v>
      </c>
      <c r="L196" s="371"/>
      <c r="M196" s="193"/>
    </row>
    <row r="197" spans="1:13" x14ac:dyDescent="0.3">
      <c r="A197" s="216"/>
      <c r="B197" s="205"/>
      <c r="C197" s="205"/>
      <c r="D197" s="205"/>
      <c r="E197" s="205"/>
      <c r="F197" s="201"/>
      <c r="H197" s="8"/>
      <c r="I197" s="236"/>
      <c r="J197" s="282"/>
      <c r="K197" s="282">
        <v>0</v>
      </c>
      <c r="L197" s="371"/>
      <c r="M197" s="193"/>
    </row>
    <row r="198" spans="1:13" x14ac:dyDescent="0.3">
      <c r="A198" s="216"/>
      <c r="B198" s="205"/>
      <c r="C198" s="205"/>
      <c r="D198" s="205"/>
      <c r="E198" s="205"/>
      <c r="F198" s="201"/>
      <c r="H198" s="8"/>
      <c r="I198" s="236"/>
      <c r="J198" s="282"/>
      <c r="K198" s="282">
        <v>0</v>
      </c>
      <c r="L198" s="371"/>
      <c r="M198" s="193"/>
    </row>
    <row r="199" spans="1:13" x14ac:dyDescent="0.3">
      <c r="A199" s="216"/>
      <c r="B199" s="205"/>
      <c r="C199" s="205"/>
      <c r="D199" s="205"/>
      <c r="E199" s="205"/>
      <c r="F199" s="201"/>
      <c r="H199" s="8"/>
      <c r="I199" s="236"/>
      <c r="J199" s="282"/>
      <c r="K199" s="282">
        <v>0</v>
      </c>
      <c r="L199" s="371"/>
      <c r="M199" s="193"/>
    </row>
    <row r="200" spans="1:13" x14ac:dyDescent="0.3">
      <c r="A200" s="216"/>
      <c r="B200" s="205"/>
      <c r="C200" s="205"/>
      <c r="D200" s="205"/>
      <c r="E200" s="205"/>
      <c r="F200" s="201"/>
      <c r="H200" s="8"/>
      <c r="I200" s="236"/>
      <c r="J200" s="282"/>
      <c r="K200" s="282">
        <v>0</v>
      </c>
      <c r="L200" s="371"/>
      <c r="M200" s="193"/>
    </row>
    <row r="201" spans="1:13" x14ac:dyDescent="0.3">
      <c r="A201" s="216"/>
      <c r="B201" s="205"/>
      <c r="C201" s="205"/>
      <c r="D201" s="205"/>
      <c r="E201" s="205"/>
      <c r="F201" s="201"/>
      <c r="H201" s="8"/>
      <c r="I201" s="236"/>
      <c r="J201" s="282"/>
      <c r="K201" s="282">
        <v>0</v>
      </c>
      <c r="L201" s="371"/>
      <c r="M201" s="193"/>
    </row>
    <row r="202" spans="1:13" x14ac:dyDescent="0.3">
      <c r="A202" s="216"/>
      <c r="B202" s="205"/>
      <c r="C202" s="205"/>
      <c r="D202" s="205"/>
      <c r="E202" s="205"/>
      <c r="F202" s="201"/>
      <c r="H202" s="8"/>
      <c r="I202" s="236"/>
      <c r="J202" s="282"/>
      <c r="K202" s="282">
        <v>0</v>
      </c>
      <c r="L202" s="371"/>
      <c r="M202" s="193"/>
    </row>
    <row r="203" spans="1:13" x14ac:dyDescent="0.3">
      <c r="A203" s="216"/>
      <c r="B203" s="205"/>
      <c r="C203" s="205"/>
      <c r="D203" s="205"/>
      <c r="E203" s="205"/>
      <c r="F203" s="201"/>
      <c r="H203" s="8"/>
      <c r="I203" s="236"/>
      <c r="J203" s="282"/>
      <c r="K203" s="282">
        <v>0</v>
      </c>
      <c r="L203" s="371"/>
      <c r="M203" s="193"/>
    </row>
    <row r="204" spans="1:13" x14ac:dyDescent="0.3">
      <c r="A204" s="216"/>
      <c r="B204" s="205"/>
      <c r="C204" s="205"/>
      <c r="D204" s="205"/>
      <c r="E204" s="205"/>
      <c r="F204" s="201"/>
      <c r="H204" s="8"/>
      <c r="I204" s="236"/>
      <c r="J204" s="282"/>
      <c r="K204" s="282">
        <v>0</v>
      </c>
      <c r="L204" s="371"/>
      <c r="M204" s="193"/>
    </row>
    <row r="205" spans="1:13" x14ac:dyDescent="0.3">
      <c r="A205" s="216"/>
      <c r="B205" s="205"/>
      <c r="C205" s="205"/>
      <c r="D205" s="205"/>
      <c r="E205" s="205"/>
      <c r="F205" s="201"/>
      <c r="H205" s="8"/>
      <c r="I205" s="236"/>
      <c r="J205" s="282"/>
      <c r="K205" s="282">
        <v>0</v>
      </c>
      <c r="L205" s="371"/>
      <c r="M205" s="193"/>
    </row>
    <row r="206" spans="1:13" x14ac:dyDescent="0.3">
      <c r="A206" s="216"/>
      <c r="B206" s="205"/>
      <c r="C206" s="205"/>
      <c r="D206" s="205"/>
      <c r="E206" s="205"/>
      <c r="F206" s="201"/>
      <c r="H206" s="8"/>
      <c r="I206" s="236"/>
      <c r="J206" s="282"/>
      <c r="K206" s="282">
        <v>0</v>
      </c>
      <c r="L206" s="371"/>
      <c r="M206" s="193"/>
    </row>
    <row r="207" spans="1:13" x14ac:dyDescent="0.3">
      <c r="A207" s="216"/>
      <c r="B207" s="205"/>
      <c r="C207" s="205"/>
      <c r="D207" s="205"/>
      <c r="E207" s="205"/>
      <c r="F207" s="201"/>
      <c r="H207" s="8"/>
      <c r="I207" s="236"/>
      <c r="J207" s="282"/>
      <c r="K207" s="282">
        <v>0</v>
      </c>
      <c r="L207" s="371"/>
      <c r="M207" s="193"/>
    </row>
    <row r="208" spans="1:13" x14ac:dyDescent="0.3">
      <c r="A208" s="216"/>
      <c r="B208" s="205"/>
      <c r="C208" s="205"/>
      <c r="D208" s="205"/>
      <c r="E208" s="205"/>
      <c r="F208" s="201"/>
      <c r="H208" s="8"/>
      <c r="I208" s="236"/>
      <c r="J208" s="282"/>
      <c r="K208" s="282">
        <v>0</v>
      </c>
      <c r="L208" s="371"/>
      <c r="M208" s="193"/>
    </row>
    <row r="209" spans="1:13" x14ac:dyDescent="0.3">
      <c r="A209" s="216"/>
      <c r="B209" s="205"/>
      <c r="C209" s="205"/>
      <c r="D209" s="205"/>
      <c r="E209" s="205"/>
      <c r="F209" s="201"/>
      <c r="H209" s="8"/>
      <c r="I209" s="236"/>
      <c r="J209" s="282"/>
      <c r="K209" s="282">
        <v>0</v>
      </c>
      <c r="L209" s="371"/>
      <c r="M209" s="193"/>
    </row>
    <row r="210" spans="1:13" x14ac:dyDescent="0.3">
      <c r="A210" s="216"/>
      <c r="B210" s="205"/>
      <c r="C210" s="205"/>
      <c r="D210" s="205"/>
      <c r="E210" s="205"/>
      <c r="F210" s="201"/>
      <c r="H210" s="8"/>
      <c r="I210" s="236"/>
      <c r="J210" s="282"/>
      <c r="K210" s="282">
        <v>0</v>
      </c>
      <c r="L210" s="371"/>
      <c r="M210" s="193"/>
    </row>
    <row r="211" spans="1:13" x14ac:dyDescent="0.3">
      <c r="A211" s="216"/>
      <c r="B211" s="205"/>
      <c r="C211" s="205"/>
      <c r="D211" s="205"/>
      <c r="E211" s="205"/>
      <c r="F211" s="201"/>
      <c r="H211" s="8"/>
      <c r="I211" s="236"/>
      <c r="J211" s="282"/>
      <c r="K211" s="282">
        <v>0</v>
      </c>
      <c r="L211" s="371"/>
      <c r="M211" s="193"/>
    </row>
    <row r="212" spans="1:13" x14ac:dyDescent="0.3">
      <c r="A212" s="216"/>
      <c r="B212" s="205"/>
      <c r="C212" s="205"/>
      <c r="D212" s="205"/>
      <c r="E212" s="205"/>
      <c r="F212" s="201"/>
      <c r="H212" s="8"/>
      <c r="I212" s="236"/>
      <c r="J212" s="282"/>
      <c r="K212" s="282">
        <v>0</v>
      </c>
      <c r="L212" s="371"/>
      <c r="M212" s="193"/>
    </row>
    <row r="213" spans="1:13" x14ac:dyDescent="0.3">
      <c r="A213" s="216"/>
      <c r="B213" s="205"/>
      <c r="C213" s="205"/>
      <c r="D213" s="205"/>
      <c r="E213" s="205"/>
      <c r="F213" s="201"/>
      <c r="H213" s="8"/>
      <c r="I213" s="236"/>
      <c r="J213" s="282"/>
      <c r="K213" s="282">
        <v>0</v>
      </c>
      <c r="L213" s="371"/>
      <c r="M213" s="193"/>
    </row>
    <row r="214" spans="1:13" x14ac:dyDescent="0.3">
      <c r="A214" s="216"/>
      <c r="B214" s="205"/>
      <c r="C214" s="205"/>
      <c r="D214" s="205"/>
      <c r="E214" s="205"/>
      <c r="F214" s="201"/>
      <c r="H214" s="8"/>
      <c r="I214" s="236"/>
      <c r="J214" s="282"/>
      <c r="K214" s="282">
        <v>0</v>
      </c>
      <c r="L214" s="371"/>
      <c r="M214" s="193"/>
    </row>
    <row r="215" spans="1:13" x14ac:dyDescent="0.3">
      <c r="A215" s="216"/>
      <c r="B215" s="205"/>
      <c r="C215" s="205"/>
      <c r="D215" s="205"/>
      <c r="E215" s="205"/>
      <c r="F215" s="201"/>
      <c r="H215" s="8"/>
      <c r="I215" s="236"/>
      <c r="J215" s="282"/>
      <c r="K215" s="282">
        <v>0</v>
      </c>
      <c r="L215" s="371"/>
      <c r="M215" s="193"/>
    </row>
    <row r="216" spans="1:13" x14ac:dyDescent="0.3">
      <c r="A216" s="216"/>
      <c r="B216" s="205"/>
      <c r="C216" s="205"/>
      <c r="D216" s="205"/>
      <c r="E216" s="205"/>
      <c r="F216" s="201"/>
      <c r="H216" s="8"/>
      <c r="I216" s="236"/>
      <c r="J216" s="282"/>
      <c r="K216" s="282">
        <v>0</v>
      </c>
      <c r="L216" s="371"/>
      <c r="M216" s="193"/>
    </row>
    <row r="217" spans="1:13" x14ac:dyDescent="0.3">
      <c r="A217" s="216"/>
      <c r="B217" s="205"/>
      <c r="C217" s="205"/>
      <c r="D217" s="205"/>
      <c r="E217" s="205"/>
      <c r="F217" s="201"/>
      <c r="H217" s="8"/>
      <c r="I217" s="236"/>
      <c r="J217" s="282"/>
      <c r="K217" s="282">
        <v>0</v>
      </c>
      <c r="L217" s="371"/>
      <c r="M217" s="193"/>
    </row>
    <row r="218" spans="1:13" x14ac:dyDescent="0.3">
      <c r="A218" s="216"/>
      <c r="B218" s="205"/>
      <c r="C218" s="205"/>
      <c r="D218" s="205"/>
      <c r="E218" s="205"/>
      <c r="F218" s="201"/>
      <c r="H218" s="8"/>
      <c r="I218" s="236"/>
      <c r="J218" s="282"/>
      <c r="K218" s="282">
        <v>0</v>
      </c>
      <c r="L218" s="371"/>
      <c r="M218" s="193"/>
    </row>
    <row r="219" spans="1:13" x14ac:dyDescent="0.3">
      <c r="A219" s="216"/>
      <c r="B219" s="205"/>
      <c r="C219" s="205"/>
      <c r="D219" s="205"/>
      <c r="E219" s="205"/>
      <c r="F219" s="201"/>
      <c r="H219" s="8"/>
      <c r="I219" s="236"/>
      <c r="J219" s="282"/>
      <c r="K219" s="282">
        <v>0</v>
      </c>
      <c r="L219" s="371"/>
      <c r="M219" s="193"/>
    </row>
    <row r="220" spans="1:13" x14ac:dyDescent="0.3">
      <c r="A220" s="216"/>
      <c r="B220" s="205"/>
      <c r="C220" s="205"/>
      <c r="D220" s="205"/>
      <c r="E220" s="205"/>
      <c r="F220" s="201"/>
      <c r="H220" s="8"/>
      <c r="I220" s="236"/>
      <c r="J220" s="282"/>
      <c r="K220" s="282">
        <v>0</v>
      </c>
      <c r="L220" s="371"/>
      <c r="M220" s="193"/>
    </row>
    <row r="221" spans="1:13" x14ac:dyDescent="0.3">
      <c r="A221" s="216"/>
      <c r="B221" s="205"/>
      <c r="C221" s="205"/>
      <c r="D221" s="205"/>
      <c r="E221" s="205"/>
      <c r="F221" s="201"/>
      <c r="H221" s="8"/>
      <c r="I221" s="236"/>
      <c r="J221" s="282"/>
      <c r="K221" s="282">
        <v>0</v>
      </c>
      <c r="L221" s="371"/>
      <c r="M221" s="193"/>
    </row>
    <row r="222" spans="1:13" x14ac:dyDescent="0.3">
      <c r="A222" s="216"/>
      <c r="B222" s="205"/>
      <c r="C222" s="205"/>
      <c r="D222" s="205"/>
      <c r="E222" s="205"/>
      <c r="F222" s="201"/>
      <c r="H222" s="8"/>
      <c r="I222" s="236"/>
      <c r="J222" s="282"/>
      <c r="K222" s="282">
        <v>0</v>
      </c>
      <c r="L222" s="371"/>
      <c r="M222" s="193"/>
    </row>
    <row r="223" spans="1:13" x14ac:dyDescent="0.3">
      <c r="A223" s="216"/>
      <c r="B223" s="205"/>
      <c r="C223" s="205"/>
      <c r="D223" s="205"/>
      <c r="E223" s="205"/>
      <c r="F223" s="201"/>
      <c r="H223" s="8"/>
      <c r="I223" s="236"/>
      <c r="J223" s="282"/>
      <c r="K223" s="282">
        <v>0</v>
      </c>
      <c r="L223" s="371"/>
      <c r="M223" s="193"/>
    </row>
    <row r="224" spans="1:13" x14ac:dyDescent="0.3">
      <c r="A224" s="216"/>
      <c r="B224" s="205"/>
      <c r="C224" s="205"/>
      <c r="D224" s="205"/>
      <c r="E224" s="205"/>
      <c r="F224" s="201"/>
      <c r="H224" s="8"/>
      <c r="I224" s="236"/>
      <c r="J224" s="282"/>
      <c r="K224" s="282">
        <v>0</v>
      </c>
      <c r="L224" s="371"/>
      <c r="M224" s="193"/>
    </row>
    <row r="225" spans="1:13" x14ac:dyDescent="0.3">
      <c r="A225" s="216"/>
      <c r="B225" s="205"/>
      <c r="C225" s="205"/>
      <c r="D225" s="205"/>
      <c r="E225" s="205"/>
      <c r="F225" s="201"/>
      <c r="H225" s="8"/>
      <c r="I225" s="236"/>
      <c r="J225" s="282"/>
      <c r="K225" s="282">
        <v>0</v>
      </c>
      <c r="L225" s="371"/>
      <c r="M225" s="193"/>
    </row>
    <row r="226" spans="1:13" x14ac:dyDescent="0.3">
      <c r="A226" s="216"/>
      <c r="B226" s="205"/>
      <c r="C226" s="205"/>
      <c r="D226" s="205"/>
      <c r="E226" s="205"/>
      <c r="F226" s="201"/>
      <c r="H226" s="8"/>
      <c r="I226" s="236"/>
      <c r="J226" s="282"/>
      <c r="K226" s="282">
        <v>0</v>
      </c>
      <c r="L226" s="371"/>
      <c r="M226" s="193"/>
    </row>
    <row r="227" spans="1:13" x14ac:dyDescent="0.3">
      <c r="A227" s="216"/>
      <c r="B227" s="205"/>
      <c r="C227" s="205"/>
      <c r="D227" s="205"/>
      <c r="E227" s="205"/>
      <c r="F227" s="201"/>
      <c r="H227" s="8"/>
      <c r="I227" s="236"/>
      <c r="J227" s="282"/>
      <c r="K227" s="282">
        <v>0</v>
      </c>
      <c r="L227" s="371"/>
      <c r="M227" s="193"/>
    </row>
    <row r="228" spans="1:13" x14ac:dyDescent="0.3">
      <c r="A228" s="216"/>
      <c r="B228" s="205"/>
      <c r="C228" s="205"/>
      <c r="D228" s="205"/>
      <c r="E228" s="205"/>
      <c r="F228" s="201"/>
      <c r="H228" s="46"/>
      <c r="I228" s="236"/>
      <c r="J228" s="282"/>
      <c r="K228" s="282">
        <v>0</v>
      </c>
      <c r="L228" s="371"/>
      <c r="M228" s="193"/>
    </row>
    <row r="229" spans="1:13" x14ac:dyDescent="0.3">
      <c r="A229" s="216"/>
      <c r="B229" s="205"/>
      <c r="C229" s="205"/>
      <c r="D229" s="205"/>
      <c r="E229" s="205"/>
      <c r="F229" s="201"/>
      <c r="H229" s="46"/>
      <c r="I229" s="236"/>
      <c r="J229" s="282"/>
      <c r="K229" s="282">
        <v>0</v>
      </c>
      <c r="L229" s="371"/>
      <c r="M229" s="193"/>
    </row>
    <row r="230" spans="1:13" x14ac:dyDescent="0.3">
      <c r="A230" s="216"/>
      <c r="B230" s="205"/>
      <c r="C230" s="205"/>
      <c r="D230" s="205"/>
      <c r="E230" s="205"/>
      <c r="F230" s="201"/>
      <c r="H230" s="46"/>
      <c r="I230" s="236"/>
      <c r="J230" s="282"/>
      <c r="K230" s="282">
        <v>0</v>
      </c>
      <c r="L230" s="371"/>
      <c r="M230" s="193"/>
    </row>
    <row r="231" spans="1:13" x14ac:dyDescent="0.3">
      <c r="A231" s="216"/>
      <c r="B231" s="205"/>
      <c r="C231" s="205"/>
      <c r="D231" s="205"/>
      <c r="E231" s="205"/>
      <c r="F231" s="201"/>
      <c r="H231" s="46"/>
      <c r="I231" s="236"/>
      <c r="J231" s="282"/>
      <c r="K231" s="282">
        <v>0</v>
      </c>
      <c r="L231" s="371"/>
      <c r="M231" s="193"/>
    </row>
    <row r="232" spans="1:13" x14ac:dyDescent="0.3">
      <c r="A232" s="216"/>
      <c r="B232" s="205"/>
      <c r="C232" s="205"/>
      <c r="D232" s="205"/>
      <c r="E232" s="205"/>
      <c r="F232" s="201"/>
      <c r="H232" s="46"/>
      <c r="I232" s="236"/>
      <c r="J232" s="282"/>
      <c r="K232" s="282">
        <v>0</v>
      </c>
      <c r="L232" s="371"/>
      <c r="M232" s="193"/>
    </row>
    <row r="233" spans="1:13" x14ac:dyDescent="0.3">
      <c r="A233" s="216"/>
      <c r="B233" s="205"/>
      <c r="C233" s="205"/>
      <c r="D233" s="205"/>
      <c r="E233" s="205"/>
      <c r="F233" s="201"/>
      <c r="H233" s="46"/>
      <c r="I233" s="236"/>
      <c r="J233" s="282"/>
      <c r="K233" s="282">
        <v>0</v>
      </c>
      <c r="L233" s="371"/>
      <c r="M233" s="193"/>
    </row>
    <row r="234" spans="1:13" x14ac:dyDescent="0.3">
      <c r="A234" s="216"/>
      <c r="B234" s="205"/>
      <c r="C234" s="205"/>
      <c r="D234" s="205"/>
      <c r="E234" s="205"/>
      <c r="F234" s="201"/>
      <c r="H234" s="46"/>
      <c r="I234" s="236"/>
      <c r="J234" s="282"/>
      <c r="K234" s="282">
        <v>0</v>
      </c>
      <c r="L234" s="371"/>
      <c r="M234" s="193"/>
    </row>
    <row r="235" spans="1:13" x14ac:dyDescent="0.3">
      <c r="A235" s="216"/>
      <c r="B235" s="205"/>
      <c r="C235" s="205"/>
      <c r="D235" s="205"/>
      <c r="E235" s="205"/>
      <c r="F235" s="201"/>
      <c r="H235" s="46"/>
      <c r="I235" s="236"/>
      <c r="J235" s="282"/>
      <c r="K235" s="282">
        <v>0</v>
      </c>
      <c r="L235" s="371"/>
      <c r="M235" s="193"/>
    </row>
    <row r="236" spans="1:13" x14ac:dyDescent="0.3">
      <c r="A236" s="216"/>
      <c r="B236" s="205"/>
      <c r="C236" s="205"/>
      <c r="D236" s="205"/>
      <c r="E236" s="205"/>
      <c r="F236" s="201"/>
      <c r="H236" s="46"/>
      <c r="I236" s="236"/>
      <c r="J236" s="282"/>
      <c r="K236" s="282">
        <v>0</v>
      </c>
      <c r="L236" s="371"/>
      <c r="M236" s="193"/>
    </row>
    <row r="237" spans="1:13" x14ac:dyDescent="0.3">
      <c r="A237" s="216"/>
      <c r="B237" s="205"/>
      <c r="C237" s="205"/>
      <c r="D237" s="205"/>
      <c r="E237" s="205"/>
      <c r="F237" s="201"/>
      <c r="H237" s="46"/>
      <c r="I237" s="236"/>
      <c r="J237" s="282"/>
      <c r="K237" s="282">
        <v>0</v>
      </c>
      <c r="L237" s="371"/>
      <c r="M237" s="193"/>
    </row>
    <row r="238" spans="1:13" x14ac:dyDescent="0.3">
      <c r="A238" s="216"/>
      <c r="B238" s="205"/>
      <c r="C238" s="205"/>
      <c r="D238" s="205"/>
      <c r="E238" s="205"/>
      <c r="F238" s="201"/>
      <c r="H238" s="46"/>
      <c r="I238" s="236"/>
      <c r="J238" s="282"/>
      <c r="K238" s="282">
        <v>0</v>
      </c>
      <c r="L238" s="371"/>
      <c r="M238" s="193"/>
    </row>
    <row r="239" spans="1:13" x14ac:dyDescent="0.3">
      <c r="A239" s="216"/>
      <c r="B239" s="205"/>
      <c r="C239" s="205"/>
      <c r="D239" s="205"/>
      <c r="E239" s="205"/>
      <c r="F239" s="201"/>
      <c r="H239" s="46"/>
      <c r="I239" s="236"/>
      <c r="J239" s="282"/>
      <c r="K239" s="282">
        <v>0</v>
      </c>
      <c r="L239" s="371"/>
      <c r="M239" s="193"/>
    </row>
    <row r="240" spans="1:13" x14ac:dyDescent="0.3">
      <c r="A240" s="216"/>
      <c r="B240" s="205"/>
      <c r="C240" s="205"/>
      <c r="D240" s="205"/>
      <c r="E240" s="205"/>
      <c r="F240" s="201"/>
      <c r="H240" s="46"/>
      <c r="I240" s="236"/>
      <c r="J240" s="282"/>
      <c r="K240" s="282">
        <v>0</v>
      </c>
      <c r="L240" s="371"/>
      <c r="M240" s="193"/>
    </row>
    <row r="241" spans="1:13" x14ac:dyDescent="0.3">
      <c r="A241" s="216"/>
      <c r="B241" s="205"/>
      <c r="C241" s="205"/>
      <c r="D241" s="205"/>
      <c r="E241" s="205"/>
      <c r="F241" s="201"/>
      <c r="H241" s="46"/>
      <c r="I241" s="236"/>
      <c r="J241" s="282"/>
      <c r="K241" s="282">
        <v>0</v>
      </c>
      <c r="L241" s="371"/>
      <c r="M241" s="193"/>
    </row>
    <row r="242" spans="1:13" x14ac:dyDescent="0.3">
      <c r="A242" s="216"/>
      <c r="B242" s="205"/>
      <c r="C242" s="205"/>
      <c r="D242" s="205"/>
      <c r="E242" s="205"/>
      <c r="F242" s="201"/>
      <c r="H242" s="46"/>
      <c r="I242" s="236"/>
      <c r="J242" s="282"/>
      <c r="K242" s="282">
        <v>0</v>
      </c>
      <c r="L242" s="371"/>
      <c r="M242" s="193"/>
    </row>
    <row r="243" spans="1:13" x14ac:dyDescent="0.3">
      <c r="A243" s="216"/>
      <c r="B243" s="205"/>
      <c r="C243" s="205"/>
      <c r="D243" s="205"/>
      <c r="E243" s="205"/>
      <c r="F243" s="201"/>
      <c r="H243" s="46"/>
      <c r="I243" s="236"/>
      <c r="J243" s="282"/>
      <c r="K243" s="282">
        <v>0</v>
      </c>
      <c r="L243" s="371"/>
      <c r="M243" s="193"/>
    </row>
    <row r="244" spans="1:13" x14ac:dyDescent="0.3">
      <c r="A244" s="216"/>
      <c r="B244" s="205"/>
      <c r="C244" s="205"/>
      <c r="D244" s="205"/>
      <c r="E244" s="205"/>
      <c r="F244" s="201"/>
      <c r="H244" s="46"/>
      <c r="I244" s="236"/>
      <c r="J244" s="282"/>
      <c r="K244" s="282">
        <v>0</v>
      </c>
      <c r="L244" s="371"/>
      <c r="M244" s="193"/>
    </row>
    <row r="245" spans="1:13" x14ac:dyDescent="0.3">
      <c r="A245" s="216"/>
      <c r="B245" s="205"/>
      <c r="C245" s="205"/>
      <c r="D245" s="205"/>
      <c r="E245" s="205"/>
      <c r="F245" s="201"/>
      <c r="H245" s="46"/>
      <c r="I245" s="236"/>
      <c r="J245" s="282"/>
      <c r="K245" s="282">
        <v>0</v>
      </c>
      <c r="L245" s="371"/>
      <c r="M245" s="193"/>
    </row>
    <row r="246" spans="1:13" x14ac:dyDescent="0.3">
      <c r="A246" s="216"/>
      <c r="B246" s="205"/>
      <c r="C246" s="205"/>
      <c r="D246" s="205"/>
      <c r="E246" s="205"/>
      <c r="F246" s="201"/>
      <c r="H246" s="46"/>
      <c r="I246" s="236"/>
      <c r="J246" s="282"/>
      <c r="K246" s="282">
        <v>0</v>
      </c>
      <c r="L246" s="371"/>
      <c r="M246" s="193"/>
    </row>
    <row r="247" spans="1:13" x14ac:dyDescent="0.3">
      <c r="A247" s="216"/>
      <c r="B247" s="205"/>
      <c r="C247" s="205"/>
      <c r="D247" s="205"/>
      <c r="E247" s="205"/>
      <c r="F247" s="201"/>
      <c r="H247" s="46"/>
      <c r="I247" s="236"/>
      <c r="J247" s="282"/>
      <c r="K247" s="282">
        <v>0</v>
      </c>
      <c r="L247" s="371"/>
      <c r="M247" s="193"/>
    </row>
    <row r="248" spans="1:13" x14ac:dyDescent="0.3">
      <c r="A248" s="216"/>
      <c r="B248" s="205"/>
      <c r="C248" s="205"/>
      <c r="D248" s="205"/>
      <c r="E248" s="205"/>
      <c r="F248" s="201"/>
      <c r="H248" s="46"/>
      <c r="I248" s="236"/>
      <c r="J248" s="282"/>
      <c r="K248" s="282">
        <v>0</v>
      </c>
      <c r="L248" s="371"/>
      <c r="M248" s="193"/>
    </row>
    <row r="249" spans="1:13" x14ac:dyDescent="0.3">
      <c r="A249" s="216"/>
      <c r="B249" s="205"/>
      <c r="C249" s="205"/>
      <c r="D249" s="205"/>
      <c r="E249" s="205"/>
      <c r="F249" s="201"/>
      <c r="H249" s="46"/>
      <c r="I249" s="236"/>
      <c r="J249" s="282"/>
      <c r="K249" s="282">
        <v>0</v>
      </c>
      <c r="L249" s="371"/>
      <c r="M249" s="193"/>
    </row>
    <row r="250" spans="1:13" x14ac:dyDescent="0.3">
      <c r="A250" s="216"/>
      <c r="B250" s="205"/>
      <c r="C250" s="205"/>
      <c r="D250" s="205"/>
      <c r="E250" s="205"/>
      <c r="F250" s="201"/>
      <c r="H250" s="46"/>
      <c r="I250" s="236"/>
      <c r="J250" s="282"/>
      <c r="K250" s="282">
        <v>0</v>
      </c>
      <c r="L250" s="371"/>
      <c r="M250" s="193"/>
    </row>
    <row r="251" spans="1:13" x14ac:dyDescent="0.3">
      <c r="A251" s="216"/>
      <c r="B251" s="205"/>
      <c r="C251" s="205"/>
      <c r="D251" s="205"/>
      <c r="E251" s="205"/>
      <c r="F251" s="201"/>
      <c r="H251" s="46"/>
      <c r="I251" s="236"/>
      <c r="J251" s="282"/>
      <c r="K251" s="282">
        <v>0</v>
      </c>
      <c r="L251" s="371"/>
      <c r="M251" s="193"/>
    </row>
    <row r="252" spans="1:13" x14ac:dyDescent="0.3">
      <c r="A252" s="216"/>
      <c r="B252" s="205"/>
      <c r="C252" s="205"/>
      <c r="D252" s="205"/>
      <c r="E252" s="205"/>
      <c r="F252" s="201"/>
      <c r="H252" s="46"/>
      <c r="I252" s="236"/>
      <c r="J252" s="282"/>
      <c r="K252" s="282">
        <v>0</v>
      </c>
      <c r="L252" s="371"/>
      <c r="M252" s="193"/>
    </row>
    <row r="253" spans="1:13" x14ac:dyDescent="0.3">
      <c r="A253" s="216"/>
      <c r="B253" s="205"/>
      <c r="C253" s="205"/>
      <c r="D253" s="205"/>
      <c r="E253" s="205"/>
      <c r="F253" s="201"/>
      <c r="H253" s="46"/>
      <c r="I253" s="236"/>
      <c r="J253" s="282"/>
      <c r="K253" s="282">
        <v>0</v>
      </c>
      <c r="L253" s="371"/>
      <c r="M253" s="193"/>
    </row>
    <row r="254" spans="1:13" x14ac:dyDescent="0.3">
      <c r="A254" s="216"/>
      <c r="B254" s="205"/>
      <c r="C254" s="205"/>
      <c r="D254" s="205"/>
      <c r="E254" s="205"/>
      <c r="F254" s="201"/>
      <c r="H254" s="46"/>
      <c r="I254" s="236"/>
      <c r="J254" s="282"/>
      <c r="K254" s="282"/>
      <c r="L254" s="371"/>
      <c r="M254" s="193"/>
    </row>
    <row r="255" spans="1:13" x14ac:dyDescent="0.3">
      <c r="A255" s="216"/>
      <c r="B255" s="205"/>
      <c r="C255" s="205"/>
      <c r="D255" s="205"/>
      <c r="E255" s="205"/>
      <c r="F255" s="201"/>
      <c r="H255" s="46"/>
      <c r="I255" s="236"/>
      <c r="J255" s="282"/>
      <c r="K255" s="282"/>
      <c r="L255" s="371"/>
      <c r="M255" s="193"/>
    </row>
    <row r="256" spans="1:13" x14ac:dyDescent="0.3">
      <c r="A256" s="216"/>
      <c r="B256" s="205"/>
      <c r="C256" s="205"/>
      <c r="D256" s="205"/>
      <c r="E256" s="205"/>
      <c r="F256" s="201"/>
      <c r="H256" s="46"/>
      <c r="I256" s="236"/>
      <c r="J256" s="282"/>
      <c r="K256" s="282"/>
      <c r="L256" s="371"/>
      <c r="M256" s="193"/>
    </row>
    <row r="257" spans="1:13" x14ac:dyDescent="0.3">
      <c r="A257" s="216"/>
      <c r="B257" s="205"/>
      <c r="C257" s="205"/>
      <c r="D257" s="205"/>
      <c r="E257" s="205"/>
      <c r="F257" s="201"/>
      <c r="H257" s="46"/>
      <c r="I257" s="236"/>
      <c r="J257" s="282"/>
      <c r="K257" s="282"/>
      <c r="L257" s="371"/>
      <c r="M257" s="193"/>
    </row>
    <row r="258" spans="1:13" x14ac:dyDescent="0.3">
      <c r="A258" s="216"/>
      <c r="B258" s="205"/>
      <c r="C258" s="205"/>
      <c r="D258" s="205"/>
      <c r="E258" s="205"/>
      <c r="F258" s="201"/>
      <c r="H258" s="46"/>
      <c r="I258" s="236"/>
      <c r="J258" s="282"/>
      <c r="K258" s="282"/>
      <c r="L258" s="371"/>
      <c r="M258" s="193"/>
    </row>
    <row r="259" spans="1:13" x14ac:dyDescent="0.3">
      <c r="A259" s="216"/>
      <c r="B259" s="205"/>
      <c r="C259" s="205"/>
      <c r="D259" s="205"/>
      <c r="E259" s="205"/>
      <c r="F259" s="201"/>
      <c r="H259" s="46"/>
      <c r="I259" s="236"/>
      <c r="J259" s="282"/>
      <c r="K259" s="282"/>
      <c r="L259" s="371"/>
      <c r="M259" s="193"/>
    </row>
    <row r="260" spans="1:13" x14ac:dyDescent="0.3">
      <c r="A260" s="216"/>
      <c r="B260" s="205"/>
      <c r="C260" s="205"/>
      <c r="D260" s="205"/>
      <c r="E260" s="205"/>
      <c r="F260" s="201"/>
      <c r="H260" s="46"/>
      <c r="I260" s="236"/>
      <c r="J260" s="282"/>
      <c r="K260" s="282"/>
      <c r="L260" s="371"/>
      <c r="M260" s="193"/>
    </row>
    <row r="261" spans="1:13" x14ac:dyDescent="0.3">
      <c r="A261" s="216"/>
      <c r="B261" s="205"/>
      <c r="C261" s="205"/>
      <c r="D261" s="205"/>
      <c r="E261" s="205"/>
      <c r="F261" s="201"/>
      <c r="H261" s="46"/>
      <c r="I261" s="236"/>
      <c r="J261" s="282"/>
      <c r="K261" s="282"/>
      <c r="L261" s="371"/>
      <c r="M261" s="193"/>
    </row>
    <row r="262" spans="1:13" x14ac:dyDescent="0.3">
      <c r="A262" s="216"/>
      <c r="B262" s="205"/>
      <c r="C262" s="205"/>
      <c r="D262" s="205"/>
      <c r="E262" s="205"/>
      <c r="F262" s="201"/>
      <c r="H262" s="46"/>
      <c r="I262" s="236"/>
      <c r="J262" s="282"/>
      <c r="K262" s="282"/>
      <c r="L262" s="371"/>
      <c r="M262" s="193"/>
    </row>
    <row r="263" spans="1:13" x14ac:dyDescent="0.3">
      <c r="A263" s="216"/>
      <c r="B263" s="205"/>
      <c r="C263" s="205"/>
      <c r="D263" s="205"/>
      <c r="E263" s="205"/>
      <c r="F263" s="201"/>
      <c r="H263" s="46"/>
      <c r="I263" s="236"/>
      <c r="J263" s="282"/>
      <c r="K263" s="282"/>
      <c r="L263" s="371"/>
      <c r="M263" s="193"/>
    </row>
    <row r="264" spans="1:13" x14ac:dyDescent="0.3">
      <c r="A264" s="216"/>
      <c r="B264" s="205"/>
      <c r="C264" s="205"/>
      <c r="D264" s="205"/>
      <c r="E264" s="205"/>
      <c r="F264" s="201"/>
      <c r="H264" s="46"/>
      <c r="I264" s="236"/>
      <c r="J264" s="282"/>
      <c r="K264" s="282"/>
      <c r="L264" s="371"/>
      <c r="M264" s="193"/>
    </row>
    <row r="265" spans="1:13" x14ac:dyDescent="0.3">
      <c r="A265" s="216"/>
      <c r="B265" s="205"/>
      <c r="C265" s="205"/>
      <c r="D265" s="205"/>
      <c r="E265" s="205"/>
      <c r="F265" s="201"/>
      <c r="H265" s="46"/>
      <c r="I265" s="236"/>
      <c r="J265" s="282"/>
      <c r="K265" s="282"/>
      <c r="L265" s="371"/>
      <c r="M265" s="193"/>
    </row>
    <row r="266" spans="1:13" x14ac:dyDescent="0.3">
      <c r="A266" s="216"/>
      <c r="B266" s="205"/>
      <c r="C266" s="205"/>
      <c r="D266" s="205"/>
      <c r="E266" s="205"/>
      <c r="F266" s="201"/>
      <c r="H266" s="46"/>
      <c r="I266" s="236"/>
      <c r="J266" s="282"/>
      <c r="K266" s="282"/>
      <c r="L266" s="371"/>
      <c r="M266" s="193"/>
    </row>
    <row r="267" spans="1:13" x14ac:dyDescent="0.3">
      <c r="A267" s="216"/>
      <c r="B267" s="205"/>
      <c r="C267" s="205"/>
      <c r="D267" s="205"/>
      <c r="E267" s="205"/>
      <c r="F267" s="201"/>
      <c r="H267" s="46"/>
      <c r="I267" s="236"/>
      <c r="J267" s="282"/>
      <c r="K267" s="282"/>
      <c r="L267" s="371"/>
      <c r="M267" s="193"/>
    </row>
    <row r="268" spans="1:13" x14ac:dyDescent="0.3">
      <c r="A268" s="216"/>
      <c r="B268" s="205"/>
      <c r="C268" s="205"/>
      <c r="D268" s="205"/>
      <c r="E268" s="205"/>
      <c r="F268" s="201"/>
      <c r="H268" s="46"/>
      <c r="I268" s="236"/>
      <c r="J268" s="282"/>
      <c r="K268" s="282"/>
      <c r="L268" s="371"/>
      <c r="M268" s="193"/>
    </row>
    <row r="269" spans="1:13" x14ac:dyDescent="0.3">
      <c r="A269" s="216"/>
      <c r="B269" s="205"/>
      <c r="C269" s="205"/>
      <c r="D269" s="205"/>
      <c r="E269" s="205"/>
      <c r="F269" s="201"/>
      <c r="H269" s="46"/>
      <c r="I269" s="236"/>
      <c r="J269" s="282"/>
      <c r="K269" s="282"/>
      <c r="L269" s="371"/>
      <c r="M269" s="193"/>
    </row>
    <row r="270" spans="1:13" x14ac:dyDescent="0.3">
      <c r="A270" s="216"/>
      <c r="B270" s="205"/>
      <c r="C270" s="205"/>
      <c r="D270" s="205"/>
      <c r="E270" s="205"/>
      <c r="F270" s="201"/>
      <c r="H270" s="46"/>
      <c r="I270" s="236"/>
      <c r="J270" s="282"/>
      <c r="K270" s="282"/>
      <c r="L270" s="371"/>
      <c r="M270" s="193"/>
    </row>
    <row r="271" spans="1:13" x14ac:dyDescent="0.3">
      <c r="A271" s="216"/>
      <c r="B271" s="205"/>
      <c r="C271" s="205"/>
      <c r="D271" s="205"/>
      <c r="E271" s="205"/>
      <c r="F271" s="201"/>
      <c r="H271" s="46"/>
      <c r="I271" s="236"/>
      <c r="J271" s="282"/>
      <c r="K271" s="282"/>
      <c r="L271" s="371"/>
      <c r="M271" s="193"/>
    </row>
    <row r="272" spans="1:13" x14ac:dyDescent="0.3">
      <c r="A272" s="216"/>
      <c r="B272" s="205"/>
      <c r="C272" s="205"/>
      <c r="D272" s="205"/>
      <c r="E272" s="205"/>
      <c r="F272" s="201"/>
      <c r="H272" s="46"/>
      <c r="I272" s="236"/>
      <c r="J272" s="282"/>
      <c r="K272" s="282"/>
      <c r="L272" s="371"/>
      <c r="M272" s="193"/>
    </row>
    <row r="273" spans="1:13" x14ac:dyDescent="0.3">
      <c r="A273" s="216"/>
      <c r="B273" s="205"/>
      <c r="C273" s="205"/>
      <c r="D273" s="205"/>
      <c r="E273" s="205"/>
      <c r="F273" s="201"/>
      <c r="H273" s="46"/>
      <c r="I273" s="236"/>
      <c r="J273" s="282"/>
      <c r="K273" s="282"/>
      <c r="L273" s="371"/>
      <c r="M273" s="193"/>
    </row>
    <row r="274" spans="1:13" x14ac:dyDescent="0.3">
      <c r="A274" s="216"/>
      <c r="B274" s="205"/>
      <c r="C274" s="205"/>
      <c r="D274" s="205"/>
      <c r="E274" s="205"/>
      <c r="F274" s="201"/>
      <c r="H274" s="46"/>
      <c r="I274" s="236"/>
      <c r="J274" s="282"/>
      <c r="K274" s="282"/>
      <c r="L274" s="371"/>
      <c r="M274" s="193"/>
    </row>
    <row r="275" spans="1:13" x14ac:dyDescent="0.3">
      <c r="A275" s="216"/>
      <c r="B275" s="205"/>
      <c r="C275" s="205"/>
      <c r="D275" s="205"/>
      <c r="E275" s="205"/>
      <c r="F275" s="201"/>
      <c r="H275" s="46"/>
      <c r="I275" s="236"/>
      <c r="J275" s="282"/>
      <c r="K275" s="282"/>
      <c r="L275" s="371"/>
      <c r="M275" s="193"/>
    </row>
    <row r="276" spans="1:13" x14ac:dyDescent="0.3">
      <c r="A276" s="216"/>
      <c r="B276" s="205"/>
      <c r="C276" s="205"/>
      <c r="D276" s="205"/>
      <c r="E276" s="205"/>
      <c r="F276" s="201"/>
      <c r="H276" s="46"/>
      <c r="I276" s="236"/>
      <c r="J276" s="282"/>
      <c r="K276" s="282"/>
      <c r="L276" s="371"/>
      <c r="M276" s="193"/>
    </row>
    <row r="277" spans="1:13" x14ac:dyDescent="0.3">
      <c r="A277" s="216"/>
      <c r="B277" s="205"/>
      <c r="C277" s="205"/>
      <c r="D277" s="205"/>
      <c r="E277" s="205"/>
      <c r="F277" s="201"/>
      <c r="H277" s="46"/>
      <c r="I277" s="236"/>
      <c r="J277" s="282"/>
      <c r="K277" s="282"/>
      <c r="L277" s="371"/>
      <c r="M277" s="193"/>
    </row>
    <row r="278" spans="1:13" x14ac:dyDescent="0.3">
      <c r="A278" s="216"/>
      <c r="B278" s="205"/>
      <c r="C278" s="205"/>
      <c r="D278" s="205"/>
      <c r="E278" s="205"/>
      <c r="F278" s="201"/>
      <c r="H278" s="46"/>
      <c r="I278" s="236"/>
      <c r="J278" s="282"/>
      <c r="K278" s="282"/>
      <c r="L278" s="371"/>
      <c r="M278" s="193"/>
    </row>
    <row r="279" spans="1:13" x14ac:dyDescent="0.3">
      <c r="A279" s="216"/>
      <c r="B279" s="205"/>
      <c r="C279" s="205"/>
      <c r="D279" s="205"/>
      <c r="E279" s="205"/>
      <c r="F279" s="201"/>
      <c r="H279" s="46"/>
      <c r="I279" s="236"/>
      <c r="J279" s="282"/>
      <c r="K279" s="282"/>
      <c r="L279" s="371"/>
      <c r="M279" s="193"/>
    </row>
    <row r="280" spans="1:13" x14ac:dyDescent="0.3">
      <c r="A280" s="216"/>
      <c r="B280" s="205"/>
      <c r="C280" s="205"/>
      <c r="D280" s="205"/>
      <c r="E280" s="205"/>
      <c r="F280" s="201"/>
      <c r="H280" s="46"/>
      <c r="I280" s="236"/>
      <c r="J280" s="282"/>
      <c r="K280" s="282"/>
      <c r="L280" s="371"/>
      <c r="M280" s="193"/>
    </row>
    <row r="281" spans="1:13" x14ac:dyDescent="0.3">
      <c r="A281" s="216"/>
      <c r="B281" s="205"/>
      <c r="C281" s="205"/>
      <c r="D281" s="205"/>
      <c r="E281" s="205"/>
      <c r="F281" s="201"/>
      <c r="H281" s="46"/>
      <c r="I281" s="236"/>
      <c r="J281" s="282"/>
      <c r="K281" s="282"/>
      <c r="L281" s="371"/>
      <c r="M281" s="193"/>
    </row>
    <row r="282" spans="1:13" x14ac:dyDescent="0.3">
      <c r="A282" s="216"/>
      <c r="B282" s="205"/>
      <c r="C282" s="205"/>
      <c r="D282" s="205"/>
      <c r="E282" s="205"/>
      <c r="F282" s="201"/>
      <c r="H282" s="46"/>
      <c r="I282" s="236"/>
      <c r="J282" s="282"/>
      <c r="K282" s="282"/>
      <c r="L282" s="371"/>
      <c r="M282" s="193"/>
    </row>
    <row r="283" spans="1:13" x14ac:dyDescent="0.3">
      <c r="A283" s="216"/>
      <c r="B283" s="205"/>
      <c r="C283" s="205"/>
      <c r="D283" s="205"/>
      <c r="E283" s="205"/>
      <c r="F283" s="201"/>
      <c r="H283" s="46"/>
      <c r="I283" s="236"/>
      <c r="J283" s="282"/>
      <c r="K283" s="282"/>
      <c r="L283" s="371"/>
      <c r="M283" s="193"/>
    </row>
    <row r="284" spans="1:13" x14ac:dyDescent="0.3">
      <c r="A284" s="216"/>
      <c r="B284" s="205"/>
      <c r="C284" s="205"/>
      <c r="D284" s="205"/>
      <c r="E284" s="205"/>
      <c r="F284" s="201"/>
      <c r="H284" s="46"/>
      <c r="I284" s="236"/>
      <c r="J284" s="282"/>
      <c r="K284" s="282"/>
      <c r="L284" s="371"/>
      <c r="M284" s="193"/>
    </row>
    <row r="285" spans="1:13" x14ac:dyDescent="0.3">
      <c r="A285" s="216"/>
      <c r="B285" s="205"/>
      <c r="C285" s="205"/>
      <c r="D285" s="205"/>
      <c r="E285" s="205"/>
      <c r="F285" s="201"/>
      <c r="H285" s="46"/>
      <c r="I285" s="236"/>
      <c r="J285" s="282"/>
      <c r="K285" s="282"/>
      <c r="L285" s="371"/>
      <c r="M285" s="193"/>
    </row>
    <row r="286" spans="1:13" x14ac:dyDescent="0.3">
      <c r="A286" s="216"/>
      <c r="B286" s="205"/>
      <c r="C286" s="205"/>
      <c r="D286" s="205"/>
      <c r="E286" s="205"/>
      <c r="F286" s="201"/>
      <c r="H286" s="46"/>
      <c r="I286" s="236"/>
      <c r="J286" s="282"/>
      <c r="K286" s="282"/>
      <c r="L286" s="371"/>
      <c r="M286" s="193"/>
    </row>
    <row r="287" spans="1:13" x14ac:dyDescent="0.3">
      <c r="A287" s="216"/>
      <c r="B287" s="205"/>
      <c r="C287" s="205"/>
      <c r="D287" s="205"/>
      <c r="E287" s="205"/>
      <c r="F287" s="201"/>
      <c r="H287" s="46"/>
      <c r="I287" s="236"/>
      <c r="J287" s="282"/>
      <c r="K287" s="282"/>
      <c r="L287" s="371"/>
      <c r="M287" s="193"/>
    </row>
    <row r="288" spans="1:13" x14ac:dyDescent="0.3">
      <c r="A288" s="216"/>
      <c r="B288" s="205"/>
      <c r="C288" s="205"/>
      <c r="D288" s="205"/>
      <c r="E288" s="205"/>
      <c r="F288" s="201"/>
      <c r="H288" s="46"/>
      <c r="I288" s="236"/>
      <c r="J288" s="282"/>
      <c r="K288" s="282"/>
      <c r="L288" s="371"/>
      <c r="M288" s="193"/>
    </row>
    <row r="289" spans="1:13" x14ac:dyDescent="0.3">
      <c r="A289" s="216"/>
      <c r="B289" s="205"/>
      <c r="C289" s="205"/>
      <c r="D289" s="205"/>
      <c r="E289" s="205"/>
      <c r="F289" s="201"/>
      <c r="H289" s="46"/>
      <c r="I289" s="236"/>
      <c r="J289" s="282"/>
      <c r="K289" s="282"/>
      <c r="L289" s="371"/>
      <c r="M289" s="193"/>
    </row>
    <row r="290" spans="1:13" x14ac:dyDescent="0.3">
      <c r="A290" s="216"/>
      <c r="B290" s="205"/>
      <c r="C290" s="205"/>
      <c r="D290" s="205"/>
      <c r="E290" s="205"/>
      <c r="F290" s="201"/>
      <c r="H290" s="46"/>
      <c r="I290" s="236"/>
      <c r="J290" s="282"/>
      <c r="K290" s="282"/>
      <c r="L290" s="371"/>
      <c r="M290" s="193"/>
    </row>
    <row r="291" spans="1:13" x14ac:dyDescent="0.3">
      <c r="A291" s="216"/>
      <c r="B291" s="205"/>
      <c r="C291" s="205"/>
      <c r="D291" s="205"/>
      <c r="E291" s="205"/>
      <c r="F291" s="201"/>
      <c r="H291" s="46"/>
      <c r="I291" s="236"/>
      <c r="J291" s="282"/>
      <c r="K291" s="282"/>
      <c r="L291" s="371"/>
      <c r="M291" s="193"/>
    </row>
    <row r="292" spans="1:13" x14ac:dyDescent="0.3">
      <c r="A292" s="216"/>
      <c r="B292" s="205"/>
      <c r="C292" s="205"/>
      <c r="D292" s="205"/>
      <c r="E292" s="205"/>
      <c r="F292" s="201"/>
      <c r="H292" s="46"/>
      <c r="I292" s="236"/>
      <c r="J292" s="282"/>
      <c r="K292" s="282"/>
      <c r="L292" s="371"/>
      <c r="M292" s="193"/>
    </row>
    <row r="293" spans="1:13" x14ac:dyDescent="0.3">
      <c r="A293" s="216"/>
      <c r="B293" s="205"/>
      <c r="C293" s="205"/>
      <c r="D293" s="205"/>
      <c r="E293" s="205"/>
      <c r="F293" s="201"/>
      <c r="H293" s="46"/>
      <c r="I293" s="236"/>
      <c r="J293" s="282"/>
      <c r="K293" s="282"/>
      <c r="L293" s="371"/>
      <c r="M293" s="193"/>
    </row>
    <row r="294" spans="1:13" x14ac:dyDescent="0.3">
      <c r="A294" s="216"/>
      <c r="B294" s="205"/>
      <c r="C294" s="205"/>
      <c r="D294" s="205"/>
      <c r="E294" s="205"/>
      <c r="F294" s="201"/>
      <c r="H294" s="46"/>
      <c r="I294" s="236"/>
      <c r="J294" s="282"/>
      <c r="K294" s="282"/>
      <c r="L294" s="371"/>
      <c r="M294" s="193"/>
    </row>
    <row r="295" spans="1:13" x14ac:dyDescent="0.3">
      <c r="A295" s="216"/>
      <c r="B295" s="205"/>
      <c r="C295" s="205"/>
      <c r="D295" s="205"/>
      <c r="E295" s="205"/>
      <c r="F295" s="201"/>
      <c r="H295" s="46"/>
      <c r="I295" s="236"/>
      <c r="J295" s="282"/>
      <c r="K295" s="282"/>
      <c r="L295" s="371"/>
      <c r="M295" s="193"/>
    </row>
    <row r="296" spans="1:13" x14ac:dyDescent="0.3">
      <c r="A296" s="216"/>
      <c r="B296" s="205"/>
      <c r="C296" s="205"/>
      <c r="D296" s="205"/>
      <c r="E296" s="205"/>
      <c r="F296" s="201"/>
      <c r="H296" s="46"/>
      <c r="I296" s="236"/>
      <c r="J296" s="282"/>
      <c r="K296" s="282"/>
      <c r="L296" s="371"/>
      <c r="M296" s="193"/>
    </row>
    <row r="297" spans="1:13" x14ac:dyDescent="0.3">
      <c r="A297" s="216"/>
      <c r="B297" s="205"/>
      <c r="C297" s="205"/>
      <c r="D297" s="205"/>
      <c r="E297" s="205"/>
      <c r="F297" s="201"/>
      <c r="H297" s="46"/>
      <c r="I297" s="236"/>
      <c r="J297" s="282"/>
      <c r="K297" s="282"/>
      <c r="L297" s="371"/>
      <c r="M297" s="193"/>
    </row>
    <row r="298" spans="1:13" x14ac:dyDescent="0.3">
      <c r="A298" s="216"/>
      <c r="B298" s="205"/>
      <c r="C298" s="205"/>
      <c r="D298" s="205"/>
      <c r="E298" s="205"/>
      <c r="F298" s="201"/>
      <c r="H298" s="46"/>
      <c r="I298" s="236"/>
      <c r="J298" s="282"/>
      <c r="K298" s="282"/>
      <c r="L298" s="371"/>
      <c r="M298" s="193"/>
    </row>
    <row r="299" spans="1:13" x14ac:dyDescent="0.3">
      <c r="A299" s="216"/>
      <c r="B299" s="205"/>
      <c r="C299" s="205"/>
      <c r="D299" s="205"/>
      <c r="E299" s="205"/>
      <c r="F299" s="201"/>
      <c r="H299" s="46"/>
      <c r="I299" s="236"/>
      <c r="J299" s="282"/>
      <c r="K299" s="282"/>
      <c r="L299" s="371"/>
      <c r="M299" s="193"/>
    </row>
    <row r="300" spans="1:13" x14ac:dyDescent="0.3">
      <c r="A300" s="216"/>
      <c r="B300" s="205"/>
      <c r="C300" s="205"/>
      <c r="D300" s="205"/>
      <c r="E300" s="205"/>
      <c r="F300" s="201"/>
      <c r="H300" s="46"/>
      <c r="I300" s="236"/>
      <c r="J300" s="282"/>
      <c r="K300" s="282"/>
      <c r="L300" s="371"/>
      <c r="M300" s="193"/>
    </row>
    <row r="301" spans="1:13" x14ac:dyDescent="0.3">
      <c r="A301" s="216"/>
      <c r="B301" s="205"/>
      <c r="C301" s="205"/>
      <c r="D301" s="205"/>
      <c r="E301" s="205"/>
      <c r="F301" s="201"/>
      <c r="H301" s="46"/>
      <c r="I301" s="236"/>
      <c r="J301" s="282"/>
      <c r="K301" s="282"/>
      <c r="L301" s="371"/>
      <c r="M301" s="193"/>
    </row>
    <row r="302" spans="1:13" x14ac:dyDescent="0.3">
      <c r="A302" s="216"/>
      <c r="B302" s="205"/>
      <c r="C302" s="205"/>
      <c r="D302" s="205"/>
      <c r="E302" s="205"/>
      <c r="F302" s="201"/>
      <c r="H302" s="46"/>
      <c r="I302" s="236"/>
      <c r="J302" s="282"/>
      <c r="K302" s="282"/>
      <c r="L302" s="371"/>
      <c r="M302" s="193"/>
    </row>
    <row r="303" spans="1:13" x14ac:dyDescent="0.3">
      <c r="A303" s="216"/>
      <c r="B303" s="205"/>
      <c r="C303" s="205"/>
      <c r="D303" s="205"/>
      <c r="E303" s="205"/>
      <c r="F303" s="201"/>
      <c r="H303" s="46"/>
      <c r="I303" s="236"/>
      <c r="J303" s="282"/>
      <c r="K303" s="282"/>
      <c r="L303" s="371"/>
      <c r="M303" s="193"/>
    </row>
    <row r="304" spans="1:13" x14ac:dyDescent="0.3">
      <c r="A304" s="216"/>
      <c r="B304" s="205"/>
      <c r="C304" s="205"/>
      <c r="D304" s="205"/>
      <c r="E304" s="205"/>
      <c r="F304" s="201"/>
      <c r="H304" s="46"/>
      <c r="I304" s="236"/>
      <c r="J304" s="282"/>
      <c r="K304" s="282"/>
      <c r="L304" s="371"/>
      <c r="M304" s="193"/>
    </row>
    <row r="305" spans="1:13" x14ac:dyDescent="0.3">
      <c r="A305" s="216"/>
      <c r="B305" s="205"/>
      <c r="C305" s="205"/>
      <c r="D305" s="205"/>
      <c r="E305" s="205"/>
      <c r="F305" s="201"/>
      <c r="H305" s="46"/>
      <c r="I305" s="236"/>
      <c r="J305" s="282"/>
      <c r="K305" s="282"/>
      <c r="L305" s="371"/>
      <c r="M305" s="193"/>
    </row>
    <row r="306" spans="1:13" x14ac:dyDescent="0.3">
      <c r="A306" s="216"/>
      <c r="B306" s="205"/>
      <c r="C306" s="205"/>
      <c r="D306" s="205"/>
      <c r="E306" s="205"/>
      <c r="F306" s="201"/>
      <c r="H306" s="46"/>
      <c r="I306" s="236"/>
      <c r="J306" s="282"/>
      <c r="K306" s="282"/>
      <c r="L306" s="371"/>
      <c r="M306" s="193"/>
    </row>
    <row r="307" spans="1:13" x14ac:dyDescent="0.3">
      <c r="A307" s="216"/>
      <c r="B307" s="205"/>
      <c r="C307" s="205"/>
      <c r="D307" s="205"/>
      <c r="E307" s="205"/>
      <c r="F307" s="201"/>
      <c r="H307" s="46"/>
      <c r="I307" s="236"/>
      <c r="J307" s="282"/>
      <c r="K307" s="282"/>
      <c r="L307" s="371"/>
      <c r="M307" s="193"/>
    </row>
    <row r="308" spans="1:13" x14ac:dyDescent="0.3">
      <c r="A308" s="216"/>
      <c r="B308" s="205"/>
      <c r="C308" s="205"/>
      <c r="D308" s="205"/>
      <c r="E308" s="205"/>
      <c r="F308" s="201"/>
      <c r="H308" s="46"/>
      <c r="I308" s="236"/>
      <c r="J308" s="282"/>
      <c r="K308" s="282"/>
      <c r="L308" s="371"/>
      <c r="M308" s="193"/>
    </row>
    <row r="309" spans="1:13" x14ac:dyDescent="0.3">
      <c r="A309" s="216"/>
      <c r="B309" s="205"/>
      <c r="C309" s="205"/>
      <c r="D309" s="205"/>
      <c r="E309" s="205"/>
      <c r="F309" s="201"/>
      <c r="H309" s="46"/>
      <c r="I309" s="236"/>
      <c r="J309" s="282"/>
      <c r="K309" s="282"/>
      <c r="L309" s="371"/>
      <c r="M309" s="193"/>
    </row>
    <row r="310" spans="1:13" x14ac:dyDescent="0.3">
      <c r="A310" s="216"/>
      <c r="B310" s="205"/>
      <c r="C310" s="205"/>
      <c r="D310" s="205"/>
      <c r="E310" s="205"/>
      <c r="F310" s="201"/>
      <c r="H310" s="46"/>
      <c r="I310" s="236"/>
      <c r="J310" s="282"/>
      <c r="K310" s="282"/>
      <c r="L310" s="371"/>
      <c r="M310" s="193"/>
    </row>
    <row r="311" spans="1:13" x14ac:dyDescent="0.3">
      <c r="A311" s="216"/>
      <c r="B311" s="205"/>
      <c r="C311" s="205"/>
      <c r="D311" s="205"/>
      <c r="E311" s="205"/>
      <c r="F311" s="201"/>
      <c r="H311" s="46"/>
      <c r="I311" s="236"/>
      <c r="J311" s="282"/>
      <c r="K311" s="282"/>
      <c r="L311" s="371"/>
      <c r="M311" s="193"/>
    </row>
    <row r="312" spans="1:13" x14ac:dyDescent="0.3">
      <c r="A312" s="216"/>
      <c r="B312" s="205"/>
      <c r="C312" s="205"/>
      <c r="D312" s="205"/>
      <c r="E312" s="205"/>
      <c r="F312" s="201"/>
      <c r="H312" s="46"/>
      <c r="I312" s="236"/>
      <c r="J312" s="282"/>
      <c r="K312" s="282"/>
      <c r="L312" s="371"/>
      <c r="M312" s="193"/>
    </row>
    <row r="313" spans="1:13" x14ac:dyDescent="0.3">
      <c r="A313" s="216"/>
      <c r="B313" s="205"/>
      <c r="C313" s="205"/>
      <c r="D313" s="205"/>
      <c r="E313" s="205"/>
      <c r="F313" s="201"/>
      <c r="H313" s="46"/>
      <c r="I313" s="236"/>
      <c r="J313" s="282"/>
      <c r="K313" s="282"/>
      <c r="L313" s="371"/>
      <c r="M313" s="193"/>
    </row>
    <row r="314" spans="1:13" x14ac:dyDescent="0.3">
      <c r="A314" s="216"/>
      <c r="B314" s="205"/>
      <c r="C314" s="205"/>
      <c r="D314" s="205"/>
      <c r="E314" s="205"/>
      <c r="F314" s="201"/>
      <c r="H314" s="46"/>
      <c r="I314" s="236"/>
      <c r="J314" s="282"/>
      <c r="K314" s="282"/>
      <c r="L314" s="371"/>
      <c r="M314" s="193"/>
    </row>
    <row r="315" spans="1:13" x14ac:dyDescent="0.3">
      <c r="A315" s="216"/>
      <c r="B315" s="205"/>
      <c r="C315" s="205"/>
      <c r="D315" s="205"/>
      <c r="E315" s="205"/>
      <c r="F315" s="201"/>
      <c r="H315" s="46"/>
      <c r="I315" s="236"/>
      <c r="J315" s="282"/>
      <c r="K315" s="282"/>
      <c r="L315" s="371"/>
      <c r="M315" s="193"/>
    </row>
    <row r="316" spans="1:13" x14ac:dyDescent="0.3">
      <c r="A316" s="216"/>
      <c r="B316" s="205"/>
      <c r="C316" s="205"/>
      <c r="D316" s="205"/>
      <c r="E316" s="205"/>
      <c r="F316" s="201"/>
      <c r="H316" s="46"/>
      <c r="I316" s="236"/>
      <c r="J316" s="282"/>
      <c r="K316" s="282"/>
      <c r="L316" s="371"/>
      <c r="M316" s="193"/>
    </row>
    <row r="317" spans="1:13" x14ac:dyDescent="0.3">
      <c r="A317" s="216"/>
      <c r="B317" s="205"/>
      <c r="C317" s="205"/>
      <c r="D317" s="205"/>
      <c r="E317" s="205"/>
      <c r="F317" s="201"/>
      <c r="H317" s="46"/>
      <c r="I317" s="236"/>
      <c r="J317" s="282"/>
      <c r="K317" s="282"/>
      <c r="L317" s="371"/>
      <c r="M317" s="193"/>
    </row>
    <row r="318" spans="1:13" x14ac:dyDescent="0.3">
      <c r="A318" s="216"/>
      <c r="B318" s="205"/>
      <c r="C318" s="205"/>
      <c r="D318" s="205"/>
      <c r="E318" s="205"/>
      <c r="F318" s="201"/>
      <c r="H318" s="46"/>
      <c r="I318" s="236"/>
      <c r="J318" s="282"/>
      <c r="K318" s="282"/>
      <c r="L318" s="371"/>
      <c r="M318" s="193"/>
    </row>
    <row r="319" spans="1:13" x14ac:dyDescent="0.3">
      <c r="A319" s="216"/>
      <c r="B319" s="205"/>
      <c r="C319" s="205"/>
      <c r="D319" s="205"/>
      <c r="E319" s="205"/>
      <c r="F319" s="201"/>
      <c r="H319" s="46"/>
      <c r="I319" s="236"/>
      <c r="J319" s="282"/>
      <c r="K319" s="282"/>
      <c r="L319" s="371"/>
      <c r="M319" s="193"/>
    </row>
    <row r="320" spans="1:13" x14ac:dyDescent="0.3">
      <c r="A320" s="216"/>
      <c r="B320" s="205"/>
      <c r="C320" s="205"/>
      <c r="D320" s="205"/>
      <c r="E320" s="205"/>
      <c r="F320" s="201"/>
      <c r="H320" s="46"/>
      <c r="I320" s="236"/>
      <c r="J320" s="282"/>
      <c r="K320" s="282"/>
      <c r="L320" s="371"/>
      <c r="M320" s="193"/>
    </row>
    <row r="321" spans="1:13" x14ac:dyDescent="0.3">
      <c r="A321" s="216"/>
      <c r="B321" s="205"/>
      <c r="C321" s="205"/>
      <c r="D321" s="205"/>
      <c r="E321" s="205"/>
      <c r="F321" s="201"/>
      <c r="H321" s="46"/>
      <c r="I321" s="236"/>
      <c r="J321" s="282"/>
      <c r="K321" s="282"/>
      <c r="L321" s="371"/>
      <c r="M321" s="193"/>
    </row>
    <row r="322" spans="1:13" x14ac:dyDescent="0.3">
      <c r="A322" s="216"/>
      <c r="B322" s="205"/>
      <c r="C322" s="205"/>
      <c r="D322" s="205"/>
      <c r="E322" s="205"/>
      <c r="F322" s="201"/>
      <c r="H322" s="46"/>
      <c r="I322" s="236"/>
      <c r="J322" s="282"/>
      <c r="K322" s="282"/>
      <c r="L322" s="371"/>
      <c r="M322" s="193"/>
    </row>
    <row r="323" spans="1:13" x14ac:dyDescent="0.3">
      <c r="A323" s="216"/>
      <c r="B323" s="205"/>
      <c r="C323" s="205"/>
      <c r="D323" s="205"/>
      <c r="E323" s="205"/>
      <c r="F323" s="201"/>
      <c r="H323" s="46"/>
      <c r="I323" s="236"/>
      <c r="J323" s="282"/>
      <c r="K323" s="282"/>
      <c r="L323" s="371"/>
      <c r="M323" s="193"/>
    </row>
    <row r="324" spans="1:13" x14ac:dyDescent="0.3">
      <c r="A324" s="216"/>
      <c r="B324" s="205"/>
      <c r="C324" s="205"/>
      <c r="D324" s="205"/>
      <c r="E324" s="205"/>
      <c r="F324" s="201"/>
      <c r="H324" s="46"/>
      <c r="I324" s="236"/>
      <c r="J324" s="282"/>
      <c r="K324" s="282"/>
      <c r="L324" s="371"/>
      <c r="M324" s="193"/>
    </row>
    <row r="325" spans="1:13" x14ac:dyDescent="0.3">
      <c r="A325" s="216"/>
      <c r="B325" s="205"/>
      <c r="C325" s="205"/>
      <c r="D325" s="205"/>
      <c r="E325" s="205"/>
      <c r="F325" s="201"/>
      <c r="H325" s="46"/>
      <c r="I325" s="236"/>
      <c r="J325" s="282"/>
      <c r="K325" s="282"/>
      <c r="L325" s="371"/>
      <c r="M325" s="193"/>
    </row>
    <row r="326" spans="1:13" x14ac:dyDescent="0.3">
      <c r="A326" s="216"/>
      <c r="B326" s="205"/>
      <c r="C326" s="205"/>
      <c r="D326" s="205"/>
      <c r="E326" s="205"/>
      <c r="F326" s="201"/>
      <c r="H326" s="46"/>
      <c r="I326" s="236"/>
      <c r="J326" s="282"/>
      <c r="K326" s="282"/>
      <c r="L326" s="371"/>
      <c r="M326" s="193"/>
    </row>
    <row r="327" spans="1:13" x14ac:dyDescent="0.3">
      <c r="A327" s="216"/>
      <c r="B327" s="205"/>
      <c r="C327" s="205"/>
      <c r="D327" s="205"/>
      <c r="E327" s="205"/>
      <c r="F327" s="201"/>
      <c r="H327" s="46"/>
      <c r="I327" s="236"/>
      <c r="J327" s="282"/>
      <c r="K327" s="282"/>
      <c r="L327" s="371"/>
      <c r="M327" s="193"/>
    </row>
    <row r="328" spans="1:13" x14ac:dyDescent="0.3">
      <c r="A328" s="216"/>
      <c r="B328" s="205"/>
      <c r="C328" s="205"/>
      <c r="D328" s="205"/>
      <c r="E328" s="205"/>
      <c r="F328" s="201"/>
      <c r="H328" s="46"/>
      <c r="I328" s="236"/>
      <c r="J328" s="282"/>
      <c r="K328" s="282"/>
      <c r="L328" s="371"/>
      <c r="M328" s="193"/>
    </row>
    <row r="329" spans="1:13" x14ac:dyDescent="0.3">
      <c r="A329" s="216"/>
      <c r="B329" s="205"/>
      <c r="C329" s="205"/>
      <c r="D329" s="205"/>
      <c r="E329" s="205"/>
      <c r="F329" s="201"/>
      <c r="H329" s="46"/>
      <c r="I329" s="236"/>
      <c r="J329" s="282"/>
      <c r="K329" s="282"/>
      <c r="L329" s="371"/>
      <c r="M329" s="193"/>
    </row>
    <row r="330" spans="1:13" x14ac:dyDescent="0.3">
      <c r="A330" s="216"/>
      <c r="B330" s="205"/>
      <c r="C330" s="205"/>
      <c r="D330" s="205"/>
      <c r="E330" s="205"/>
      <c r="F330" s="201"/>
      <c r="H330" s="46"/>
      <c r="I330" s="236"/>
      <c r="J330" s="282"/>
      <c r="K330" s="282"/>
      <c r="L330" s="371"/>
      <c r="M330" s="193"/>
    </row>
    <row r="331" spans="1:13" x14ac:dyDescent="0.3">
      <c r="A331" s="216"/>
      <c r="B331" s="205"/>
      <c r="C331" s="205"/>
      <c r="D331" s="205"/>
      <c r="E331" s="205"/>
      <c r="F331" s="201"/>
      <c r="H331" s="46"/>
      <c r="I331" s="236"/>
      <c r="J331" s="282"/>
      <c r="K331" s="282"/>
      <c r="L331" s="371"/>
      <c r="M331" s="193"/>
    </row>
    <row r="332" spans="1:13" x14ac:dyDescent="0.3">
      <c r="A332" s="216"/>
      <c r="B332" s="205"/>
      <c r="C332" s="205"/>
      <c r="D332" s="205"/>
      <c r="E332" s="205"/>
      <c r="F332" s="201"/>
      <c r="H332" s="46"/>
      <c r="I332" s="236"/>
      <c r="J332" s="282"/>
      <c r="K332" s="282"/>
      <c r="L332" s="371"/>
      <c r="M332" s="193"/>
    </row>
    <row r="333" spans="1:13" x14ac:dyDescent="0.3">
      <c r="A333" s="216"/>
      <c r="B333" s="205"/>
      <c r="C333" s="205"/>
      <c r="D333" s="205"/>
      <c r="E333" s="205"/>
      <c r="F333" s="201"/>
      <c r="H333" s="46"/>
      <c r="I333" s="236"/>
      <c r="J333" s="282"/>
      <c r="K333" s="282"/>
      <c r="L333" s="371"/>
      <c r="M333" s="193"/>
    </row>
    <row r="334" spans="1:13" x14ac:dyDescent="0.3">
      <c r="A334" s="216"/>
      <c r="B334" s="205"/>
      <c r="C334" s="205"/>
      <c r="D334" s="205"/>
      <c r="E334" s="205"/>
      <c r="F334" s="201"/>
      <c r="H334" s="46"/>
      <c r="I334" s="236"/>
      <c r="J334" s="282"/>
      <c r="K334" s="282"/>
      <c r="L334" s="371"/>
      <c r="M334" s="193"/>
    </row>
    <row r="335" spans="1:13" x14ac:dyDescent="0.3">
      <c r="A335" s="216"/>
      <c r="B335" s="205"/>
      <c r="C335" s="205"/>
      <c r="D335" s="205"/>
      <c r="E335" s="205"/>
      <c r="F335" s="201"/>
      <c r="H335" s="46"/>
      <c r="I335" s="236"/>
      <c r="J335" s="282"/>
      <c r="K335" s="282"/>
      <c r="L335" s="371"/>
      <c r="M335" s="193"/>
    </row>
    <row r="336" spans="1:13" x14ac:dyDescent="0.3">
      <c r="A336" s="216"/>
      <c r="B336" s="205"/>
      <c r="C336" s="205"/>
      <c r="D336" s="205"/>
      <c r="E336" s="205"/>
      <c r="F336" s="201"/>
      <c r="H336" s="46"/>
      <c r="I336" s="236"/>
      <c r="J336" s="282"/>
      <c r="K336" s="282"/>
      <c r="L336" s="371"/>
      <c r="M336" s="193"/>
    </row>
    <row r="337" spans="1:13" x14ac:dyDescent="0.3">
      <c r="A337" s="216"/>
      <c r="B337" s="205"/>
      <c r="C337" s="205"/>
      <c r="D337" s="205"/>
      <c r="E337" s="205"/>
      <c r="F337" s="201"/>
      <c r="H337" s="46"/>
      <c r="I337" s="236"/>
      <c r="J337" s="282"/>
      <c r="K337" s="282"/>
      <c r="L337" s="371"/>
      <c r="M337" s="193"/>
    </row>
    <row r="338" spans="1:13" x14ac:dyDescent="0.3">
      <c r="A338" s="216"/>
      <c r="B338" s="205"/>
      <c r="C338" s="205"/>
      <c r="D338" s="205"/>
      <c r="E338" s="205"/>
      <c r="F338" s="201"/>
      <c r="H338" s="46"/>
      <c r="I338" s="236"/>
      <c r="J338" s="282"/>
      <c r="K338" s="282"/>
      <c r="L338" s="371"/>
      <c r="M338" s="193"/>
    </row>
    <row r="339" spans="1:13" x14ac:dyDescent="0.3">
      <c r="A339" s="216"/>
      <c r="B339" s="205"/>
      <c r="C339" s="205"/>
      <c r="D339" s="205"/>
      <c r="E339" s="205"/>
      <c r="F339" s="201"/>
      <c r="H339" s="46"/>
      <c r="I339" s="236"/>
      <c r="J339" s="282"/>
      <c r="K339" s="282"/>
      <c r="L339" s="371"/>
      <c r="M339" s="193"/>
    </row>
    <row r="340" spans="1:13" x14ac:dyDescent="0.3">
      <c r="A340" s="216"/>
      <c r="B340" s="205"/>
      <c r="C340" s="205"/>
      <c r="D340" s="205"/>
      <c r="E340" s="205"/>
      <c r="F340" s="201"/>
      <c r="H340" s="46"/>
      <c r="I340" s="236"/>
      <c r="J340" s="282"/>
      <c r="K340" s="282"/>
      <c r="L340" s="371"/>
      <c r="M340" s="193"/>
    </row>
    <row r="341" spans="1:13" x14ac:dyDescent="0.3">
      <c r="A341" s="216"/>
      <c r="B341" s="205"/>
      <c r="C341" s="205"/>
      <c r="D341" s="205"/>
      <c r="E341" s="205"/>
      <c r="F341" s="201"/>
      <c r="H341" s="46"/>
      <c r="I341" s="236"/>
      <c r="J341" s="282"/>
      <c r="K341" s="282"/>
      <c r="L341" s="371"/>
      <c r="M341" s="193"/>
    </row>
    <row r="342" spans="1:13" x14ac:dyDescent="0.3">
      <c r="A342" s="216"/>
      <c r="B342" s="205"/>
      <c r="C342" s="205"/>
      <c r="D342" s="205"/>
      <c r="E342" s="205"/>
      <c r="F342" s="201"/>
      <c r="H342" s="46"/>
      <c r="I342" s="236"/>
      <c r="J342" s="282"/>
      <c r="K342" s="282"/>
      <c r="L342" s="371"/>
      <c r="M342" s="193"/>
    </row>
    <row r="343" spans="1:13" x14ac:dyDescent="0.3">
      <c r="A343" s="216"/>
      <c r="B343" s="205"/>
      <c r="C343" s="205"/>
      <c r="D343" s="205"/>
      <c r="E343" s="205"/>
      <c r="F343" s="201"/>
      <c r="H343" s="46"/>
      <c r="I343" s="236"/>
      <c r="J343" s="282"/>
      <c r="K343" s="282"/>
      <c r="L343" s="371"/>
      <c r="M343" s="193"/>
    </row>
    <row r="344" spans="1:13" x14ac:dyDescent="0.3">
      <c r="A344" s="216"/>
      <c r="B344" s="205"/>
      <c r="C344" s="205"/>
      <c r="D344" s="205"/>
      <c r="E344" s="205"/>
      <c r="F344" s="201"/>
      <c r="H344" s="46"/>
      <c r="I344" s="236"/>
      <c r="J344" s="282"/>
      <c r="K344" s="282"/>
      <c r="L344" s="371"/>
      <c r="M344" s="193"/>
    </row>
    <row r="345" spans="1:13" x14ac:dyDescent="0.3">
      <c r="A345" s="216"/>
      <c r="B345" s="205"/>
      <c r="C345" s="205"/>
      <c r="D345" s="205"/>
      <c r="E345" s="205"/>
      <c r="F345" s="201"/>
      <c r="H345" s="46"/>
      <c r="I345" s="236"/>
      <c r="J345" s="282"/>
      <c r="K345" s="282"/>
      <c r="L345" s="371"/>
      <c r="M345" s="193"/>
    </row>
    <row r="346" spans="1:13" x14ac:dyDescent="0.3">
      <c r="A346" s="216"/>
      <c r="B346" s="205"/>
      <c r="C346" s="205"/>
      <c r="D346" s="205"/>
      <c r="E346" s="205"/>
      <c r="F346" s="201"/>
      <c r="H346" s="46"/>
      <c r="I346" s="236"/>
      <c r="J346" s="282"/>
      <c r="K346" s="282"/>
      <c r="L346" s="371"/>
      <c r="M346" s="193"/>
    </row>
    <row r="347" spans="1:13" x14ac:dyDescent="0.3">
      <c r="A347" s="216"/>
      <c r="B347" s="205"/>
      <c r="C347" s="205"/>
      <c r="D347" s="205"/>
      <c r="E347" s="205"/>
      <c r="F347" s="201"/>
      <c r="H347" s="46"/>
      <c r="I347" s="236"/>
      <c r="J347" s="282"/>
      <c r="K347" s="324"/>
      <c r="L347" s="372"/>
      <c r="M347" s="193"/>
    </row>
    <row r="348" spans="1:13" x14ac:dyDescent="0.3">
      <c r="A348" s="216"/>
      <c r="B348" s="205"/>
      <c r="C348" s="205"/>
      <c r="D348" s="205"/>
      <c r="E348" s="205"/>
      <c r="F348" s="201"/>
      <c r="H348" s="46"/>
      <c r="I348" s="236"/>
      <c r="J348" s="236"/>
      <c r="K348" s="282"/>
      <c r="L348" s="371"/>
      <c r="M348" s="193"/>
    </row>
    <row r="349" spans="1:13" x14ac:dyDescent="0.3">
      <c r="A349" s="216"/>
      <c r="B349" s="205"/>
      <c r="C349" s="205"/>
      <c r="D349" s="205"/>
      <c r="E349" s="205"/>
      <c r="F349" s="201"/>
      <c r="H349" s="46"/>
      <c r="I349" s="236"/>
      <c r="J349" s="236"/>
      <c r="K349" s="282"/>
      <c r="L349" s="371"/>
      <c r="M349" s="193"/>
    </row>
    <row r="350" spans="1:13" x14ac:dyDescent="0.3">
      <c r="A350" s="216"/>
      <c r="B350" s="205"/>
      <c r="C350" s="205"/>
      <c r="D350" s="205"/>
      <c r="E350" s="205"/>
      <c r="F350" s="201"/>
      <c r="H350" s="46"/>
      <c r="I350" s="236"/>
      <c r="J350" s="236"/>
      <c r="K350" s="282"/>
      <c r="L350" s="371"/>
      <c r="M350" s="193"/>
    </row>
    <row r="351" spans="1:13" x14ac:dyDescent="0.3">
      <c r="A351" s="216"/>
      <c r="B351" s="205"/>
      <c r="C351" s="205"/>
      <c r="D351" s="205"/>
      <c r="E351" s="205"/>
      <c r="F351" s="201"/>
      <c r="H351" s="46"/>
      <c r="I351" s="236"/>
      <c r="J351" s="236"/>
      <c r="K351" s="282"/>
      <c r="L351" s="371"/>
      <c r="M351" s="193"/>
    </row>
    <row r="352" spans="1:13" x14ac:dyDescent="0.3">
      <c r="A352" s="216"/>
      <c r="B352" s="205"/>
      <c r="C352" s="205"/>
      <c r="D352" s="205"/>
      <c r="E352" s="205"/>
      <c r="F352" s="201"/>
      <c r="H352" s="46"/>
      <c r="I352" s="236"/>
      <c r="J352" s="236"/>
      <c r="K352" s="282"/>
      <c r="L352" s="371"/>
      <c r="M352" s="193"/>
    </row>
    <row r="353" spans="1:13" x14ac:dyDescent="0.3">
      <c r="A353" s="216"/>
      <c r="B353" s="205"/>
      <c r="C353" s="205"/>
      <c r="D353" s="205"/>
      <c r="E353" s="205"/>
      <c r="F353" s="201"/>
      <c r="H353" s="46"/>
      <c r="I353" s="236"/>
      <c r="J353" s="236"/>
      <c r="K353" s="282"/>
      <c r="L353" s="371"/>
      <c r="M353" s="193"/>
    </row>
    <row r="354" spans="1:13" x14ac:dyDescent="0.3">
      <c r="A354" s="216"/>
      <c r="B354" s="205"/>
      <c r="C354" s="205"/>
      <c r="D354" s="205"/>
      <c r="E354" s="205"/>
      <c r="F354" s="201"/>
      <c r="H354" s="46"/>
      <c r="I354" s="236"/>
      <c r="J354" s="236"/>
      <c r="K354" s="282"/>
      <c r="L354" s="371"/>
      <c r="M354" s="193"/>
    </row>
    <row r="355" spans="1:13" x14ac:dyDescent="0.3">
      <c r="A355" s="216"/>
      <c r="B355" s="205"/>
      <c r="C355" s="205"/>
      <c r="D355" s="205"/>
      <c r="E355" s="205"/>
      <c r="F355" s="201"/>
      <c r="H355" s="46"/>
      <c r="I355" s="236"/>
      <c r="J355" s="236"/>
      <c r="K355" s="282"/>
      <c r="L355" s="371"/>
      <c r="M355" s="193"/>
    </row>
    <row r="356" spans="1:13" x14ac:dyDescent="0.3">
      <c r="A356" s="216"/>
      <c r="B356" s="205"/>
      <c r="C356" s="205"/>
      <c r="D356" s="205"/>
      <c r="E356" s="205"/>
      <c r="F356" s="201"/>
      <c r="H356" s="46"/>
      <c r="I356" s="236"/>
      <c r="J356" s="236"/>
      <c r="K356" s="282"/>
      <c r="L356" s="371"/>
      <c r="M356" s="193"/>
    </row>
    <row r="357" spans="1:13" x14ac:dyDescent="0.3">
      <c r="A357" s="216"/>
      <c r="B357" s="205"/>
      <c r="C357" s="205"/>
      <c r="D357" s="205"/>
      <c r="E357" s="205"/>
      <c r="F357" s="201"/>
      <c r="H357" s="46"/>
      <c r="I357" s="236"/>
      <c r="J357" s="236"/>
      <c r="K357" s="282"/>
      <c r="L357" s="371"/>
      <c r="M357" s="193"/>
    </row>
    <row r="358" spans="1:13" x14ac:dyDescent="0.3">
      <c r="A358" s="216"/>
      <c r="B358" s="205"/>
      <c r="C358" s="205"/>
      <c r="D358" s="205"/>
      <c r="E358" s="205"/>
      <c r="F358" s="201"/>
      <c r="H358" s="46"/>
      <c r="I358" s="236"/>
      <c r="J358" s="236"/>
      <c r="K358" s="282"/>
      <c r="L358" s="371"/>
      <c r="M358" s="193"/>
    </row>
    <row r="359" spans="1:13" x14ac:dyDescent="0.3">
      <c r="A359" s="216"/>
      <c r="B359" s="205"/>
      <c r="C359" s="205"/>
      <c r="D359" s="205"/>
      <c r="E359" s="205"/>
      <c r="F359" s="201"/>
      <c r="H359" s="46"/>
      <c r="I359" s="236"/>
      <c r="J359" s="236"/>
      <c r="K359" s="282"/>
      <c r="L359" s="371"/>
      <c r="M359" s="193"/>
    </row>
    <row r="360" spans="1:13" x14ac:dyDescent="0.3">
      <c r="A360" s="216"/>
      <c r="B360" s="205"/>
      <c r="C360" s="205"/>
      <c r="D360" s="205"/>
      <c r="E360" s="205"/>
      <c r="F360" s="201"/>
      <c r="H360" s="46"/>
      <c r="I360" s="236"/>
      <c r="J360" s="236"/>
      <c r="K360" s="282"/>
      <c r="L360" s="371"/>
      <c r="M360" s="193"/>
    </row>
    <row r="361" spans="1:13" x14ac:dyDescent="0.3">
      <c r="A361" s="216"/>
      <c r="B361" s="205"/>
      <c r="C361" s="205"/>
      <c r="D361" s="205"/>
      <c r="E361" s="205"/>
      <c r="F361" s="201"/>
      <c r="H361" s="46"/>
      <c r="I361" s="236"/>
      <c r="J361" s="236"/>
      <c r="K361" s="282"/>
      <c r="L361" s="371"/>
      <c r="M361" s="193"/>
    </row>
    <row r="362" spans="1:13" x14ac:dyDescent="0.3">
      <c r="A362" s="216"/>
      <c r="B362" s="205"/>
      <c r="C362" s="205"/>
      <c r="D362" s="205"/>
      <c r="E362" s="205"/>
      <c r="F362" s="201"/>
      <c r="H362" s="46"/>
      <c r="I362" s="236"/>
      <c r="J362" s="236"/>
      <c r="K362" s="282"/>
      <c r="L362" s="371"/>
      <c r="M362" s="193"/>
    </row>
    <row r="363" spans="1:13" x14ac:dyDescent="0.3">
      <c r="A363" s="216"/>
      <c r="B363" s="205"/>
      <c r="C363" s="205"/>
      <c r="D363" s="205"/>
      <c r="E363" s="205"/>
      <c r="F363" s="201"/>
      <c r="H363" s="46"/>
      <c r="I363" s="236"/>
      <c r="J363" s="236"/>
      <c r="K363" s="282"/>
      <c r="L363" s="371"/>
      <c r="M363" s="193"/>
    </row>
    <row r="364" spans="1:13" x14ac:dyDescent="0.3">
      <c r="A364" s="216"/>
      <c r="B364" s="205"/>
      <c r="C364" s="205"/>
      <c r="D364" s="205"/>
      <c r="E364" s="205"/>
      <c r="F364" s="201"/>
      <c r="H364" s="46"/>
      <c r="I364" s="236"/>
      <c r="J364" s="236"/>
      <c r="K364" s="282"/>
      <c r="L364" s="371"/>
      <c r="M364" s="193"/>
    </row>
    <row r="365" spans="1:13" x14ac:dyDescent="0.3">
      <c r="A365" s="216"/>
      <c r="B365" s="205"/>
      <c r="C365" s="205"/>
      <c r="D365" s="205"/>
      <c r="E365" s="205"/>
      <c r="F365" s="201"/>
      <c r="H365" s="46"/>
      <c r="I365" s="236"/>
      <c r="J365" s="236"/>
      <c r="K365" s="282"/>
      <c r="L365" s="371"/>
      <c r="M365" s="193"/>
    </row>
    <row r="366" spans="1:13" x14ac:dyDescent="0.3">
      <c r="A366" s="216"/>
      <c r="B366" s="205"/>
      <c r="C366" s="205"/>
      <c r="D366" s="205"/>
      <c r="E366" s="205"/>
      <c r="F366" s="201"/>
      <c r="H366" s="46"/>
      <c r="I366" s="236"/>
      <c r="J366" s="236"/>
      <c r="K366" s="282"/>
      <c r="L366" s="371"/>
      <c r="M366" s="193"/>
    </row>
    <row r="367" spans="1:13" x14ac:dyDescent="0.3">
      <c r="A367" s="216"/>
      <c r="B367" s="205"/>
      <c r="C367" s="205"/>
      <c r="D367" s="205"/>
      <c r="E367" s="205"/>
      <c r="F367" s="201"/>
      <c r="H367" s="46"/>
      <c r="I367" s="236"/>
      <c r="J367" s="236"/>
      <c r="K367" s="282"/>
      <c r="L367" s="371"/>
      <c r="M367" s="193"/>
    </row>
    <row r="368" spans="1:13" x14ac:dyDescent="0.3">
      <c r="A368" s="216"/>
      <c r="B368" s="205"/>
      <c r="C368" s="205"/>
      <c r="D368" s="205"/>
      <c r="E368" s="205"/>
      <c r="F368" s="201"/>
      <c r="H368" s="46"/>
      <c r="I368" s="236"/>
      <c r="J368" s="236"/>
      <c r="K368" s="282"/>
      <c r="L368" s="371"/>
      <c r="M368" s="193"/>
    </row>
    <row r="369" spans="1:13" x14ac:dyDescent="0.3">
      <c r="A369" s="216"/>
      <c r="B369" s="205"/>
      <c r="C369" s="205"/>
      <c r="D369" s="205"/>
      <c r="E369" s="205"/>
      <c r="F369" s="201"/>
      <c r="H369" s="46"/>
      <c r="I369" s="236"/>
      <c r="J369" s="236"/>
      <c r="K369" s="282"/>
      <c r="L369" s="371"/>
      <c r="M369" s="193"/>
    </row>
    <row r="370" spans="1:13" x14ac:dyDescent="0.3">
      <c r="A370" s="216"/>
      <c r="B370" s="205"/>
      <c r="C370" s="205"/>
      <c r="D370" s="205"/>
      <c r="E370" s="205"/>
      <c r="F370" s="201"/>
      <c r="H370" s="46"/>
      <c r="I370" s="236"/>
      <c r="J370" s="236"/>
      <c r="K370" s="282"/>
      <c r="L370" s="371"/>
      <c r="M370" s="193"/>
    </row>
    <row r="371" spans="1:13" x14ac:dyDescent="0.3">
      <c r="A371" s="216"/>
      <c r="B371" s="205"/>
      <c r="C371" s="205"/>
      <c r="D371" s="205"/>
      <c r="E371" s="205"/>
      <c r="F371" s="201"/>
      <c r="H371" s="46"/>
      <c r="I371" s="236"/>
      <c r="J371" s="236"/>
      <c r="K371" s="282"/>
      <c r="L371" s="371"/>
      <c r="M371" s="193"/>
    </row>
    <row r="372" spans="1:13" x14ac:dyDescent="0.3">
      <c r="A372" s="216"/>
      <c r="B372" s="205"/>
      <c r="C372" s="205"/>
      <c r="D372" s="205"/>
      <c r="E372" s="205"/>
      <c r="F372" s="201"/>
      <c r="H372" s="46"/>
      <c r="I372" s="236"/>
      <c r="J372" s="236"/>
      <c r="K372" s="282"/>
      <c r="L372" s="371"/>
      <c r="M372" s="193"/>
    </row>
    <row r="373" spans="1:13" x14ac:dyDescent="0.3">
      <c r="A373" s="216"/>
      <c r="B373" s="205"/>
      <c r="C373" s="205"/>
      <c r="D373" s="205"/>
      <c r="E373" s="205"/>
      <c r="F373" s="201"/>
      <c r="H373" s="46"/>
      <c r="I373" s="236"/>
      <c r="J373" s="236"/>
      <c r="K373" s="282"/>
      <c r="L373" s="371"/>
      <c r="M373" s="193"/>
    </row>
    <row r="374" spans="1:13" x14ac:dyDescent="0.3">
      <c r="A374" s="216"/>
      <c r="B374" s="205"/>
      <c r="C374" s="205"/>
      <c r="D374" s="205"/>
      <c r="E374" s="205"/>
      <c r="F374" s="201"/>
      <c r="H374" s="46"/>
      <c r="I374" s="236"/>
      <c r="J374" s="236"/>
      <c r="K374" s="282"/>
      <c r="L374" s="371"/>
      <c r="M374" s="193"/>
    </row>
    <row r="375" spans="1:13" x14ac:dyDescent="0.3">
      <c r="A375" s="216"/>
      <c r="B375" s="205"/>
      <c r="C375" s="205"/>
      <c r="D375" s="205"/>
      <c r="E375" s="205"/>
      <c r="F375" s="201"/>
      <c r="H375" s="46"/>
      <c r="I375" s="236"/>
      <c r="J375" s="236"/>
      <c r="K375" s="282"/>
      <c r="L375" s="371"/>
      <c r="M375" s="193"/>
    </row>
    <row r="376" spans="1:13" x14ac:dyDescent="0.3">
      <c r="A376" s="216"/>
      <c r="B376" s="205"/>
      <c r="C376" s="205"/>
      <c r="D376" s="205"/>
      <c r="E376" s="205"/>
      <c r="F376" s="201"/>
      <c r="H376" s="46"/>
      <c r="I376" s="236"/>
      <c r="J376" s="236"/>
      <c r="K376" s="282"/>
      <c r="L376" s="371"/>
      <c r="M376" s="193"/>
    </row>
    <row r="377" spans="1:13" x14ac:dyDescent="0.3">
      <c r="A377" s="216"/>
      <c r="B377" s="205"/>
      <c r="C377" s="205"/>
      <c r="D377" s="205"/>
      <c r="E377" s="205"/>
      <c r="F377" s="201"/>
      <c r="H377" s="46"/>
      <c r="I377" s="236"/>
      <c r="J377" s="236"/>
      <c r="K377" s="282"/>
      <c r="L377" s="371"/>
      <c r="M377" s="193"/>
    </row>
    <row r="378" spans="1:13" x14ac:dyDescent="0.3">
      <c r="A378" s="216"/>
      <c r="B378" s="205"/>
      <c r="C378" s="205"/>
      <c r="D378" s="205"/>
      <c r="E378" s="205"/>
      <c r="F378" s="201"/>
      <c r="H378" s="46"/>
      <c r="I378" s="236"/>
      <c r="J378" s="236"/>
      <c r="K378" s="282"/>
      <c r="L378" s="371"/>
      <c r="M378" s="193"/>
    </row>
    <row r="379" spans="1:13" x14ac:dyDescent="0.3">
      <c r="A379" s="216"/>
      <c r="B379" s="205"/>
      <c r="C379" s="205"/>
      <c r="D379" s="205"/>
      <c r="E379" s="205"/>
      <c r="F379" s="201"/>
      <c r="H379" s="46"/>
      <c r="I379" s="236"/>
      <c r="J379" s="236"/>
      <c r="K379" s="282"/>
      <c r="L379" s="371"/>
      <c r="M379" s="193"/>
    </row>
    <row r="380" spans="1:13" x14ac:dyDescent="0.3">
      <c r="A380" s="216"/>
      <c r="B380" s="205"/>
      <c r="C380" s="205"/>
      <c r="D380" s="205"/>
      <c r="E380" s="205"/>
      <c r="F380" s="201"/>
      <c r="H380" s="46"/>
      <c r="I380" s="236"/>
      <c r="J380" s="236"/>
      <c r="K380" s="282"/>
      <c r="L380" s="371"/>
      <c r="M380" s="193"/>
    </row>
    <row r="381" spans="1:13" x14ac:dyDescent="0.3">
      <c r="A381" s="216"/>
      <c r="B381" s="205"/>
      <c r="C381" s="205"/>
      <c r="D381" s="205"/>
      <c r="E381" s="205"/>
      <c r="F381" s="201"/>
      <c r="H381" s="46"/>
      <c r="I381" s="236"/>
      <c r="J381" s="236"/>
      <c r="K381" s="282"/>
      <c r="L381" s="371"/>
      <c r="M381" s="193"/>
    </row>
    <row r="382" spans="1:13" x14ac:dyDescent="0.3">
      <c r="A382" s="216"/>
      <c r="B382" s="205"/>
      <c r="C382" s="205"/>
      <c r="D382" s="205"/>
      <c r="E382" s="205"/>
      <c r="F382" s="201"/>
      <c r="H382" s="46"/>
      <c r="I382" s="236"/>
      <c r="J382" s="236"/>
      <c r="K382" s="282"/>
      <c r="L382" s="371"/>
      <c r="M382" s="193"/>
    </row>
    <row r="383" spans="1:13" x14ac:dyDescent="0.3">
      <c r="A383" s="216"/>
      <c r="B383" s="205"/>
      <c r="C383" s="205"/>
      <c r="D383" s="205"/>
      <c r="E383" s="205"/>
      <c r="F383" s="201"/>
      <c r="H383" s="46"/>
      <c r="I383" s="236"/>
      <c r="J383" s="236"/>
      <c r="K383" s="282"/>
      <c r="L383" s="371"/>
      <c r="M383" s="193"/>
    </row>
    <row r="384" spans="1:13" x14ac:dyDescent="0.3">
      <c r="A384" s="216"/>
      <c r="B384" s="205"/>
      <c r="C384" s="205"/>
      <c r="D384" s="205"/>
      <c r="E384" s="205"/>
      <c r="F384" s="201"/>
      <c r="H384" s="46"/>
      <c r="I384" s="236"/>
      <c r="J384" s="236"/>
      <c r="K384" s="282"/>
      <c r="L384" s="371"/>
      <c r="M384" s="193"/>
    </row>
    <row r="385" spans="1:13" x14ac:dyDescent="0.3">
      <c r="A385" s="216"/>
      <c r="B385" s="205"/>
      <c r="C385" s="205"/>
      <c r="D385" s="205"/>
      <c r="E385" s="205"/>
      <c r="F385" s="201"/>
      <c r="H385" s="46"/>
      <c r="I385" s="236"/>
      <c r="J385" s="236"/>
      <c r="K385" s="282"/>
      <c r="L385" s="371"/>
      <c r="M385" s="193"/>
    </row>
    <row r="386" spans="1:13" x14ac:dyDescent="0.3">
      <c r="A386" s="216"/>
      <c r="B386" s="205"/>
      <c r="C386" s="205"/>
      <c r="D386" s="205"/>
      <c r="E386" s="205"/>
      <c r="F386" s="201"/>
      <c r="H386" s="46"/>
      <c r="I386" s="236"/>
      <c r="J386" s="236"/>
      <c r="K386" s="282"/>
      <c r="L386" s="371"/>
      <c r="M386" s="193"/>
    </row>
    <row r="387" spans="1:13" x14ac:dyDescent="0.3">
      <c r="A387" s="216"/>
      <c r="B387" s="205"/>
      <c r="C387" s="205"/>
      <c r="D387" s="205"/>
      <c r="E387" s="205"/>
      <c r="F387" s="201"/>
      <c r="H387" s="46"/>
      <c r="I387" s="236"/>
      <c r="J387" s="236"/>
      <c r="K387" s="282"/>
      <c r="L387" s="371"/>
      <c r="M387" s="193"/>
    </row>
    <row r="388" spans="1:13" x14ac:dyDescent="0.3">
      <c r="A388" s="216"/>
      <c r="B388" s="205"/>
      <c r="C388" s="205"/>
      <c r="D388" s="205"/>
      <c r="E388" s="205"/>
      <c r="F388" s="201"/>
      <c r="H388" s="46"/>
      <c r="I388" s="236"/>
      <c r="J388" s="236"/>
      <c r="K388" s="282"/>
      <c r="L388" s="371"/>
      <c r="M388" s="193"/>
    </row>
    <row r="389" spans="1:13" x14ac:dyDescent="0.3">
      <c r="A389" s="216"/>
      <c r="B389" s="205"/>
      <c r="C389" s="205"/>
      <c r="D389" s="205"/>
      <c r="E389" s="205"/>
      <c r="F389" s="201"/>
      <c r="H389" s="46"/>
      <c r="I389" s="236"/>
      <c r="J389" s="236"/>
      <c r="K389" s="282"/>
      <c r="L389" s="371"/>
      <c r="M389" s="193"/>
    </row>
    <row r="390" spans="1:13" x14ac:dyDescent="0.3">
      <c r="A390" s="216"/>
      <c r="B390" s="205"/>
      <c r="C390" s="205"/>
      <c r="D390" s="205"/>
      <c r="E390" s="205"/>
      <c r="F390" s="201"/>
      <c r="H390" s="46"/>
      <c r="I390" s="236"/>
      <c r="J390" s="236"/>
      <c r="K390" s="282"/>
      <c r="L390" s="371"/>
      <c r="M390" s="193"/>
    </row>
    <row r="391" spans="1:13" x14ac:dyDescent="0.3">
      <c r="A391" s="216"/>
      <c r="B391" s="205"/>
      <c r="C391" s="205"/>
      <c r="D391" s="205"/>
      <c r="E391" s="205"/>
      <c r="F391" s="201"/>
      <c r="H391" s="46"/>
      <c r="I391" s="236"/>
      <c r="J391" s="236"/>
      <c r="K391" s="282"/>
      <c r="L391" s="371"/>
      <c r="M391" s="193"/>
    </row>
    <row r="392" spans="1:13" x14ac:dyDescent="0.3">
      <c r="A392" s="216"/>
      <c r="B392" s="205"/>
      <c r="C392" s="205"/>
      <c r="D392" s="205"/>
      <c r="E392" s="205"/>
      <c r="F392" s="201"/>
      <c r="H392" s="46"/>
      <c r="I392" s="236"/>
      <c r="J392" s="236"/>
      <c r="K392" s="282"/>
      <c r="L392" s="371"/>
      <c r="M392" s="193"/>
    </row>
    <row r="393" spans="1:13" x14ac:dyDescent="0.3">
      <c r="A393" s="216"/>
      <c r="B393" s="205"/>
      <c r="C393" s="205"/>
      <c r="D393" s="205"/>
      <c r="E393" s="205"/>
      <c r="F393" s="201"/>
      <c r="H393" s="46"/>
      <c r="I393" s="236"/>
      <c r="J393" s="236"/>
      <c r="K393" s="282"/>
      <c r="L393" s="371"/>
      <c r="M393" s="193"/>
    </row>
    <row r="394" spans="1:13" x14ac:dyDescent="0.3">
      <c r="A394" s="216"/>
      <c r="B394" s="205"/>
      <c r="C394" s="205"/>
      <c r="D394" s="205"/>
      <c r="E394" s="205"/>
      <c r="F394" s="201"/>
      <c r="H394" s="46"/>
      <c r="I394" s="236"/>
      <c r="J394" s="236"/>
      <c r="K394" s="282"/>
      <c r="L394" s="371"/>
      <c r="M394" s="193"/>
    </row>
    <row r="395" spans="1:13" x14ac:dyDescent="0.3">
      <c r="A395" s="216"/>
      <c r="B395" s="205"/>
      <c r="C395" s="205"/>
      <c r="D395" s="205"/>
      <c r="E395" s="205"/>
      <c r="F395" s="201"/>
      <c r="H395" s="46"/>
      <c r="I395" s="236"/>
      <c r="J395" s="236"/>
      <c r="K395" s="282"/>
      <c r="L395" s="371"/>
      <c r="M395" s="193"/>
    </row>
    <row r="396" spans="1:13" x14ac:dyDescent="0.3">
      <c r="A396" s="216"/>
      <c r="B396" s="205"/>
      <c r="C396" s="205"/>
      <c r="D396" s="205"/>
      <c r="E396" s="205"/>
      <c r="F396" s="201"/>
      <c r="H396" s="46"/>
      <c r="I396" s="236"/>
      <c r="J396" s="236"/>
      <c r="K396" s="282"/>
      <c r="L396" s="371"/>
      <c r="M396" s="193"/>
    </row>
    <row r="397" spans="1:13" x14ac:dyDescent="0.3">
      <c r="A397" s="216"/>
      <c r="B397" s="205"/>
      <c r="C397" s="205"/>
      <c r="D397" s="205"/>
      <c r="E397" s="205"/>
      <c r="F397" s="201"/>
      <c r="H397" s="46"/>
      <c r="I397" s="236"/>
      <c r="J397" s="236"/>
      <c r="K397" s="282"/>
      <c r="L397" s="371"/>
      <c r="M397" s="193"/>
    </row>
    <row r="398" spans="1:13" x14ac:dyDescent="0.3">
      <c r="A398" s="216"/>
      <c r="B398" s="205"/>
      <c r="C398" s="205"/>
      <c r="D398" s="205"/>
      <c r="E398" s="205"/>
      <c r="F398" s="201"/>
      <c r="H398" s="46"/>
      <c r="I398" s="236"/>
      <c r="J398" s="236"/>
      <c r="K398" s="282"/>
      <c r="L398" s="371"/>
      <c r="M398" s="193"/>
    </row>
    <row r="399" spans="1:13" x14ac:dyDescent="0.3">
      <c r="A399" s="216"/>
      <c r="B399" s="205"/>
      <c r="C399" s="205"/>
      <c r="D399" s="205"/>
      <c r="E399" s="205"/>
      <c r="F399" s="201"/>
      <c r="H399" s="46"/>
      <c r="I399" s="236"/>
      <c r="J399" s="236"/>
      <c r="K399" s="282"/>
      <c r="L399" s="371"/>
      <c r="M399" s="193"/>
    </row>
    <row r="400" spans="1:13" x14ac:dyDescent="0.3">
      <c r="A400" s="216"/>
      <c r="B400" s="205"/>
      <c r="C400" s="205"/>
      <c r="D400" s="205"/>
      <c r="E400" s="205"/>
      <c r="F400" s="201"/>
      <c r="H400" s="46"/>
      <c r="I400" s="236"/>
      <c r="J400" s="236"/>
      <c r="K400" s="282"/>
      <c r="L400" s="371"/>
      <c r="M400" s="193"/>
    </row>
    <row r="401" spans="1:13" x14ac:dyDescent="0.3">
      <c r="A401" s="216"/>
      <c r="B401" s="205"/>
      <c r="C401" s="205"/>
      <c r="D401" s="205"/>
      <c r="E401" s="205"/>
      <c r="F401" s="201"/>
      <c r="H401" s="46"/>
      <c r="I401" s="236"/>
      <c r="J401" s="236"/>
      <c r="K401" s="282"/>
      <c r="L401" s="371"/>
      <c r="M401" s="193"/>
    </row>
    <row r="402" spans="1:13" x14ac:dyDescent="0.3">
      <c r="A402" s="216"/>
      <c r="B402" s="205"/>
      <c r="C402" s="205"/>
      <c r="D402" s="205"/>
      <c r="E402" s="205"/>
      <c r="F402" s="201"/>
      <c r="H402" s="46"/>
      <c r="I402" s="236"/>
      <c r="J402" s="236"/>
      <c r="K402" s="282"/>
      <c r="L402" s="371"/>
      <c r="M402" s="193"/>
    </row>
    <row r="403" spans="1:13" x14ac:dyDescent="0.3">
      <c r="A403" s="216"/>
      <c r="B403" s="205"/>
      <c r="C403" s="205"/>
      <c r="D403" s="205"/>
      <c r="E403" s="205"/>
      <c r="F403" s="201"/>
      <c r="H403" s="46"/>
      <c r="I403" s="236"/>
      <c r="J403" s="236"/>
      <c r="K403" s="282"/>
      <c r="L403" s="371"/>
      <c r="M403" s="193"/>
    </row>
    <row r="404" spans="1:13" x14ac:dyDescent="0.3">
      <c r="A404" s="216"/>
      <c r="B404" s="205"/>
      <c r="C404" s="205"/>
      <c r="D404" s="205"/>
      <c r="E404" s="205"/>
      <c r="F404" s="201"/>
      <c r="H404" s="46"/>
      <c r="I404" s="236"/>
      <c r="J404" s="236"/>
      <c r="K404" s="282"/>
      <c r="L404" s="371"/>
      <c r="M404" s="193"/>
    </row>
    <row r="405" spans="1:13" x14ac:dyDescent="0.3">
      <c r="A405" s="216"/>
      <c r="B405" s="205"/>
      <c r="C405" s="205"/>
      <c r="D405" s="205"/>
      <c r="E405" s="205"/>
      <c r="F405" s="201"/>
      <c r="H405" s="46"/>
      <c r="I405" s="236"/>
      <c r="J405" s="236"/>
      <c r="K405" s="282"/>
      <c r="L405" s="371"/>
      <c r="M405" s="193"/>
    </row>
    <row r="406" spans="1:13" x14ac:dyDescent="0.3">
      <c r="A406" s="216"/>
      <c r="B406" s="205"/>
      <c r="C406" s="205"/>
      <c r="D406" s="205"/>
      <c r="E406" s="205"/>
      <c r="F406" s="201"/>
      <c r="H406" s="46"/>
      <c r="I406" s="236"/>
      <c r="J406" s="236"/>
      <c r="K406" s="282"/>
      <c r="L406" s="371"/>
      <c r="M406" s="193"/>
    </row>
    <row r="407" spans="1:13" x14ac:dyDescent="0.3">
      <c r="A407" s="216"/>
      <c r="B407" s="205"/>
      <c r="C407" s="205"/>
      <c r="D407" s="205"/>
      <c r="E407" s="205"/>
      <c r="F407" s="201"/>
      <c r="H407" s="46"/>
      <c r="I407" s="236"/>
      <c r="J407" s="236"/>
      <c r="K407" s="282"/>
      <c r="L407" s="371"/>
      <c r="M407" s="193"/>
    </row>
    <row r="408" spans="1:13" x14ac:dyDescent="0.3">
      <c r="A408" s="216"/>
      <c r="B408" s="205"/>
      <c r="C408" s="205"/>
      <c r="D408" s="205"/>
      <c r="E408" s="205"/>
      <c r="F408" s="201"/>
      <c r="H408" s="46"/>
      <c r="I408" s="236"/>
      <c r="J408" s="236"/>
      <c r="K408" s="282"/>
      <c r="L408" s="371"/>
      <c r="M408" s="193"/>
    </row>
    <row r="409" spans="1:13" x14ac:dyDescent="0.3">
      <c r="A409" s="216"/>
      <c r="B409" s="205"/>
      <c r="C409" s="205"/>
      <c r="D409" s="205"/>
      <c r="E409" s="205"/>
      <c r="F409" s="201"/>
      <c r="H409" s="46"/>
      <c r="I409" s="236"/>
      <c r="J409" s="236"/>
      <c r="K409" s="282"/>
      <c r="L409" s="236"/>
      <c r="M409" s="193"/>
    </row>
    <row r="410" spans="1:13" x14ac:dyDescent="0.3">
      <c r="A410" s="216"/>
      <c r="B410" s="205"/>
      <c r="C410" s="205"/>
      <c r="D410" s="205"/>
      <c r="E410" s="205"/>
      <c r="F410" s="201"/>
      <c r="H410" s="46"/>
      <c r="I410" s="236"/>
      <c r="J410" s="236"/>
      <c r="K410" s="282"/>
      <c r="L410" s="236"/>
      <c r="M410" s="193"/>
    </row>
    <row r="411" spans="1:13" x14ac:dyDescent="0.3">
      <c r="A411" s="216"/>
      <c r="B411" s="205"/>
      <c r="C411" s="205"/>
      <c r="D411" s="205"/>
      <c r="E411" s="205"/>
      <c r="F411" s="201"/>
      <c r="H411" s="46"/>
      <c r="I411" s="236"/>
      <c r="J411" s="236"/>
      <c r="K411" s="282"/>
      <c r="L411" s="236"/>
      <c r="M411" s="193"/>
    </row>
    <row r="412" spans="1:13" x14ac:dyDescent="0.3">
      <c r="A412" s="216"/>
      <c r="B412" s="205"/>
      <c r="C412" s="205"/>
      <c r="D412" s="205"/>
      <c r="E412" s="205"/>
      <c r="F412" s="201"/>
      <c r="H412" s="46"/>
      <c r="I412" s="236"/>
      <c r="J412" s="236"/>
      <c r="K412" s="282"/>
      <c r="L412" s="236"/>
      <c r="M412" s="193"/>
    </row>
    <row r="413" spans="1:13" x14ac:dyDescent="0.3">
      <c r="A413" s="216"/>
      <c r="B413" s="205"/>
      <c r="C413" s="205"/>
      <c r="D413" s="205"/>
      <c r="E413" s="205"/>
      <c r="F413" s="201"/>
      <c r="H413" s="46"/>
      <c r="I413" s="236"/>
      <c r="J413" s="236"/>
      <c r="K413" s="282"/>
      <c r="L413" s="236"/>
      <c r="M413" s="193"/>
    </row>
    <row r="414" spans="1:13" x14ac:dyDescent="0.3">
      <c r="A414" s="216"/>
      <c r="B414" s="205"/>
      <c r="C414" s="205"/>
      <c r="D414" s="205"/>
      <c r="E414" s="205"/>
      <c r="F414" s="201"/>
      <c r="H414" s="46"/>
      <c r="I414" s="236"/>
      <c r="J414" s="236"/>
      <c r="K414" s="282"/>
      <c r="L414" s="236"/>
      <c r="M414" s="193"/>
    </row>
    <row r="415" spans="1:13" x14ac:dyDescent="0.3">
      <c r="A415" s="216"/>
      <c r="B415" s="205"/>
      <c r="C415" s="205"/>
      <c r="D415" s="205"/>
      <c r="E415" s="205"/>
      <c r="F415" s="201"/>
      <c r="H415" s="46"/>
      <c r="I415" s="236"/>
      <c r="J415" s="236"/>
      <c r="K415" s="282"/>
      <c r="L415" s="236"/>
      <c r="M415" s="193"/>
    </row>
    <row r="416" spans="1:13" x14ac:dyDescent="0.3">
      <c r="A416" s="216"/>
      <c r="B416" s="205"/>
      <c r="C416" s="205"/>
      <c r="D416" s="205"/>
      <c r="E416" s="205"/>
      <c r="F416" s="201"/>
      <c r="H416" s="46"/>
      <c r="I416" s="236"/>
      <c r="J416" s="236"/>
      <c r="K416" s="282"/>
      <c r="L416" s="236"/>
      <c r="M416" s="193"/>
    </row>
    <row r="417" spans="1:13" x14ac:dyDescent="0.3">
      <c r="A417" s="216"/>
      <c r="B417" s="205"/>
      <c r="C417" s="205"/>
      <c r="D417" s="205"/>
      <c r="E417" s="205"/>
      <c r="F417" s="201"/>
      <c r="H417" s="46"/>
      <c r="I417" s="236"/>
      <c r="J417" s="236"/>
      <c r="K417" s="282"/>
      <c r="L417" s="236"/>
      <c r="M417" s="193"/>
    </row>
    <row r="418" spans="1:13" x14ac:dyDescent="0.3">
      <c r="A418" s="216"/>
      <c r="B418" s="205"/>
      <c r="C418" s="205"/>
      <c r="D418" s="205"/>
      <c r="E418" s="205"/>
      <c r="F418" s="201"/>
      <c r="H418" s="46"/>
      <c r="I418" s="236"/>
      <c r="J418" s="236"/>
      <c r="K418" s="282"/>
      <c r="L418" s="236"/>
      <c r="M418" s="193"/>
    </row>
    <row r="419" spans="1:13" x14ac:dyDescent="0.3">
      <c r="A419" s="216"/>
      <c r="B419" s="205"/>
      <c r="C419" s="205"/>
      <c r="D419" s="205"/>
      <c r="E419" s="205"/>
      <c r="F419" s="201"/>
      <c r="H419" s="46"/>
      <c r="I419" s="236"/>
      <c r="J419" s="236"/>
      <c r="K419" s="282"/>
      <c r="L419" s="236"/>
      <c r="M419" s="193"/>
    </row>
    <row r="420" spans="1:13" x14ac:dyDescent="0.3">
      <c r="A420" s="216"/>
      <c r="B420" s="205"/>
      <c r="C420" s="205"/>
      <c r="D420" s="205"/>
      <c r="E420" s="205"/>
      <c r="F420" s="201"/>
      <c r="H420" s="46"/>
      <c r="I420" s="236"/>
      <c r="J420" s="236"/>
      <c r="K420" s="282"/>
      <c r="L420" s="236"/>
      <c r="M420" s="193"/>
    </row>
    <row r="421" spans="1:13" x14ac:dyDescent="0.3">
      <c r="A421" s="216"/>
      <c r="B421" s="205"/>
      <c r="C421" s="205"/>
      <c r="D421" s="205"/>
      <c r="E421" s="205"/>
      <c r="F421" s="201"/>
      <c r="H421" s="46"/>
      <c r="I421" s="236"/>
      <c r="J421" s="236"/>
      <c r="K421" s="282"/>
      <c r="L421" s="236"/>
      <c r="M421" s="193"/>
    </row>
    <row r="422" spans="1:13" x14ac:dyDescent="0.3">
      <c r="A422" s="216"/>
      <c r="B422" s="205"/>
      <c r="C422" s="205"/>
      <c r="D422" s="205"/>
      <c r="E422" s="205"/>
      <c r="F422" s="201"/>
      <c r="H422" s="46"/>
      <c r="I422" s="236"/>
      <c r="J422" s="236"/>
      <c r="K422" s="282"/>
      <c r="L422" s="236"/>
      <c r="M422" s="193"/>
    </row>
    <row r="423" spans="1:13" x14ac:dyDescent="0.3">
      <c r="A423" s="216"/>
      <c r="B423" s="205"/>
      <c r="C423" s="205"/>
      <c r="D423" s="205"/>
      <c r="E423" s="205"/>
      <c r="F423" s="201"/>
      <c r="H423" s="46"/>
      <c r="I423" s="236"/>
      <c r="J423" s="236"/>
      <c r="K423" s="282"/>
      <c r="L423" s="236"/>
      <c r="M423" s="193"/>
    </row>
    <row r="424" spans="1:13" x14ac:dyDescent="0.3">
      <c r="A424" s="216"/>
      <c r="B424" s="205"/>
      <c r="C424" s="205"/>
      <c r="D424" s="205"/>
      <c r="E424" s="205"/>
      <c r="F424" s="201"/>
      <c r="H424" s="46"/>
      <c r="I424" s="236"/>
      <c r="J424" s="236"/>
      <c r="K424" s="282"/>
      <c r="L424" s="236"/>
      <c r="M424" s="193"/>
    </row>
    <row r="425" spans="1:13" x14ac:dyDescent="0.3">
      <c r="A425" s="216"/>
      <c r="B425" s="205"/>
      <c r="C425" s="205"/>
      <c r="D425" s="205"/>
      <c r="E425" s="205"/>
      <c r="F425" s="201"/>
      <c r="H425" s="46"/>
      <c r="I425" s="236"/>
      <c r="J425" s="236"/>
      <c r="K425" s="324"/>
      <c r="L425" s="236"/>
      <c r="M425" s="193"/>
    </row>
    <row r="426" spans="1:13" x14ac:dyDescent="0.3">
      <c r="A426" s="216"/>
      <c r="B426" s="205"/>
      <c r="C426" s="205"/>
      <c r="D426" s="205"/>
      <c r="E426" s="205"/>
      <c r="F426" s="201"/>
      <c r="H426" s="46"/>
      <c r="I426" s="236"/>
      <c r="J426" s="236"/>
      <c r="K426" s="193"/>
      <c r="L426" s="236"/>
      <c r="M426" s="193"/>
    </row>
    <row r="427" spans="1:13" x14ac:dyDescent="0.3">
      <c r="A427" s="216"/>
      <c r="B427" s="205"/>
      <c r="C427" s="205"/>
      <c r="D427" s="205"/>
      <c r="E427" s="205"/>
      <c r="F427" s="201"/>
      <c r="H427" s="46"/>
      <c r="I427" s="236"/>
      <c r="J427" s="236"/>
      <c r="K427" s="193"/>
      <c r="L427" s="236"/>
      <c r="M427" s="193"/>
    </row>
    <row r="428" spans="1:13" x14ac:dyDescent="0.3">
      <c r="A428" s="216"/>
      <c r="B428" s="205"/>
      <c r="C428" s="205"/>
      <c r="D428" s="205"/>
      <c r="E428" s="205"/>
      <c r="F428" s="201"/>
      <c r="H428" s="46"/>
      <c r="I428" s="236"/>
      <c r="J428" s="236"/>
      <c r="K428" s="193"/>
      <c r="L428" s="236"/>
      <c r="M428" s="193"/>
    </row>
    <row r="429" spans="1:13" x14ac:dyDescent="0.3">
      <c r="A429" s="216"/>
      <c r="B429" s="205"/>
      <c r="C429" s="205"/>
      <c r="D429" s="205"/>
      <c r="E429" s="205"/>
      <c r="F429" s="201"/>
      <c r="H429" s="46"/>
      <c r="I429" s="236"/>
      <c r="J429" s="236"/>
      <c r="K429" s="193"/>
      <c r="L429" s="236"/>
      <c r="M429" s="193"/>
    </row>
    <row r="430" spans="1:13" x14ac:dyDescent="0.3">
      <c r="A430" s="216"/>
      <c r="B430" s="205"/>
      <c r="C430" s="205"/>
      <c r="D430" s="205"/>
      <c r="E430" s="205"/>
      <c r="F430" s="201"/>
      <c r="H430" s="46"/>
      <c r="I430" s="236"/>
      <c r="J430" s="236"/>
      <c r="K430" s="193"/>
      <c r="L430" s="236"/>
      <c r="M430" s="193"/>
    </row>
    <row r="431" spans="1:13" x14ac:dyDescent="0.3">
      <c r="A431" s="216"/>
      <c r="B431" s="205"/>
      <c r="C431" s="205"/>
      <c r="D431" s="205"/>
      <c r="E431" s="205"/>
      <c r="F431" s="201"/>
      <c r="H431" s="46"/>
      <c r="I431" s="236"/>
      <c r="J431" s="236"/>
      <c r="K431" s="193"/>
      <c r="L431" s="236"/>
      <c r="M431" s="193"/>
    </row>
    <row r="432" spans="1:13" x14ac:dyDescent="0.3">
      <c r="A432" s="216"/>
      <c r="B432" s="205"/>
      <c r="C432" s="205"/>
      <c r="D432" s="205"/>
      <c r="E432" s="205"/>
      <c r="F432" s="201"/>
      <c r="H432" s="46"/>
      <c r="I432" s="236"/>
      <c r="J432" s="236"/>
      <c r="K432" s="193"/>
      <c r="L432" s="236"/>
      <c r="M432" s="193"/>
    </row>
    <row r="433" spans="1:13" x14ac:dyDescent="0.3">
      <c r="A433" s="216"/>
      <c r="B433" s="205"/>
      <c r="C433" s="205"/>
      <c r="D433" s="205"/>
      <c r="E433" s="205"/>
      <c r="F433" s="201"/>
      <c r="H433" s="46"/>
      <c r="I433" s="236"/>
      <c r="J433" s="236"/>
      <c r="K433" s="193"/>
      <c r="L433" s="236"/>
      <c r="M433" s="193"/>
    </row>
    <row r="434" spans="1:13" x14ac:dyDescent="0.3">
      <c r="A434" s="216"/>
      <c r="B434" s="205"/>
      <c r="C434" s="205"/>
      <c r="D434" s="205"/>
      <c r="E434" s="205"/>
      <c r="F434" s="201"/>
      <c r="H434" s="46"/>
      <c r="I434" s="236"/>
      <c r="J434" s="236"/>
      <c r="K434" s="193"/>
      <c r="L434" s="236"/>
      <c r="M434" s="193"/>
    </row>
    <row r="435" spans="1:13" x14ac:dyDescent="0.3">
      <c r="A435" s="216"/>
      <c r="B435" s="205"/>
      <c r="C435" s="205"/>
      <c r="D435" s="205"/>
      <c r="E435" s="205"/>
      <c r="F435" s="201"/>
      <c r="H435" s="46"/>
      <c r="I435" s="236"/>
      <c r="J435" s="236"/>
      <c r="K435" s="193"/>
      <c r="L435" s="236"/>
      <c r="M435" s="193"/>
    </row>
    <row r="436" spans="1:13" x14ac:dyDescent="0.3">
      <c r="A436" s="216"/>
      <c r="B436" s="205"/>
      <c r="C436" s="205"/>
      <c r="D436" s="205"/>
      <c r="E436" s="205"/>
      <c r="F436" s="201"/>
      <c r="H436" s="46"/>
      <c r="I436" s="236"/>
      <c r="J436" s="236"/>
      <c r="K436" s="193"/>
      <c r="L436" s="236"/>
      <c r="M436" s="193"/>
    </row>
    <row r="437" spans="1:13" x14ac:dyDescent="0.3">
      <c r="A437" s="216"/>
      <c r="B437" s="205"/>
      <c r="C437" s="205"/>
      <c r="D437" s="205"/>
      <c r="E437" s="205"/>
      <c r="F437" s="201"/>
      <c r="H437" s="46"/>
      <c r="I437" s="236"/>
      <c r="J437" s="236"/>
      <c r="K437" s="193"/>
      <c r="L437" s="236"/>
      <c r="M437" s="193"/>
    </row>
    <row r="438" spans="1:13" x14ac:dyDescent="0.3">
      <c r="A438" s="216"/>
      <c r="B438" s="205"/>
      <c r="C438" s="205"/>
      <c r="D438" s="205"/>
      <c r="E438" s="205"/>
      <c r="F438" s="201"/>
      <c r="H438" s="46"/>
      <c r="I438" s="236"/>
      <c r="J438" s="236"/>
      <c r="K438" s="193"/>
      <c r="L438" s="236"/>
      <c r="M438" s="193"/>
    </row>
    <row r="439" spans="1:13" x14ac:dyDescent="0.3">
      <c r="A439" s="216"/>
      <c r="B439" s="205"/>
      <c r="C439" s="205"/>
      <c r="D439" s="205"/>
      <c r="E439" s="205"/>
      <c r="F439" s="201"/>
      <c r="H439" s="46"/>
      <c r="I439" s="236"/>
      <c r="J439" s="236"/>
      <c r="K439" s="193"/>
      <c r="L439" s="236"/>
      <c r="M439" s="193"/>
    </row>
    <row r="440" spans="1:13" x14ac:dyDescent="0.3">
      <c r="A440" s="216"/>
      <c r="B440" s="205"/>
      <c r="C440" s="205"/>
      <c r="D440" s="205"/>
      <c r="E440" s="205"/>
      <c r="F440" s="201"/>
      <c r="H440" s="46"/>
      <c r="I440" s="236"/>
      <c r="J440" s="236"/>
      <c r="K440" s="193"/>
      <c r="L440" s="236"/>
      <c r="M440" s="193"/>
    </row>
    <row r="441" spans="1:13" x14ac:dyDescent="0.3">
      <c r="A441" s="216"/>
      <c r="B441" s="205"/>
      <c r="C441" s="205"/>
      <c r="D441" s="205"/>
      <c r="E441" s="205"/>
      <c r="F441" s="201"/>
      <c r="H441" s="46"/>
      <c r="I441" s="236"/>
      <c r="J441" s="236"/>
      <c r="K441" s="193"/>
      <c r="L441" s="236"/>
      <c r="M441" s="193"/>
    </row>
    <row r="442" spans="1:13" x14ac:dyDescent="0.3">
      <c r="A442" s="216"/>
      <c r="B442" s="205"/>
      <c r="C442" s="205"/>
      <c r="D442" s="205"/>
      <c r="E442" s="205"/>
      <c r="F442" s="201"/>
      <c r="H442" s="46"/>
      <c r="I442" s="236"/>
      <c r="J442" s="236"/>
      <c r="K442" s="193"/>
      <c r="L442" s="236"/>
      <c r="M442" s="193"/>
    </row>
    <row r="443" spans="1:13" x14ac:dyDescent="0.3">
      <c r="A443" s="216"/>
      <c r="B443" s="205"/>
      <c r="C443" s="205"/>
      <c r="D443" s="205"/>
      <c r="E443" s="205"/>
      <c r="F443" s="201"/>
      <c r="H443" s="46"/>
      <c r="I443" s="236"/>
      <c r="J443" s="236"/>
      <c r="K443" s="193"/>
      <c r="L443" s="236"/>
      <c r="M443" s="193"/>
    </row>
    <row r="444" spans="1:13" x14ac:dyDescent="0.3">
      <c r="A444" s="216"/>
      <c r="B444" s="205"/>
      <c r="C444" s="205"/>
      <c r="D444" s="205"/>
      <c r="E444" s="205"/>
      <c r="F444" s="201"/>
      <c r="H444" s="46"/>
      <c r="I444" s="236"/>
      <c r="J444" s="236"/>
      <c r="K444" s="193"/>
      <c r="L444" s="236"/>
      <c r="M444" s="193"/>
    </row>
    <row r="445" spans="1:13" x14ac:dyDescent="0.3">
      <c r="A445" s="216"/>
      <c r="B445" s="205"/>
      <c r="C445" s="205"/>
      <c r="D445" s="205"/>
      <c r="E445" s="205"/>
      <c r="F445" s="201"/>
      <c r="H445" s="46"/>
      <c r="I445" s="236"/>
      <c r="J445" s="236"/>
      <c r="K445" s="193"/>
      <c r="L445" s="236"/>
      <c r="M445" s="193"/>
    </row>
    <row r="446" spans="1:13" x14ac:dyDescent="0.3">
      <c r="A446" s="216"/>
      <c r="B446" s="205"/>
      <c r="C446" s="205"/>
      <c r="D446" s="205"/>
      <c r="E446" s="205"/>
      <c r="F446" s="201"/>
      <c r="H446" s="46"/>
      <c r="I446" s="236"/>
      <c r="J446" s="236"/>
      <c r="K446" s="193"/>
      <c r="L446" s="236"/>
      <c r="M446" s="193"/>
    </row>
    <row r="447" spans="1:13" x14ac:dyDescent="0.3">
      <c r="A447" s="216"/>
      <c r="B447" s="205"/>
      <c r="C447" s="205"/>
      <c r="D447" s="205"/>
      <c r="E447" s="205"/>
      <c r="F447" s="201"/>
      <c r="H447" s="46"/>
      <c r="I447" s="236"/>
      <c r="J447" s="236"/>
      <c r="K447" s="193"/>
      <c r="L447" s="236"/>
      <c r="M447" s="193"/>
    </row>
    <row r="448" spans="1:13" x14ac:dyDescent="0.3">
      <c r="A448" s="216"/>
      <c r="B448" s="205"/>
      <c r="C448" s="205"/>
      <c r="D448" s="205"/>
      <c r="E448" s="205"/>
      <c r="F448" s="201"/>
      <c r="H448" s="46"/>
      <c r="I448" s="236"/>
      <c r="J448" s="236"/>
      <c r="K448" s="193"/>
      <c r="L448" s="236"/>
      <c r="M448" s="193"/>
    </row>
    <row r="449" spans="1:13" x14ac:dyDescent="0.3">
      <c r="A449" s="216"/>
      <c r="B449" s="205"/>
      <c r="C449" s="205"/>
      <c r="D449" s="205"/>
      <c r="E449" s="205"/>
      <c r="F449" s="201"/>
      <c r="H449" s="46"/>
      <c r="I449" s="236"/>
      <c r="J449" s="236"/>
      <c r="K449" s="193"/>
      <c r="L449" s="236"/>
      <c r="M449" s="193"/>
    </row>
    <row r="450" spans="1:13" x14ac:dyDescent="0.3">
      <c r="A450" s="216"/>
      <c r="B450" s="205"/>
      <c r="C450" s="205"/>
      <c r="D450" s="205"/>
      <c r="E450" s="205"/>
      <c r="F450" s="201"/>
      <c r="H450" s="46"/>
      <c r="I450" s="236"/>
      <c r="J450" s="236"/>
      <c r="K450" s="193"/>
      <c r="L450" s="236"/>
      <c r="M450" s="193"/>
    </row>
    <row r="451" spans="1:13" x14ac:dyDescent="0.3">
      <c r="A451" s="216"/>
      <c r="B451" s="205"/>
      <c r="C451" s="205"/>
      <c r="D451" s="205"/>
      <c r="E451" s="205"/>
      <c r="F451" s="201"/>
      <c r="H451" s="46"/>
      <c r="I451" s="236"/>
      <c r="J451" s="236"/>
      <c r="K451" s="193"/>
      <c r="L451" s="236"/>
      <c r="M451" s="193"/>
    </row>
    <row r="452" spans="1:13" x14ac:dyDescent="0.3">
      <c r="A452" s="216"/>
      <c r="B452" s="205"/>
      <c r="C452" s="205"/>
      <c r="D452" s="205"/>
      <c r="E452" s="205"/>
      <c r="F452" s="201"/>
      <c r="H452" s="46"/>
      <c r="I452" s="236"/>
      <c r="J452" s="236"/>
      <c r="K452" s="193"/>
      <c r="L452" s="236"/>
      <c r="M452" s="193"/>
    </row>
    <row r="453" spans="1:13" x14ac:dyDescent="0.3">
      <c r="A453" s="216"/>
      <c r="B453" s="205"/>
      <c r="C453" s="205"/>
      <c r="D453" s="205"/>
      <c r="E453" s="205"/>
      <c r="F453" s="201"/>
      <c r="H453" s="46"/>
      <c r="I453" s="236"/>
      <c r="J453" s="236"/>
      <c r="K453" s="193"/>
      <c r="L453" s="236"/>
      <c r="M453" s="193"/>
    </row>
    <row r="454" spans="1:13" x14ac:dyDescent="0.3">
      <c r="A454" s="216"/>
      <c r="B454" s="205"/>
      <c r="C454" s="205"/>
      <c r="D454" s="205"/>
      <c r="E454" s="205"/>
      <c r="F454" s="201"/>
      <c r="H454" s="46"/>
      <c r="I454" s="236"/>
      <c r="J454" s="236"/>
      <c r="K454" s="193"/>
      <c r="L454" s="236"/>
      <c r="M454" s="193"/>
    </row>
    <row r="455" spans="1:13" x14ac:dyDescent="0.3">
      <c r="A455" s="216"/>
      <c r="B455" s="205"/>
      <c r="C455" s="205"/>
      <c r="D455" s="205"/>
      <c r="E455" s="205"/>
      <c r="F455" s="201"/>
      <c r="H455" s="46"/>
      <c r="I455" s="236"/>
      <c r="J455" s="236"/>
      <c r="K455" s="193"/>
      <c r="L455" s="236"/>
      <c r="M455" s="193"/>
    </row>
    <row r="456" spans="1:13" x14ac:dyDescent="0.3">
      <c r="A456" s="216"/>
      <c r="B456" s="205"/>
      <c r="C456" s="205"/>
      <c r="D456" s="205"/>
      <c r="E456" s="205"/>
      <c r="F456" s="201"/>
      <c r="H456" s="46"/>
      <c r="I456" s="236"/>
      <c r="J456" s="236"/>
      <c r="K456" s="193"/>
      <c r="L456" s="236"/>
      <c r="M456" s="193"/>
    </row>
    <row r="457" spans="1:13" x14ac:dyDescent="0.3">
      <c r="A457" s="216"/>
      <c r="B457" s="205"/>
      <c r="C457" s="205"/>
      <c r="D457" s="205"/>
      <c r="E457" s="205"/>
      <c r="F457" s="201"/>
      <c r="H457" s="46"/>
      <c r="I457" s="236"/>
      <c r="J457" s="236"/>
      <c r="K457" s="193"/>
      <c r="L457" s="236"/>
      <c r="M457" s="193"/>
    </row>
    <row r="458" spans="1:13" x14ac:dyDescent="0.3">
      <c r="A458" s="216"/>
      <c r="B458" s="205"/>
      <c r="C458" s="205"/>
      <c r="D458" s="205"/>
      <c r="E458" s="205"/>
      <c r="F458" s="201"/>
      <c r="H458" s="46"/>
      <c r="I458" s="236"/>
      <c r="J458" s="236"/>
      <c r="K458" s="193"/>
      <c r="L458" s="236"/>
      <c r="M458" s="193"/>
    </row>
    <row r="459" spans="1:13" x14ac:dyDescent="0.3">
      <c r="A459" s="216"/>
      <c r="B459" s="205"/>
      <c r="C459" s="205"/>
      <c r="D459" s="205"/>
      <c r="E459" s="205"/>
      <c r="F459" s="201"/>
      <c r="H459" s="46"/>
      <c r="I459" s="236"/>
      <c r="J459" s="236"/>
      <c r="K459" s="193"/>
      <c r="L459" s="236"/>
      <c r="M459" s="193"/>
    </row>
    <row r="460" spans="1:13" x14ac:dyDescent="0.3">
      <c r="A460" s="216"/>
      <c r="B460" s="205"/>
      <c r="C460" s="205"/>
      <c r="D460" s="205"/>
      <c r="E460" s="205"/>
      <c r="F460" s="201"/>
      <c r="H460" s="46"/>
      <c r="I460" s="236"/>
      <c r="J460" s="236"/>
      <c r="K460" s="193"/>
      <c r="L460" s="236"/>
      <c r="M460" s="193"/>
    </row>
    <row r="461" spans="1:13" x14ac:dyDescent="0.3">
      <c r="A461" s="216"/>
      <c r="B461" s="205"/>
      <c r="C461" s="205"/>
      <c r="D461" s="205"/>
      <c r="E461" s="205"/>
      <c r="F461" s="201"/>
      <c r="H461" s="46"/>
      <c r="I461" s="236"/>
      <c r="J461" s="236"/>
      <c r="K461" s="193"/>
      <c r="L461" s="236"/>
      <c r="M461" s="193"/>
    </row>
    <row r="462" spans="1:13" x14ac:dyDescent="0.3">
      <c r="A462" s="216"/>
      <c r="B462" s="205"/>
      <c r="C462" s="205"/>
      <c r="D462" s="205"/>
      <c r="E462" s="205"/>
      <c r="F462" s="201"/>
      <c r="H462" s="46"/>
      <c r="I462" s="236"/>
      <c r="J462" s="236"/>
      <c r="K462" s="193"/>
      <c r="L462" s="236"/>
      <c r="M462" s="193"/>
    </row>
    <row r="463" spans="1:13" x14ac:dyDescent="0.3">
      <c r="A463" s="216"/>
      <c r="B463" s="205"/>
      <c r="C463" s="205"/>
      <c r="D463" s="205"/>
      <c r="E463" s="205"/>
      <c r="F463" s="201"/>
      <c r="H463" s="46"/>
      <c r="I463" s="236"/>
      <c r="J463" s="236"/>
      <c r="K463" s="193"/>
      <c r="L463" s="236"/>
      <c r="M463" s="193"/>
    </row>
    <row r="464" spans="1:13" x14ac:dyDescent="0.3">
      <c r="A464" s="216"/>
      <c r="B464" s="205"/>
      <c r="C464" s="205"/>
      <c r="D464" s="205"/>
      <c r="E464" s="205"/>
      <c r="F464" s="201"/>
      <c r="H464" s="46"/>
      <c r="I464" s="236"/>
      <c r="J464" s="236"/>
      <c r="K464" s="193"/>
      <c r="L464" s="236"/>
      <c r="M464" s="193"/>
    </row>
    <row r="465" spans="1:13" x14ac:dyDescent="0.3">
      <c r="A465" s="216"/>
      <c r="B465" s="205"/>
      <c r="C465" s="205"/>
      <c r="D465" s="205"/>
      <c r="E465" s="205"/>
      <c r="F465" s="201"/>
      <c r="H465" s="46"/>
      <c r="I465" s="236"/>
      <c r="J465" s="236"/>
      <c r="K465" s="193"/>
      <c r="L465" s="236"/>
      <c r="M465" s="193"/>
    </row>
    <row r="466" spans="1:13" x14ac:dyDescent="0.3">
      <c r="A466" s="216"/>
      <c r="B466" s="205"/>
      <c r="C466" s="205"/>
      <c r="D466" s="205"/>
      <c r="E466" s="205"/>
      <c r="F466" s="201"/>
      <c r="H466" s="46"/>
      <c r="I466" s="236"/>
      <c r="J466" s="236"/>
      <c r="K466" s="193"/>
      <c r="L466" s="236"/>
      <c r="M466" s="193"/>
    </row>
    <row r="467" spans="1:13" x14ac:dyDescent="0.3">
      <c r="A467" s="216"/>
      <c r="B467" s="205"/>
      <c r="C467" s="205"/>
      <c r="D467" s="205"/>
      <c r="E467" s="205"/>
      <c r="F467" s="201"/>
      <c r="H467" s="46"/>
      <c r="I467" s="236"/>
      <c r="J467" s="236"/>
      <c r="K467" s="193"/>
      <c r="L467" s="236"/>
      <c r="M467" s="193"/>
    </row>
    <row r="468" spans="1:13" x14ac:dyDescent="0.3">
      <c r="A468" s="216"/>
      <c r="B468" s="205"/>
      <c r="C468" s="205"/>
      <c r="D468" s="205"/>
      <c r="E468" s="205"/>
      <c r="F468" s="201"/>
      <c r="H468" s="46"/>
      <c r="I468" s="236"/>
      <c r="J468" s="236"/>
      <c r="K468" s="193"/>
      <c r="L468" s="236"/>
      <c r="M468" s="193"/>
    </row>
    <row r="469" spans="1:13" x14ac:dyDescent="0.3">
      <c r="A469" s="216"/>
      <c r="B469" s="205"/>
      <c r="C469" s="205"/>
      <c r="D469" s="205"/>
      <c r="E469" s="205"/>
      <c r="F469" s="201"/>
      <c r="H469" s="46"/>
      <c r="I469" s="236"/>
      <c r="J469" s="236"/>
      <c r="K469" s="193"/>
      <c r="L469" s="236"/>
      <c r="M469" s="193"/>
    </row>
    <row r="470" spans="1:13" x14ac:dyDescent="0.3">
      <c r="A470" s="216"/>
      <c r="B470" s="205"/>
      <c r="C470" s="205"/>
      <c r="D470" s="205"/>
      <c r="E470" s="205"/>
      <c r="F470" s="201"/>
      <c r="H470" s="46"/>
      <c r="I470" s="236"/>
      <c r="J470" s="236"/>
      <c r="K470" s="193"/>
      <c r="L470" s="236"/>
      <c r="M470" s="193"/>
    </row>
    <row r="471" spans="1:13" x14ac:dyDescent="0.3">
      <c r="A471" s="216"/>
      <c r="B471" s="205"/>
      <c r="C471" s="205"/>
      <c r="D471" s="205"/>
      <c r="E471" s="205"/>
      <c r="F471" s="201"/>
      <c r="H471" s="46"/>
      <c r="I471" s="236"/>
      <c r="J471" s="236"/>
      <c r="K471" s="193"/>
      <c r="L471" s="236"/>
      <c r="M471" s="193"/>
    </row>
    <row r="472" spans="1:13" x14ac:dyDescent="0.3">
      <c r="A472" s="216"/>
      <c r="B472" s="205"/>
      <c r="C472" s="205"/>
      <c r="D472" s="205"/>
      <c r="E472" s="205"/>
      <c r="F472" s="201"/>
      <c r="H472" s="46"/>
      <c r="I472" s="236"/>
      <c r="J472" s="236"/>
      <c r="K472" s="193"/>
      <c r="L472" s="236"/>
      <c r="M472" s="193"/>
    </row>
    <row r="473" spans="1:13" x14ac:dyDescent="0.3">
      <c r="A473" s="216"/>
      <c r="B473" s="205"/>
      <c r="C473" s="205"/>
      <c r="D473" s="205"/>
      <c r="E473" s="205"/>
      <c r="F473" s="201"/>
      <c r="H473" s="46"/>
      <c r="I473" s="236"/>
      <c r="J473" s="236"/>
      <c r="K473" s="193"/>
      <c r="L473" s="236"/>
      <c r="M473" s="193"/>
    </row>
    <row r="474" spans="1:13" x14ac:dyDescent="0.3">
      <c r="A474" s="216"/>
      <c r="B474" s="205"/>
      <c r="C474" s="205"/>
      <c r="D474" s="205"/>
      <c r="E474" s="205"/>
      <c r="F474" s="201"/>
      <c r="H474" s="46"/>
      <c r="I474" s="236"/>
      <c r="J474" s="236"/>
      <c r="K474" s="193"/>
      <c r="L474" s="236"/>
      <c r="M474" s="193"/>
    </row>
    <row r="475" spans="1:13" x14ac:dyDescent="0.3">
      <c r="A475" s="216"/>
      <c r="B475" s="205"/>
      <c r="C475" s="205"/>
      <c r="D475" s="205"/>
      <c r="E475" s="205"/>
      <c r="F475" s="201"/>
      <c r="H475" s="46"/>
      <c r="I475" s="236"/>
      <c r="J475" s="236"/>
      <c r="K475" s="193"/>
      <c r="L475" s="236"/>
      <c r="M475" s="193"/>
    </row>
    <row r="476" spans="1:13" x14ac:dyDescent="0.3">
      <c r="A476" s="216"/>
      <c r="B476" s="205"/>
      <c r="C476" s="205"/>
      <c r="D476" s="205"/>
      <c r="E476" s="205"/>
      <c r="F476" s="201"/>
      <c r="H476" s="46"/>
      <c r="I476" s="236"/>
      <c r="J476" s="236"/>
      <c r="K476" s="193"/>
      <c r="L476" s="236"/>
      <c r="M476" s="193"/>
    </row>
    <row r="477" spans="1:13" x14ac:dyDescent="0.3">
      <c r="A477" s="216"/>
      <c r="B477" s="205"/>
      <c r="C477" s="205"/>
      <c r="D477" s="205"/>
      <c r="E477" s="205"/>
      <c r="F477" s="201"/>
      <c r="H477" s="46"/>
      <c r="I477" s="236"/>
      <c r="J477" s="236"/>
      <c r="K477" s="193"/>
      <c r="L477" s="236"/>
      <c r="M477" s="193"/>
    </row>
    <row r="478" spans="1:13" x14ac:dyDescent="0.3">
      <c r="A478" s="216"/>
      <c r="B478" s="205"/>
      <c r="C478" s="205"/>
      <c r="D478" s="205"/>
      <c r="E478" s="205"/>
      <c r="F478" s="201"/>
      <c r="H478" s="46"/>
      <c r="I478" s="236"/>
      <c r="J478" s="236"/>
      <c r="K478" s="193"/>
      <c r="L478" s="236"/>
      <c r="M478" s="193"/>
    </row>
    <row r="479" spans="1:13" x14ac:dyDescent="0.3">
      <c r="A479" s="216"/>
      <c r="B479" s="205"/>
      <c r="C479" s="205"/>
      <c r="D479" s="205"/>
      <c r="E479" s="205"/>
      <c r="F479" s="201"/>
      <c r="H479" s="46"/>
      <c r="I479" s="236"/>
      <c r="J479" s="236"/>
      <c r="K479" s="193"/>
      <c r="L479" s="236"/>
      <c r="M479" s="193"/>
    </row>
    <row r="480" spans="1:13" x14ac:dyDescent="0.3">
      <c r="A480" s="216"/>
      <c r="B480" s="205"/>
      <c r="C480" s="205"/>
      <c r="D480" s="205"/>
      <c r="E480" s="205"/>
      <c r="F480" s="201"/>
      <c r="H480" s="46"/>
      <c r="I480" s="236"/>
      <c r="J480" s="236"/>
      <c r="K480" s="193"/>
      <c r="L480" s="236"/>
      <c r="M480" s="193"/>
    </row>
    <row r="481" spans="1:13" x14ac:dyDescent="0.3">
      <c r="A481" s="216"/>
      <c r="B481" s="205"/>
      <c r="C481" s="205"/>
      <c r="D481" s="205"/>
      <c r="E481" s="205"/>
      <c r="F481" s="201"/>
      <c r="H481" s="46"/>
      <c r="I481" s="236"/>
      <c r="J481" s="236"/>
      <c r="K481" s="193"/>
      <c r="L481" s="236"/>
      <c r="M481" s="193"/>
    </row>
    <row r="482" spans="1:13" x14ac:dyDescent="0.3">
      <c r="A482" s="216"/>
      <c r="B482" s="205"/>
      <c r="C482" s="205"/>
      <c r="D482" s="205"/>
      <c r="E482" s="205"/>
      <c r="F482" s="201"/>
      <c r="H482" s="46"/>
      <c r="I482" s="236"/>
      <c r="J482" s="236"/>
      <c r="K482" s="193"/>
      <c r="L482" s="236"/>
      <c r="M482" s="193"/>
    </row>
    <row r="483" spans="1:13" x14ac:dyDescent="0.3">
      <c r="A483" s="216"/>
      <c r="B483" s="205"/>
      <c r="C483" s="205"/>
      <c r="D483" s="205"/>
      <c r="E483" s="205"/>
      <c r="F483" s="201"/>
      <c r="H483" s="46"/>
      <c r="I483" s="236"/>
      <c r="J483" s="236"/>
      <c r="K483" s="193"/>
      <c r="L483" s="236"/>
      <c r="M483" s="193"/>
    </row>
    <row r="484" spans="1:13" x14ac:dyDescent="0.3">
      <c r="A484" s="216"/>
      <c r="B484" s="205"/>
      <c r="C484" s="205"/>
      <c r="D484" s="205"/>
      <c r="E484" s="205"/>
      <c r="F484" s="201"/>
      <c r="H484" s="46"/>
      <c r="I484" s="236"/>
      <c r="J484" s="236"/>
      <c r="K484" s="193"/>
      <c r="L484" s="236"/>
      <c r="M484" s="193"/>
    </row>
    <row r="485" spans="1:13" x14ac:dyDescent="0.3">
      <c r="A485" s="216"/>
      <c r="B485" s="205"/>
      <c r="C485" s="205"/>
      <c r="D485" s="205"/>
      <c r="E485" s="205"/>
      <c r="F485" s="201"/>
      <c r="H485" s="46"/>
      <c r="I485" s="236"/>
      <c r="J485" s="236"/>
      <c r="K485" s="193"/>
      <c r="L485" s="236"/>
      <c r="M485" s="193"/>
    </row>
    <row r="486" spans="1:13" x14ac:dyDescent="0.3">
      <c r="A486" s="216"/>
      <c r="B486" s="205"/>
      <c r="C486" s="205"/>
      <c r="D486" s="205"/>
      <c r="E486" s="205"/>
      <c r="F486" s="201"/>
      <c r="H486" s="46"/>
      <c r="I486" s="236"/>
      <c r="J486" s="236"/>
      <c r="K486" s="193"/>
      <c r="L486" s="236"/>
      <c r="M486" s="193"/>
    </row>
    <row r="487" spans="1:13" x14ac:dyDescent="0.3">
      <c r="A487" s="216"/>
      <c r="B487" s="205"/>
      <c r="C487" s="205"/>
      <c r="D487" s="205"/>
      <c r="E487" s="205"/>
      <c r="F487" s="201"/>
      <c r="H487" s="46"/>
      <c r="I487" s="236"/>
      <c r="J487" s="236"/>
      <c r="K487" s="193"/>
      <c r="L487" s="236"/>
      <c r="M487" s="193"/>
    </row>
    <row r="488" spans="1:13" x14ac:dyDescent="0.3">
      <c r="A488" s="216"/>
      <c r="B488" s="205"/>
      <c r="C488" s="205"/>
      <c r="D488" s="205"/>
      <c r="E488" s="205"/>
      <c r="F488" s="201"/>
      <c r="H488" s="46"/>
      <c r="I488" s="236"/>
      <c r="J488" s="236"/>
      <c r="K488" s="193"/>
      <c r="L488" s="236"/>
      <c r="M488" s="193"/>
    </row>
    <row r="489" spans="1:13" x14ac:dyDescent="0.3">
      <c r="A489" s="216"/>
      <c r="B489" s="205"/>
      <c r="C489" s="205"/>
      <c r="D489" s="205"/>
      <c r="E489" s="205"/>
      <c r="F489" s="201"/>
      <c r="H489" s="46"/>
      <c r="I489" s="236"/>
      <c r="J489" s="236"/>
      <c r="K489" s="193"/>
      <c r="L489" s="236"/>
      <c r="M489" s="193"/>
    </row>
    <row r="490" spans="1:13" x14ac:dyDescent="0.3">
      <c r="A490" s="216"/>
      <c r="B490" s="205"/>
      <c r="C490" s="205"/>
      <c r="D490" s="205"/>
      <c r="E490" s="205"/>
      <c r="F490" s="201"/>
      <c r="H490" s="46"/>
      <c r="I490" s="236"/>
      <c r="J490" s="236"/>
      <c r="K490" s="193"/>
      <c r="L490" s="236"/>
      <c r="M490" s="193"/>
    </row>
    <row r="491" spans="1:13" x14ac:dyDescent="0.3">
      <c r="A491" s="216"/>
      <c r="B491" s="205"/>
      <c r="C491" s="205"/>
      <c r="D491" s="205"/>
      <c r="E491" s="205"/>
      <c r="F491" s="201"/>
      <c r="H491" s="46"/>
      <c r="I491" s="236"/>
      <c r="J491" s="236"/>
      <c r="K491" s="193"/>
      <c r="L491" s="236"/>
      <c r="M491" s="193"/>
    </row>
    <row r="492" spans="1:13" x14ac:dyDescent="0.3">
      <c r="A492" s="216"/>
      <c r="B492" s="205"/>
      <c r="C492" s="205"/>
      <c r="D492" s="205"/>
      <c r="E492" s="205"/>
      <c r="F492" s="201"/>
      <c r="H492" s="46"/>
      <c r="I492" s="236"/>
      <c r="J492" s="236"/>
      <c r="K492" s="193"/>
      <c r="L492" s="236"/>
      <c r="M492" s="193"/>
    </row>
    <row r="493" spans="1:13" x14ac:dyDescent="0.3">
      <c r="A493" s="216"/>
      <c r="B493" s="205"/>
      <c r="C493" s="205"/>
      <c r="D493" s="205"/>
      <c r="E493" s="205"/>
      <c r="F493" s="201"/>
      <c r="H493" s="46"/>
      <c r="I493" s="236"/>
      <c r="J493" s="236"/>
      <c r="K493" s="193"/>
      <c r="L493" s="236"/>
      <c r="M493" s="193"/>
    </row>
    <row r="494" spans="1:13" x14ac:dyDescent="0.3">
      <c r="A494" s="216"/>
      <c r="B494" s="205"/>
      <c r="C494" s="205"/>
      <c r="D494" s="205"/>
      <c r="E494" s="205"/>
      <c r="F494" s="201"/>
      <c r="H494" s="46"/>
      <c r="I494" s="236"/>
      <c r="J494" s="236"/>
      <c r="K494" s="193"/>
      <c r="L494" s="236"/>
      <c r="M494" s="193"/>
    </row>
    <row r="495" spans="1:13" x14ac:dyDescent="0.3">
      <c r="A495" s="216"/>
      <c r="B495" s="205"/>
      <c r="C495" s="205"/>
      <c r="D495" s="205"/>
      <c r="E495" s="205"/>
      <c r="F495" s="201"/>
      <c r="H495" s="46"/>
      <c r="I495" s="236"/>
      <c r="J495" s="236"/>
      <c r="K495" s="193"/>
      <c r="L495" s="236"/>
      <c r="M495" s="193"/>
    </row>
    <row r="496" spans="1:13" x14ac:dyDescent="0.3">
      <c r="A496" s="216"/>
      <c r="B496" s="205"/>
      <c r="C496" s="205"/>
      <c r="D496" s="205"/>
      <c r="E496" s="205"/>
      <c r="F496" s="201"/>
      <c r="H496" s="46"/>
      <c r="I496" s="236"/>
      <c r="J496" s="236"/>
      <c r="K496" s="193"/>
      <c r="L496" s="236"/>
      <c r="M496" s="193"/>
    </row>
    <row r="497" spans="1:13" x14ac:dyDescent="0.3">
      <c r="A497" s="216"/>
      <c r="B497" s="205"/>
      <c r="C497" s="205"/>
      <c r="D497" s="205"/>
      <c r="E497" s="205"/>
      <c r="F497" s="201"/>
      <c r="H497" s="46"/>
      <c r="I497" s="236"/>
      <c r="J497" s="236"/>
      <c r="K497" s="193"/>
      <c r="L497" s="236"/>
      <c r="M497" s="193"/>
    </row>
    <row r="498" spans="1:13" x14ac:dyDescent="0.3">
      <c r="A498" s="216"/>
      <c r="B498" s="205"/>
      <c r="C498" s="205"/>
      <c r="D498" s="205"/>
      <c r="E498" s="205"/>
      <c r="F498" s="201"/>
      <c r="H498" s="46"/>
      <c r="I498" s="236"/>
      <c r="J498" s="236"/>
      <c r="K498" s="193"/>
      <c r="L498" s="236"/>
      <c r="M498" s="193"/>
    </row>
    <row r="499" spans="1:13" x14ac:dyDescent="0.3">
      <c r="A499" s="216"/>
      <c r="B499" s="205"/>
      <c r="C499" s="205"/>
      <c r="D499" s="205"/>
      <c r="E499" s="205"/>
      <c r="F499" s="201"/>
      <c r="H499" s="46"/>
      <c r="I499" s="236"/>
      <c r="J499" s="236"/>
      <c r="K499" s="193"/>
      <c r="L499" s="236"/>
      <c r="M499" s="193"/>
    </row>
    <row r="500" spans="1:13" x14ac:dyDescent="0.3">
      <c r="A500" s="216"/>
      <c r="B500" s="205"/>
      <c r="C500" s="205"/>
      <c r="D500" s="205"/>
      <c r="E500" s="205"/>
      <c r="F500" s="201"/>
      <c r="H500" s="46"/>
      <c r="I500" s="236"/>
      <c r="J500" s="236"/>
      <c r="K500" s="193"/>
      <c r="L500" s="236"/>
      <c r="M500" s="193"/>
    </row>
    <row r="501" spans="1:13" x14ac:dyDescent="0.3">
      <c r="A501" s="216"/>
      <c r="B501" s="205"/>
      <c r="C501" s="205"/>
      <c r="D501" s="205"/>
      <c r="E501" s="205"/>
      <c r="F501" s="201"/>
      <c r="H501" s="46"/>
      <c r="I501" s="236"/>
      <c r="J501" s="236"/>
      <c r="K501" s="193"/>
      <c r="L501" s="236"/>
      <c r="M501" s="193"/>
    </row>
    <row r="502" spans="1:13" x14ac:dyDescent="0.3">
      <c r="A502" s="216"/>
      <c r="B502" s="205"/>
      <c r="C502" s="205"/>
      <c r="D502" s="205"/>
      <c r="E502" s="205"/>
      <c r="F502" s="201"/>
      <c r="H502" s="46"/>
      <c r="I502" s="236"/>
      <c r="J502" s="236"/>
      <c r="K502" s="193"/>
      <c r="L502" s="236"/>
      <c r="M502" s="193"/>
    </row>
    <row r="503" spans="1:13" x14ac:dyDescent="0.3">
      <c r="A503" s="216"/>
      <c r="B503" s="205"/>
      <c r="C503" s="205"/>
      <c r="D503" s="205"/>
      <c r="E503" s="205"/>
      <c r="F503" s="201"/>
      <c r="H503" s="46"/>
      <c r="I503" s="236"/>
      <c r="J503" s="236"/>
      <c r="K503" s="193"/>
      <c r="L503" s="236"/>
      <c r="M503" s="193"/>
    </row>
    <row r="504" spans="1:13" x14ac:dyDescent="0.3">
      <c r="A504" s="216"/>
      <c r="B504" s="205"/>
      <c r="C504" s="205"/>
      <c r="D504" s="205"/>
      <c r="E504" s="205"/>
      <c r="F504" s="201"/>
      <c r="H504" s="46"/>
      <c r="I504" s="236"/>
      <c r="J504" s="236"/>
      <c r="K504" s="193"/>
      <c r="L504" s="236"/>
      <c r="M504" s="193"/>
    </row>
    <row r="505" spans="1:13" x14ac:dyDescent="0.3">
      <c r="A505" s="216"/>
      <c r="B505" s="205"/>
      <c r="C505" s="205"/>
      <c r="D505" s="205"/>
      <c r="E505" s="205"/>
      <c r="F505" s="201"/>
      <c r="H505" s="46"/>
      <c r="I505" s="236"/>
      <c r="J505" s="236"/>
      <c r="K505" s="193"/>
      <c r="L505" s="236"/>
      <c r="M505" s="193"/>
    </row>
    <row r="506" spans="1:13" x14ac:dyDescent="0.3">
      <c r="A506" s="216"/>
      <c r="B506" s="205"/>
      <c r="C506" s="205"/>
      <c r="D506" s="205"/>
      <c r="E506" s="205"/>
      <c r="F506" s="201"/>
      <c r="H506" s="46"/>
      <c r="I506" s="236"/>
      <c r="J506" s="236"/>
      <c r="K506" s="193"/>
      <c r="L506" s="236"/>
      <c r="M506" s="193"/>
    </row>
    <row r="507" spans="1:13" x14ac:dyDescent="0.3">
      <c r="A507" s="216"/>
      <c r="B507" s="205"/>
      <c r="C507" s="205"/>
      <c r="D507" s="205"/>
      <c r="E507" s="205"/>
      <c r="F507" s="201"/>
      <c r="H507" s="46"/>
      <c r="I507" s="236"/>
      <c r="J507" s="236"/>
      <c r="K507" s="193"/>
      <c r="L507" s="236"/>
      <c r="M507" s="193"/>
    </row>
    <row r="508" spans="1:13" x14ac:dyDescent="0.3">
      <c r="A508" s="216"/>
      <c r="B508" s="205"/>
      <c r="C508" s="205"/>
      <c r="D508" s="205"/>
      <c r="E508" s="205"/>
      <c r="F508" s="201"/>
      <c r="H508" s="46"/>
      <c r="I508" s="236"/>
      <c r="J508" s="236"/>
      <c r="K508" s="193"/>
      <c r="L508" s="236"/>
      <c r="M508" s="193"/>
    </row>
    <row r="509" spans="1:13" x14ac:dyDescent="0.3">
      <c r="A509" s="216"/>
      <c r="B509" s="205"/>
      <c r="C509" s="205"/>
      <c r="D509" s="205"/>
      <c r="E509" s="205"/>
      <c r="F509" s="201"/>
      <c r="H509" s="46"/>
      <c r="I509" s="236"/>
      <c r="J509" s="236"/>
      <c r="K509" s="193"/>
      <c r="L509" s="236"/>
      <c r="M509" s="193"/>
    </row>
    <row r="510" spans="1:13" x14ac:dyDescent="0.3">
      <c r="A510" s="216"/>
      <c r="B510" s="205"/>
      <c r="C510" s="205"/>
      <c r="D510" s="205"/>
      <c r="E510" s="205"/>
      <c r="F510" s="201"/>
      <c r="H510" s="46"/>
      <c r="I510" s="236"/>
      <c r="J510" s="236"/>
      <c r="K510" s="193"/>
      <c r="L510" s="236"/>
      <c r="M510" s="193"/>
    </row>
    <row r="511" spans="1:13" x14ac:dyDescent="0.3">
      <c r="A511" s="216"/>
      <c r="B511" s="205"/>
      <c r="C511" s="205"/>
      <c r="D511" s="205"/>
      <c r="E511" s="205"/>
      <c r="F511" s="201"/>
      <c r="H511" s="46"/>
      <c r="I511" s="236"/>
      <c r="J511" s="236"/>
      <c r="K511" s="193"/>
      <c r="L511" s="236"/>
      <c r="M511" s="193"/>
    </row>
    <row r="512" spans="1:13" x14ac:dyDescent="0.3">
      <c r="A512" s="216"/>
      <c r="B512" s="205"/>
      <c r="C512" s="205"/>
      <c r="D512" s="205"/>
      <c r="E512" s="205"/>
      <c r="F512" s="201"/>
      <c r="H512" s="46"/>
      <c r="I512" s="236"/>
      <c r="J512" s="236"/>
      <c r="K512" s="193"/>
      <c r="L512" s="236"/>
      <c r="M512" s="193"/>
    </row>
    <row r="513" spans="1:13" x14ac:dyDescent="0.3">
      <c r="A513" s="216"/>
      <c r="B513" s="205"/>
      <c r="C513" s="205"/>
      <c r="D513" s="205"/>
      <c r="E513" s="205"/>
      <c r="F513" s="201"/>
      <c r="H513" s="46"/>
      <c r="I513" s="236"/>
      <c r="J513" s="236"/>
      <c r="K513" s="193"/>
      <c r="L513" s="236"/>
      <c r="M513" s="193"/>
    </row>
    <row r="514" spans="1:13" x14ac:dyDescent="0.3">
      <c r="A514" s="216"/>
      <c r="B514" s="205"/>
      <c r="C514" s="205"/>
      <c r="D514" s="205"/>
      <c r="E514" s="205"/>
      <c r="F514" s="201"/>
      <c r="H514" s="46"/>
      <c r="I514" s="236"/>
      <c r="J514" s="236"/>
      <c r="K514" s="193"/>
      <c r="L514" s="236"/>
      <c r="M514" s="193"/>
    </row>
    <row r="515" spans="1:13" x14ac:dyDescent="0.3">
      <c r="A515" s="216"/>
      <c r="B515" s="205"/>
      <c r="C515" s="205"/>
      <c r="D515" s="205"/>
      <c r="E515" s="205"/>
      <c r="F515" s="201"/>
      <c r="H515" s="46"/>
      <c r="I515" s="236"/>
      <c r="J515" s="236"/>
      <c r="K515" s="193"/>
      <c r="L515" s="236"/>
      <c r="M515" s="193"/>
    </row>
    <row r="516" spans="1:13" x14ac:dyDescent="0.3">
      <c r="A516" s="216"/>
      <c r="B516" s="205"/>
      <c r="C516" s="205"/>
      <c r="D516" s="205"/>
      <c r="E516" s="205"/>
      <c r="F516" s="201"/>
      <c r="H516" s="46"/>
      <c r="I516" s="236"/>
      <c r="J516" s="236"/>
      <c r="K516" s="193"/>
      <c r="L516" s="236"/>
      <c r="M516" s="193"/>
    </row>
    <row r="517" spans="1:13" x14ac:dyDescent="0.3">
      <c r="A517" s="216"/>
      <c r="B517" s="205"/>
      <c r="C517" s="205"/>
      <c r="D517" s="205"/>
      <c r="E517" s="205"/>
      <c r="F517" s="201"/>
      <c r="H517" s="46"/>
      <c r="I517" s="236"/>
      <c r="J517" s="236"/>
      <c r="K517" s="193"/>
      <c r="L517" s="236"/>
      <c r="M517" s="193"/>
    </row>
    <row r="518" spans="1:13" x14ac:dyDescent="0.3">
      <c r="A518" s="216"/>
      <c r="B518" s="205"/>
      <c r="C518" s="205"/>
      <c r="D518" s="205"/>
      <c r="E518" s="205"/>
      <c r="F518" s="201"/>
      <c r="H518" s="46"/>
      <c r="I518" s="236"/>
      <c r="J518" s="236"/>
      <c r="K518" s="193"/>
      <c r="L518" s="236"/>
      <c r="M518" s="193"/>
    </row>
    <row r="519" spans="1:13" x14ac:dyDescent="0.3">
      <c r="A519" s="216"/>
      <c r="B519" s="205"/>
      <c r="C519" s="205"/>
      <c r="D519" s="205"/>
      <c r="E519" s="205"/>
      <c r="F519" s="201"/>
      <c r="H519" s="46"/>
      <c r="I519" s="236"/>
      <c r="J519" s="236"/>
      <c r="K519" s="193"/>
      <c r="L519" s="236"/>
      <c r="M519" s="193"/>
    </row>
    <row r="520" spans="1:13" x14ac:dyDescent="0.3">
      <c r="A520" s="216"/>
      <c r="B520" s="205"/>
      <c r="C520" s="205"/>
      <c r="D520" s="205"/>
      <c r="E520" s="205"/>
      <c r="F520" s="201"/>
      <c r="H520" s="46"/>
      <c r="I520" s="236"/>
      <c r="J520" s="236"/>
      <c r="K520" s="193"/>
      <c r="L520" s="236"/>
      <c r="M520" s="193"/>
    </row>
    <row r="521" spans="1:13" x14ac:dyDescent="0.3">
      <c r="A521" s="216"/>
      <c r="B521" s="205"/>
      <c r="C521" s="205"/>
      <c r="D521" s="205"/>
      <c r="E521" s="205"/>
      <c r="F521" s="201"/>
      <c r="H521" s="46"/>
      <c r="I521" s="236"/>
      <c r="J521" s="236"/>
      <c r="K521" s="193"/>
      <c r="L521" s="236"/>
      <c r="M521" s="193"/>
    </row>
    <row r="522" spans="1:13" x14ac:dyDescent="0.3">
      <c r="A522" s="216"/>
      <c r="B522" s="205"/>
      <c r="C522" s="205"/>
      <c r="D522" s="205"/>
      <c r="E522" s="205"/>
      <c r="F522" s="201"/>
      <c r="H522" s="46"/>
      <c r="I522" s="236"/>
      <c r="J522" s="236"/>
      <c r="K522" s="193"/>
      <c r="L522" s="236"/>
      <c r="M522" s="193"/>
    </row>
    <row r="523" spans="1:13" x14ac:dyDescent="0.3">
      <c r="A523" s="216"/>
      <c r="B523" s="205"/>
      <c r="C523" s="205"/>
      <c r="D523" s="205"/>
      <c r="E523" s="205"/>
      <c r="F523" s="201"/>
      <c r="H523" s="46"/>
      <c r="I523" s="236"/>
      <c r="J523" s="236"/>
      <c r="K523" s="193"/>
      <c r="L523" s="236"/>
      <c r="M523" s="193"/>
    </row>
    <row r="524" spans="1:13" x14ac:dyDescent="0.3">
      <c r="A524" s="216"/>
      <c r="B524" s="205"/>
      <c r="C524" s="205"/>
      <c r="D524" s="205"/>
      <c r="E524" s="205"/>
      <c r="F524" s="201"/>
      <c r="H524" s="46"/>
      <c r="I524" s="236"/>
      <c r="J524" s="236"/>
      <c r="K524" s="193"/>
      <c r="L524" s="236"/>
      <c r="M524" s="193"/>
    </row>
    <row r="525" spans="1:13" x14ac:dyDescent="0.3">
      <c r="A525" s="216"/>
      <c r="B525" s="205"/>
      <c r="C525" s="205"/>
      <c r="D525" s="205"/>
      <c r="E525" s="205"/>
      <c r="F525" s="201"/>
      <c r="H525" s="46"/>
      <c r="I525" s="236"/>
      <c r="J525" s="236"/>
      <c r="K525" s="193"/>
      <c r="L525" s="236"/>
      <c r="M525" s="193"/>
    </row>
    <row r="526" spans="1:13" x14ac:dyDescent="0.3">
      <c r="A526" s="216"/>
      <c r="B526" s="205"/>
      <c r="C526" s="205"/>
      <c r="D526" s="205"/>
      <c r="E526" s="205"/>
      <c r="F526" s="201"/>
      <c r="H526" s="46"/>
      <c r="I526" s="236"/>
      <c r="J526" s="236"/>
      <c r="K526" s="193"/>
      <c r="L526" s="236"/>
      <c r="M526" s="193"/>
    </row>
    <row r="527" spans="1:13" x14ac:dyDescent="0.3">
      <c r="A527" s="216"/>
      <c r="B527" s="205"/>
      <c r="C527" s="205"/>
      <c r="D527" s="205"/>
      <c r="E527" s="205"/>
      <c r="F527" s="201"/>
      <c r="H527" s="46"/>
      <c r="I527" s="236"/>
      <c r="J527" s="236"/>
      <c r="K527" s="193"/>
      <c r="L527" s="236"/>
      <c r="M527" s="193"/>
    </row>
    <row r="528" spans="1:13" x14ac:dyDescent="0.3">
      <c r="A528" s="216"/>
      <c r="B528" s="205"/>
      <c r="C528" s="205"/>
      <c r="D528" s="205"/>
      <c r="E528" s="205"/>
      <c r="F528" s="201"/>
      <c r="H528" s="46"/>
      <c r="I528" s="236"/>
      <c r="J528" s="236"/>
      <c r="K528" s="193"/>
      <c r="L528" s="236"/>
      <c r="M528" s="193"/>
    </row>
    <row r="529" spans="1:13" x14ac:dyDescent="0.3">
      <c r="A529" s="216"/>
      <c r="B529" s="205"/>
      <c r="C529" s="205"/>
      <c r="D529" s="205"/>
      <c r="E529" s="205"/>
      <c r="F529" s="201"/>
      <c r="H529" s="46"/>
      <c r="I529" s="236"/>
      <c r="J529" s="236"/>
      <c r="K529" s="193"/>
      <c r="L529" s="236"/>
      <c r="M529" s="193"/>
    </row>
    <row r="530" spans="1:13" x14ac:dyDescent="0.3">
      <c r="A530" s="216"/>
      <c r="B530" s="205"/>
      <c r="C530" s="205"/>
      <c r="D530" s="205"/>
      <c r="E530" s="205"/>
      <c r="F530" s="201"/>
      <c r="H530" s="46"/>
      <c r="I530" s="236"/>
      <c r="J530" s="236"/>
      <c r="K530" s="193"/>
      <c r="L530" s="236"/>
      <c r="M530" s="193"/>
    </row>
    <row r="531" spans="1:13" x14ac:dyDescent="0.3">
      <c r="A531" s="216"/>
      <c r="B531" s="205"/>
      <c r="C531" s="205"/>
      <c r="D531" s="205"/>
      <c r="E531" s="205"/>
      <c r="F531" s="201"/>
      <c r="H531" s="46"/>
      <c r="I531" s="236"/>
      <c r="J531" s="236"/>
      <c r="K531" s="193"/>
      <c r="L531" s="236"/>
      <c r="M531" s="193"/>
    </row>
    <row r="532" spans="1:13" x14ac:dyDescent="0.3">
      <c r="A532" s="216"/>
      <c r="B532" s="205"/>
      <c r="C532" s="205"/>
      <c r="D532" s="205"/>
      <c r="E532" s="205"/>
      <c r="F532" s="201"/>
      <c r="H532" s="46"/>
      <c r="I532" s="236"/>
      <c r="J532" s="236"/>
      <c r="K532" s="193"/>
      <c r="L532" s="236"/>
      <c r="M532" s="193"/>
    </row>
    <row r="533" spans="1:13" x14ac:dyDescent="0.3">
      <c r="A533" s="216"/>
      <c r="B533" s="205"/>
      <c r="C533" s="205"/>
      <c r="D533" s="205"/>
      <c r="E533" s="205"/>
      <c r="F533" s="201"/>
      <c r="H533" s="46"/>
      <c r="I533" s="236"/>
      <c r="J533" s="236"/>
      <c r="K533" s="193"/>
      <c r="L533" s="236"/>
      <c r="M533" s="193"/>
    </row>
    <row r="534" spans="1:13" x14ac:dyDescent="0.3">
      <c r="A534" s="216"/>
      <c r="B534" s="205"/>
      <c r="C534" s="205"/>
      <c r="D534" s="205"/>
      <c r="E534" s="205"/>
      <c r="F534" s="201"/>
      <c r="H534" s="46"/>
      <c r="I534" s="236"/>
      <c r="J534" s="236"/>
      <c r="K534" s="193"/>
      <c r="L534" s="236"/>
      <c r="M534" s="193"/>
    </row>
    <row r="535" spans="1:13" x14ac:dyDescent="0.3">
      <c r="A535" s="216"/>
      <c r="B535" s="205"/>
      <c r="C535" s="205"/>
      <c r="D535" s="205"/>
      <c r="E535" s="205"/>
      <c r="F535" s="201"/>
      <c r="H535" s="46"/>
      <c r="I535" s="236"/>
      <c r="J535" s="236"/>
      <c r="K535" s="193"/>
      <c r="L535" s="236"/>
      <c r="M535" s="193"/>
    </row>
    <row r="536" spans="1:13" x14ac:dyDescent="0.3">
      <c r="A536" s="216"/>
      <c r="B536" s="205"/>
      <c r="C536" s="205"/>
      <c r="D536" s="205"/>
      <c r="E536" s="205"/>
      <c r="F536" s="201"/>
      <c r="H536" s="46"/>
      <c r="I536" s="236"/>
      <c r="J536" s="236"/>
      <c r="K536" s="193"/>
      <c r="L536" s="236"/>
      <c r="M536" s="193"/>
    </row>
    <row r="537" spans="1:13" x14ac:dyDescent="0.3">
      <c r="A537" s="216"/>
      <c r="B537" s="205"/>
      <c r="C537" s="205"/>
      <c r="D537" s="205"/>
      <c r="E537" s="205"/>
      <c r="F537" s="201"/>
      <c r="H537" s="46"/>
      <c r="I537" s="236"/>
      <c r="J537" s="236"/>
      <c r="K537" s="193"/>
      <c r="L537" s="236"/>
      <c r="M537" s="193"/>
    </row>
    <row r="538" spans="1:13" x14ac:dyDescent="0.3">
      <c r="A538" s="216"/>
      <c r="B538" s="205"/>
      <c r="C538" s="205"/>
      <c r="D538" s="205"/>
      <c r="E538" s="205"/>
      <c r="F538" s="201"/>
      <c r="H538" s="46"/>
      <c r="I538" s="236"/>
      <c r="J538" s="236"/>
      <c r="K538" s="193"/>
      <c r="L538" s="236"/>
      <c r="M538" s="193"/>
    </row>
    <row r="539" spans="1:13" x14ac:dyDescent="0.3">
      <c r="A539" s="216"/>
      <c r="B539" s="205"/>
      <c r="C539" s="205"/>
      <c r="D539" s="205"/>
      <c r="E539" s="205"/>
      <c r="F539" s="201"/>
      <c r="H539" s="46"/>
      <c r="I539" s="236"/>
      <c r="J539" s="236"/>
      <c r="K539" s="193"/>
      <c r="L539" s="236"/>
      <c r="M539" s="193"/>
    </row>
    <row r="540" spans="1:13" x14ac:dyDescent="0.3">
      <c r="A540" s="216"/>
      <c r="B540" s="205"/>
      <c r="C540" s="205"/>
      <c r="D540" s="205"/>
      <c r="E540" s="205"/>
      <c r="F540" s="201"/>
      <c r="H540" s="46"/>
      <c r="I540" s="236"/>
      <c r="J540" s="236"/>
      <c r="K540" s="193"/>
      <c r="L540" s="236"/>
      <c r="M540" s="193"/>
    </row>
    <row r="541" spans="1:13" x14ac:dyDescent="0.3">
      <c r="A541" s="216"/>
      <c r="B541" s="205"/>
      <c r="C541" s="205"/>
      <c r="D541" s="205"/>
      <c r="E541" s="205"/>
      <c r="F541" s="201"/>
      <c r="H541" s="46"/>
      <c r="I541" s="236"/>
      <c r="J541" s="236"/>
      <c r="K541" s="193"/>
      <c r="L541" s="236"/>
      <c r="M541" s="193"/>
    </row>
    <row r="542" spans="1:13" x14ac:dyDescent="0.3">
      <c r="A542" s="216"/>
      <c r="B542" s="205"/>
      <c r="C542" s="205"/>
      <c r="D542" s="205"/>
      <c r="E542" s="205"/>
      <c r="F542" s="201"/>
      <c r="H542" s="46"/>
      <c r="I542" s="236"/>
      <c r="J542" s="236"/>
      <c r="K542" s="193"/>
      <c r="L542" s="236"/>
      <c r="M542" s="193"/>
    </row>
    <row r="543" spans="1:13" x14ac:dyDescent="0.3">
      <c r="A543" s="216"/>
      <c r="B543" s="205"/>
      <c r="C543" s="205"/>
      <c r="D543" s="205"/>
      <c r="E543" s="205"/>
      <c r="F543" s="201"/>
      <c r="H543" s="46"/>
      <c r="I543" s="236"/>
      <c r="J543" s="236"/>
      <c r="K543" s="193"/>
      <c r="L543" s="236"/>
      <c r="M543" s="193"/>
    </row>
    <row r="544" spans="1:13" x14ac:dyDescent="0.3">
      <c r="A544" s="216"/>
      <c r="B544" s="205"/>
      <c r="C544" s="205"/>
      <c r="D544" s="205"/>
      <c r="E544" s="205"/>
      <c r="F544" s="201"/>
      <c r="H544" s="46"/>
      <c r="I544" s="236"/>
      <c r="J544" s="236"/>
      <c r="K544" s="193"/>
      <c r="L544" s="236"/>
      <c r="M544" s="193"/>
    </row>
    <row r="545" spans="1:13" x14ac:dyDescent="0.3">
      <c r="A545" s="216"/>
      <c r="B545" s="205"/>
      <c r="C545" s="205"/>
      <c r="D545" s="205"/>
      <c r="E545" s="205"/>
      <c r="F545" s="201"/>
      <c r="H545" s="46"/>
      <c r="I545" s="236"/>
      <c r="J545" s="236"/>
      <c r="K545" s="193"/>
      <c r="L545" s="236"/>
      <c r="M545" s="193"/>
    </row>
    <row r="546" spans="1:13" x14ac:dyDescent="0.3">
      <c r="A546" s="216"/>
      <c r="B546" s="205"/>
      <c r="C546" s="205"/>
      <c r="D546" s="205"/>
      <c r="E546" s="205"/>
      <c r="F546" s="201"/>
      <c r="H546" s="46"/>
      <c r="I546" s="236"/>
      <c r="J546" s="236"/>
      <c r="K546" s="193"/>
      <c r="L546" s="236"/>
      <c r="M546" s="193"/>
    </row>
    <row r="547" spans="1:13" x14ac:dyDescent="0.3">
      <c r="A547" s="216"/>
      <c r="B547" s="205"/>
      <c r="C547" s="205"/>
      <c r="D547" s="205"/>
      <c r="E547" s="205"/>
      <c r="F547" s="201"/>
      <c r="H547" s="46"/>
      <c r="I547" s="236"/>
      <c r="J547" s="236"/>
      <c r="K547" s="193"/>
      <c r="L547" s="236"/>
      <c r="M547" s="193"/>
    </row>
    <row r="548" spans="1:13" x14ac:dyDescent="0.3">
      <c r="A548" s="216"/>
      <c r="B548" s="205"/>
      <c r="C548" s="205"/>
      <c r="D548" s="205"/>
      <c r="E548" s="205"/>
      <c r="F548" s="201"/>
      <c r="H548" s="46"/>
      <c r="I548" s="236"/>
      <c r="J548" s="236"/>
      <c r="K548" s="193"/>
      <c r="L548" s="236"/>
      <c r="M548" s="193"/>
    </row>
    <row r="549" spans="1:13" x14ac:dyDescent="0.3">
      <c r="A549" s="216"/>
      <c r="B549" s="205"/>
      <c r="C549" s="205"/>
      <c r="D549" s="205"/>
      <c r="E549" s="205"/>
      <c r="F549" s="201"/>
      <c r="H549" s="46"/>
      <c r="I549" s="236"/>
      <c r="J549" s="236"/>
      <c r="K549" s="193"/>
      <c r="L549" s="236"/>
      <c r="M549" s="193"/>
    </row>
    <row r="550" spans="1:13" x14ac:dyDescent="0.3">
      <c r="A550" s="216"/>
      <c r="B550" s="205"/>
      <c r="C550" s="205"/>
      <c r="D550" s="205"/>
      <c r="E550" s="205"/>
      <c r="F550" s="201"/>
      <c r="H550" s="46"/>
      <c r="I550" s="236"/>
      <c r="J550" s="236"/>
      <c r="K550" s="193"/>
      <c r="L550" s="236"/>
      <c r="M550" s="193"/>
    </row>
    <row r="551" spans="1:13" x14ac:dyDescent="0.3">
      <c r="A551" s="216"/>
      <c r="B551" s="205"/>
      <c r="C551" s="205"/>
      <c r="D551" s="205"/>
      <c r="E551" s="205"/>
      <c r="F551" s="201"/>
      <c r="H551" s="46"/>
      <c r="I551" s="236"/>
      <c r="J551" s="236"/>
      <c r="K551" s="193"/>
      <c r="L551" s="236"/>
      <c r="M551" s="193"/>
    </row>
    <row r="552" spans="1:13" x14ac:dyDescent="0.3">
      <c r="A552" s="216"/>
      <c r="B552" s="205"/>
      <c r="C552" s="205"/>
      <c r="D552" s="205"/>
      <c r="E552" s="205"/>
      <c r="F552" s="201"/>
      <c r="H552" s="46"/>
      <c r="I552" s="236"/>
      <c r="J552" s="236"/>
      <c r="K552" s="193"/>
      <c r="L552" s="236"/>
      <c r="M552" s="193"/>
    </row>
    <row r="553" spans="1:13" x14ac:dyDescent="0.3">
      <c r="A553" s="216"/>
      <c r="B553" s="205"/>
      <c r="C553" s="205"/>
      <c r="D553" s="205"/>
      <c r="E553" s="205"/>
      <c r="F553" s="201"/>
      <c r="H553" s="46"/>
      <c r="I553" s="236"/>
      <c r="J553" s="236"/>
      <c r="K553" s="193"/>
      <c r="L553" s="236"/>
      <c r="M553" s="193"/>
    </row>
    <row r="554" spans="1:13" x14ac:dyDescent="0.3">
      <c r="A554" s="216"/>
      <c r="B554" s="205"/>
      <c r="C554" s="205"/>
      <c r="D554" s="205"/>
      <c r="E554" s="205"/>
      <c r="F554" s="201"/>
      <c r="H554" s="46"/>
      <c r="I554" s="236"/>
      <c r="J554" s="236"/>
      <c r="K554" s="193"/>
      <c r="L554" s="236"/>
      <c r="M554" s="193"/>
    </row>
    <row r="555" spans="1:13" x14ac:dyDescent="0.3">
      <c r="A555" s="216"/>
      <c r="B555" s="205"/>
      <c r="C555" s="205"/>
      <c r="D555" s="205"/>
      <c r="E555" s="205"/>
      <c r="F555" s="201"/>
      <c r="H555" s="46"/>
      <c r="I555" s="236"/>
      <c r="J555" s="236"/>
      <c r="K555" s="193"/>
      <c r="L555" s="236"/>
      <c r="M555" s="193"/>
    </row>
    <row r="556" spans="1:13" x14ac:dyDescent="0.3">
      <c r="A556" s="216"/>
      <c r="B556" s="205"/>
      <c r="C556" s="205"/>
      <c r="D556" s="205"/>
      <c r="E556" s="205"/>
      <c r="F556" s="201"/>
      <c r="H556" s="46"/>
      <c r="I556" s="236"/>
      <c r="J556" s="236"/>
      <c r="K556" s="193"/>
      <c r="L556" s="236"/>
      <c r="M556" s="193"/>
    </row>
    <row r="557" spans="1:13" x14ac:dyDescent="0.3">
      <c r="A557" s="216"/>
      <c r="B557" s="205"/>
      <c r="C557" s="205"/>
      <c r="D557" s="205"/>
      <c r="E557" s="205"/>
      <c r="F557" s="201"/>
      <c r="H557" s="46"/>
      <c r="I557" s="236"/>
      <c r="J557" s="236"/>
      <c r="K557" s="193"/>
      <c r="L557" s="236"/>
      <c r="M557" s="193"/>
    </row>
    <row r="558" spans="1:13" x14ac:dyDescent="0.3">
      <c r="A558" s="216"/>
      <c r="B558" s="205"/>
      <c r="C558" s="205"/>
      <c r="D558" s="205"/>
      <c r="E558" s="205"/>
      <c r="F558" s="201"/>
      <c r="H558" s="46"/>
      <c r="I558" s="236"/>
      <c r="J558" s="236"/>
      <c r="K558" s="193"/>
      <c r="L558" s="236"/>
      <c r="M558" s="193"/>
    </row>
    <row r="559" spans="1:13" x14ac:dyDescent="0.3">
      <c r="A559" s="216"/>
      <c r="B559" s="205"/>
      <c r="C559" s="205"/>
      <c r="D559" s="205"/>
      <c r="E559" s="205"/>
      <c r="F559" s="201"/>
      <c r="H559" s="46"/>
      <c r="I559" s="236"/>
      <c r="J559" s="236"/>
      <c r="K559" s="193"/>
      <c r="L559" s="236"/>
      <c r="M559" s="193"/>
    </row>
    <row r="560" spans="1:13" x14ac:dyDescent="0.3">
      <c r="A560" s="216"/>
      <c r="B560" s="205"/>
      <c r="C560" s="205"/>
      <c r="D560" s="205"/>
      <c r="E560" s="205"/>
      <c r="F560" s="201"/>
      <c r="H560" s="46"/>
      <c r="I560" s="236"/>
      <c r="J560" s="236"/>
      <c r="K560" s="193"/>
      <c r="L560" s="236"/>
      <c r="M560" s="193"/>
    </row>
    <row r="561" spans="1:13" x14ac:dyDescent="0.3">
      <c r="A561" s="216"/>
      <c r="B561" s="205"/>
      <c r="C561" s="205"/>
      <c r="D561" s="205"/>
      <c r="E561" s="205"/>
      <c r="F561" s="201"/>
      <c r="H561" s="46"/>
      <c r="I561" s="236"/>
      <c r="J561" s="236"/>
      <c r="K561" s="193"/>
      <c r="L561" s="236"/>
      <c r="M561" s="193"/>
    </row>
    <row r="562" spans="1:13" x14ac:dyDescent="0.3">
      <c r="A562" s="216"/>
      <c r="B562" s="205"/>
      <c r="C562" s="205"/>
      <c r="D562" s="205"/>
      <c r="E562" s="205"/>
      <c r="F562" s="201"/>
      <c r="H562" s="46"/>
      <c r="I562" s="236"/>
      <c r="J562" s="236"/>
      <c r="K562" s="193"/>
      <c r="L562" s="236"/>
      <c r="M562" s="193"/>
    </row>
    <row r="563" spans="1:13" x14ac:dyDescent="0.3">
      <c r="A563" s="216"/>
      <c r="B563" s="205"/>
      <c r="C563" s="205"/>
      <c r="D563" s="205"/>
      <c r="E563" s="205"/>
      <c r="F563" s="201"/>
      <c r="H563" s="46"/>
      <c r="I563" s="236"/>
      <c r="J563" s="236"/>
      <c r="K563" s="193"/>
      <c r="L563" s="236"/>
      <c r="M563" s="193"/>
    </row>
    <row r="564" spans="1:13" x14ac:dyDescent="0.3">
      <c r="A564" s="216"/>
      <c r="B564" s="205"/>
      <c r="C564" s="205"/>
      <c r="D564" s="205"/>
      <c r="E564" s="205"/>
      <c r="F564" s="201"/>
      <c r="H564" s="46"/>
      <c r="I564" s="236"/>
      <c r="J564" s="236"/>
      <c r="K564" s="193"/>
      <c r="L564" s="236"/>
      <c r="M564" s="193"/>
    </row>
    <row r="565" spans="1:13" x14ac:dyDescent="0.3">
      <c r="A565" s="216"/>
      <c r="B565" s="205"/>
      <c r="C565" s="205"/>
      <c r="D565" s="205"/>
      <c r="E565" s="205"/>
      <c r="F565" s="201"/>
      <c r="H565" s="46"/>
      <c r="I565" s="236"/>
      <c r="J565" s="236"/>
      <c r="K565" s="193"/>
      <c r="L565" s="236"/>
      <c r="M565" s="193"/>
    </row>
    <row r="566" spans="1:13" x14ac:dyDescent="0.3">
      <c r="A566" s="216"/>
      <c r="B566" s="205"/>
      <c r="C566" s="205"/>
      <c r="D566" s="205"/>
      <c r="E566" s="205"/>
      <c r="F566" s="201"/>
      <c r="H566" s="46"/>
      <c r="I566" s="236"/>
      <c r="J566" s="236"/>
      <c r="K566" s="193"/>
      <c r="L566" s="236"/>
      <c r="M566" s="193"/>
    </row>
    <row r="567" spans="1:13" x14ac:dyDescent="0.3">
      <c r="A567" s="216"/>
      <c r="B567" s="205"/>
      <c r="C567" s="205"/>
      <c r="D567" s="205"/>
      <c r="E567" s="205"/>
      <c r="F567" s="201"/>
      <c r="H567" s="46"/>
      <c r="I567" s="236"/>
      <c r="J567" s="236"/>
      <c r="K567" s="193"/>
      <c r="L567" s="236"/>
      <c r="M567" s="193"/>
    </row>
    <row r="568" spans="1:13" x14ac:dyDescent="0.3">
      <c r="A568" s="216"/>
      <c r="B568" s="205"/>
      <c r="C568" s="205"/>
      <c r="D568" s="205"/>
      <c r="E568" s="205"/>
      <c r="F568" s="201"/>
      <c r="H568" s="46"/>
      <c r="I568" s="236"/>
      <c r="J568" s="236"/>
      <c r="K568" s="193"/>
      <c r="L568" s="236"/>
      <c r="M568" s="193"/>
    </row>
    <row r="569" spans="1:13" x14ac:dyDescent="0.3">
      <c r="A569" s="216"/>
      <c r="B569" s="205"/>
      <c r="C569" s="205"/>
      <c r="D569" s="205"/>
      <c r="E569" s="205"/>
      <c r="F569" s="201"/>
      <c r="H569" s="46"/>
      <c r="I569" s="236"/>
      <c r="J569" s="236"/>
      <c r="K569" s="193"/>
      <c r="L569" s="236"/>
      <c r="M569" s="193"/>
    </row>
    <row r="570" spans="1:13" x14ac:dyDescent="0.3">
      <c r="A570" s="216"/>
      <c r="B570" s="205"/>
      <c r="C570" s="205"/>
      <c r="D570" s="205"/>
      <c r="E570" s="205"/>
      <c r="F570" s="201"/>
      <c r="H570" s="46"/>
      <c r="I570" s="236"/>
      <c r="J570" s="236"/>
      <c r="K570" s="193"/>
      <c r="L570" s="236"/>
      <c r="M570" s="193"/>
    </row>
    <row r="571" spans="1:13" x14ac:dyDescent="0.3">
      <c r="A571" s="216"/>
      <c r="B571" s="205"/>
      <c r="C571" s="205"/>
      <c r="D571" s="205"/>
      <c r="E571" s="205"/>
      <c r="F571" s="201"/>
      <c r="H571" s="46"/>
      <c r="I571" s="236"/>
      <c r="J571" s="236"/>
      <c r="K571" s="193"/>
      <c r="L571" s="236"/>
      <c r="M571" s="193"/>
    </row>
    <row r="572" spans="1:13" x14ac:dyDescent="0.3">
      <c r="A572" s="216"/>
      <c r="B572" s="205"/>
      <c r="C572" s="205"/>
      <c r="D572" s="205"/>
      <c r="E572" s="205"/>
      <c r="F572" s="201"/>
      <c r="H572" s="46"/>
      <c r="I572" s="236"/>
      <c r="J572" s="236"/>
      <c r="K572" s="193"/>
      <c r="L572" s="236"/>
      <c r="M572" s="193"/>
    </row>
    <row r="573" spans="1:13" x14ac:dyDescent="0.3">
      <c r="A573" s="216"/>
      <c r="B573" s="205"/>
      <c r="C573" s="205"/>
      <c r="D573" s="205"/>
      <c r="E573" s="205"/>
      <c r="F573" s="201"/>
      <c r="H573" s="46"/>
      <c r="I573" s="236"/>
      <c r="J573" s="236"/>
      <c r="K573" s="193"/>
      <c r="L573" s="236"/>
      <c r="M573" s="193"/>
    </row>
    <row r="574" spans="1:13" x14ac:dyDescent="0.3">
      <c r="A574" s="216"/>
      <c r="B574" s="205"/>
      <c r="C574" s="205"/>
      <c r="D574" s="205"/>
      <c r="E574" s="205"/>
      <c r="F574" s="201"/>
      <c r="H574" s="46"/>
      <c r="I574" s="236"/>
      <c r="J574" s="236"/>
      <c r="K574" s="193"/>
      <c r="L574" s="236"/>
      <c r="M574" s="193"/>
    </row>
    <row r="575" spans="1:13" x14ac:dyDescent="0.3">
      <c r="A575" s="216"/>
      <c r="B575" s="205"/>
      <c r="C575" s="205"/>
      <c r="D575" s="205"/>
      <c r="E575" s="205"/>
      <c r="F575" s="201"/>
      <c r="H575" s="46"/>
      <c r="I575" s="236"/>
      <c r="J575" s="236"/>
      <c r="K575" s="193"/>
      <c r="L575" s="236"/>
      <c r="M575" s="193"/>
    </row>
    <row r="576" spans="1:13" x14ac:dyDescent="0.3">
      <c r="A576" s="216"/>
      <c r="B576" s="205"/>
      <c r="C576" s="205"/>
      <c r="D576" s="205"/>
      <c r="E576" s="205"/>
      <c r="F576" s="201"/>
      <c r="H576" s="46"/>
      <c r="I576" s="236"/>
      <c r="J576" s="236"/>
      <c r="K576" s="193"/>
      <c r="L576" s="236"/>
      <c r="M576" s="193"/>
    </row>
    <row r="577" spans="1:13" x14ac:dyDescent="0.3">
      <c r="A577" s="216"/>
      <c r="B577" s="205"/>
      <c r="C577" s="205"/>
      <c r="D577" s="205"/>
      <c r="E577" s="205"/>
      <c r="F577" s="201"/>
      <c r="H577" s="46"/>
      <c r="I577" s="236"/>
      <c r="J577" s="236"/>
      <c r="K577" s="193"/>
      <c r="L577" s="236"/>
      <c r="M577" s="193"/>
    </row>
    <row r="578" spans="1:13" x14ac:dyDescent="0.3">
      <c r="A578" s="216"/>
      <c r="B578" s="205"/>
      <c r="C578" s="205"/>
      <c r="D578" s="205"/>
      <c r="E578" s="205"/>
      <c r="F578" s="201"/>
      <c r="H578" s="46"/>
      <c r="I578" s="236"/>
      <c r="J578" s="236"/>
      <c r="K578" s="193"/>
      <c r="L578" s="236"/>
      <c r="M578" s="193"/>
    </row>
    <row r="579" spans="1:13" x14ac:dyDescent="0.3">
      <c r="A579" s="216"/>
      <c r="B579" s="205"/>
      <c r="C579" s="205"/>
      <c r="D579" s="205"/>
      <c r="E579" s="205"/>
      <c r="F579" s="201"/>
      <c r="H579" s="46"/>
      <c r="I579" s="236"/>
      <c r="J579" s="236"/>
      <c r="K579" s="193"/>
      <c r="L579" s="236"/>
      <c r="M579" s="193"/>
    </row>
    <row r="580" spans="1:13" x14ac:dyDescent="0.3">
      <c r="A580" s="216"/>
      <c r="B580" s="205"/>
      <c r="C580" s="205"/>
      <c r="D580" s="205"/>
      <c r="E580" s="205"/>
      <c r="F580" s="201"/>
      <c r="H580" s="46"/>
      <c r="I580" s="236"/>
      <c r="J580" s="236"/>
      <c r="K580" s="193"/>
      <c r="L580" s="236"/>
      <c r="M580" s="193"/>
    </row>
    <row r="581" spans="1:13" x14ac:dyDescent="0.3">
      <c r="A581" s="216"/>
      <c r="B581" s="205"/>
      <c r="C581" s="205"/>
      <c r="D581" s="205"/>
      <c r="E581" s="205"/>
      <c r="F581" s="201"/>
      <c r="H581" s="46"/>
      <c r="I581" s="236"/>
      <c r="J581" s="236"/>
      <c r="K581" s="193"/>
      <c r="L581" s="236"/>
      <c r="M581" s="193"/>
    </row>
    <row r="582" spans="1:13" x14ac:dyDescent="0.3">
      <c r="A582" s="216"/>
      <c r="B582" s="205"/>
      <c r="C582" s="205"/>
      <c r="D582" s="205"/>
      <c r="E582" s="205"/>
      <c r="F582" s="201"/>
      <c r="H582" s="46"/>
      <c r="I582" s="236"/>
      <c r="J582" s="236"/>
      <c r="K582" s="193"/>
      <c r="L582" s="236"/>
      <c r="M582" s="193"/>
    </row>
    <row r="583" spans="1:13" x14ac:dyDescent="0.3">
      <c r="A583" s="216"/>
      <c r="B583" s="205"/>
      <c r="C583" s="205"/>
      <c r="D583" s="205"/>
      <c r="E583" s="205"/>
      <c r="F583" s="201"/>
      <c r="H583" s="46"/>
      <c r="I583" s="236"/>
      <c r="J583" s="236"/>
      <c r="K583" s="193"/>
      <c r="L583" s="236"/>
      <c r="M583" s="193"/>
    </row>
    <row r="584" spans="1:13" x14ac:dyDescent="0.3">
      <c r="A584" s="216"/>
      <c r="B584" s="205"/>
      <c r="C584" s="205"/>
      <c r="D584" s="205"/>
      <c r="E584" s="205"/>
      <c r="F584" s="201"/>
      <c r="H584" s="46"/>
      <c r="I584" s="236"/>
      <c r="J584" s="236"/>
      <c r="K584" s="193"/>
      <c r="L584" s="236"/>
      <c r="M584" s="193"/>
    </row>
    <row r="585" spans="1:13" x14ac:dyDescent="0.3">
      <c r="A585" s="216"/>
      <c r="B585" s="205"/>
      <c r="C585" s="205"/>
      <c r="D585" s="205"/>
      <c r="E585" s="205"/>
      <c r="F585" s="201"/>
      <c r="H585" s="46"/>
      <c r="I585" s="236"/>
      <c r="J585" s="236"/>
      <c r="K585" s="193"/>
      <c r="L585" s="236"/>
      <c r="M585" s="193"/>
    </row>
    <row r="586" spans="1:13" x14ac:dyDescent="0.3">
      <c r="A586" s="216"/>
      <c r="B586" s="205"/>
      <c r="C586" s="205"/>
      <c r="D586" s="205"/>
      <c r="E586" s="205"/>
      <c r="F586" s="201"/>
      <c r="H586" s="46"/>
      <c r="I586" s="236"/>
      <c r="J586" s="236"/>
      <c r="K586" s="193"/>
      <c r="L586" s="236"/>
      <c r="M586" s="193"/>
    </row>
    <row r="587" spans="1:13" x14ac:dyDescent="0.3">
      <c r="A587" s="216"/>
      <c r="B587" s="205"/>
      <c r="C587" s="205"/>
      <c r="D587" s="205"/>
      <c r="E587" s="205"/>
      <c r="F587" s="201"/>
      <c r="H587" s="46"/>
      <c r="I587" s="236"/>
      <c r="J587" s="236"/>
      <c r="K587" s="193"/>
      <c r="L587" s="236"/>
      <c r="M587" s="193"/>
    </row>
    <row r="588" spans="1:13" x14ac:dyDescent="0.3">
      <c r="A588" s="216"/>
      <c r="B588" s="205"/>
      <c r="C588" s="205"/>
      <c r="D588" s="205"/>
      <c r="E588" s="205"/>
      <c r="F588" s="201"/>
      <c r="H588" s="46"/>
      <c r="I588" s="236"/>
      <c r="J588" s="236"/>
      <c r="K588" s="193"/>
      <c r="L588" s="236"/>
      <c r="M588" s="193"/>
    </row>
    <row r="589" spans="1:13" x14ac:dyDescent="0.3">
      <c r="A589" s="216"/>
      <c r="B589" s="205"/>
      <c r="C589" s="205"/>
      <c r="D589" s="205"/>
      <c r="E589" s="205"/>
      <c r="F589" s="201"/>
      <c r="H589" s="46"/>
      <c r="I589" s="236"/>
      <c r="J589" s="236"/>
      <c r="K589" s="193"/>
      <c r="L589" s="236"/>
      <c r="M589" s="193"/>
    </row>
    <row r="590" spans="1:13" x14ac:dyDescent="0.3">
      <c r="A590" s="216"/>
      <c r="B590" s="205"/>
      <c r="C590" s="205"/>
      <c r="D590" s="205"/>
      <c r="E590" s="205"/>
      <c r="F590" s="201"/>
      <c r="H590" s="46"/>
      <c r="I590" s="236"/>
      <c r="J590" s="236"/>
      <c r="K590" s="193"/>
      <c r="L590" s="236"/>
      <c r="M590" s="193"/>
    </row>
    <row r="591" spans="1:13" x14ac:dyDescent="0.3">
      <c r="A591" s="216"/>
      <c r="B591" s="205"/>
      <c r="C591" s="205"/>
      <c r="D591" s="205"/>
      <c r="E591" s="205"/>
      <c r="F591" s="201"/>
      <c r="H591" s="46"/>
      <c r="I591" s="236"/>
      <c r="J591" s="236"/>
      <c r="K591" s="193"/>
      <c r="L591" s="236"/>
      <c r="M591" s="193"/>
    </row>
    <row r="592" spans="1:13" x14ac:dyDescent="0.3">
      <c r="A592" s="216"/>
      <c r="B592" s="205"/>
      <c r="C592" s="205"/>
      <c r="D592" s="205"/>
      <c r="E592" s="205"/>
      <c r="F592" s="201"/>
      <c r="H592" s="46"/>
      <c r="I592" s="236"/>
      <c r="J592" s="236"/>
      <c r="K592" s="193"/>
      <c r="L592" s="236"/>
      <c r="M592" s="193"/>
    </row>
    <row r="593" spans="1:13" x14ac:dyDescent="0.3">
      <c r="A593" s="216"/>
      <c r="B593" s="205"/>
      <c r="C593" s="205"/>
      <c r="D593" s="205"/>
      <c r="E593" s="205"/>
      <c r="F593" s="201"/>
      <c r="H593" s="46"/>
      <c r="I593" s="236"/>
      <c r="J593" s="236"/>
      <c r="K593" s="193"/>
      <c r="L593" s="236"/>
      <c r="M593" s="193"/>
    </row>
    <row r="594" spans="1:13" x14ac:dyDescent="0.3">
      <c r="A594" s="216"/>
      <c r="B594" s="205"/>
      <c r="C594" s="205"/>
      <c r="D594" s="205"/>
      <c r="E594" s="205"/>
      <c r="F594" s="201"/>
      <c r="H594" s="46"/>
      <c r="I594" s="236"/>
      <c r="J594" s="236"/>
      <c r="K594" s="193"/>
      <c r="L594" s="236"/>
      <c r="M594" s="193"/>
    </row>
    <row r="595" spans="1:13" x14ac:dyDescent="0.3">
      <c r="A595" s="216"/>
      <c r="B595" s="205"/>
      <c r="C595" s="205"/>
      <c r="D595" s="205"/>
      <c r="E595" s="205"/>
      <c r="F595" s="201"/>
      <c r="H595" s="46"/>
      <c r="I595" s="236"/>
      <c r="J595" s="236"/>
      <c r="K595" s="193"/>
      <c r="L595" s="236"/>
      <c r="M595" s="193"/>
    </row>
    <row r="596" spans="1:13" x14ac:dyDescent="0.3">
      <c r="A596" s="216"/>
      <c r="B596" s="205"/>
      <c r="C596" s="205"/>
      <c r="D596" s="205"/>
      <c r="E596" s="205"/>
      <c r="F596" s="201"/>
      <c r="H596" s="46"/>
      <c r="I596" s="236"/>
      <c r="J596" s="236"/>
      <c r="K596" s="193"/>
      <c r="L596" s="236"/>
      <c r="M596" s="193"/>
    </row>
    <row r="597" spans="1:13" x14ac:dyDescent="0.3">
      <c r="A597" s="216"/>
      <c r="B597" s="205"/>
      <c r="C597" s="205"/>
      <c r="D597" s="205"/>
      <c r="E597" s="205"/>
      <c r="F597" s="201"/>
      <c r="H597" s="46"/>
      <c r="I597" s="236"/>
      <c r="J597" s="236"/>
      <c r="K597" s="193"/>
      <c r="L597" s="236"/>
      <c r="M597" s="193"/>
    </row>
    <row r="598" spans="1:13" x14ac:dyDescent="0.3">
      <c r="A598" s="216"/>
      <c r="B598" s="205"/>
      <c r="C598" s="205"/>
      <c r="D598" s="205"/>
      <c r="E598" s="205"/>
      <c r="F598" s="201"/>
      <c r="H598" s="46"/>
      <c r="I598" s="236"/>
      <c r="J598" s="236"/>
      <c r="K598" s="193"/>
      <c r="L598" s="236"/>
      <c r="M598" s="193"/>
    </row>
    <row r="599" spans="1:13" x14ac:dyDescent="0.3">
      <c r="A599" s="216"/>
      <c r="B599" s="205"/>
      <c r="C599" s="205"/>
      <c r="D599" s="205"/>
      <c r="E599" s="205"/>
      <c r="F599" s="201"/>
      <c r="H599" s="46"/>
      <c r="I599" s="236"/>
      <c r="J599" s="236"/>
      <c r="K599" s="193"/>
      <c r="L599" s="236"/>
      <c r="M599" s="193"/>
    </row>
    <row r="600" spans="1:13" x14ac:dyDescent="0.3">
      <c r="A600" s="216"/>
      <c r="B600" s="205"/>
      <c r="C600" s="205"/>
      <c r="D600" s="205"/>
      <c r="E600" s="205"/>
      <c r="F600" s="201"/>
      <c r="H600" s="46"/>
      <c r="I600" s="236"/>
      <c r="J600" s="236"/>
      <c r="K600" s="193"/>
      <c r="L600" s="236"/>
      <c r="M600" s="193"/>
    </row>
    <row r="601" spans="1:13" x14ac:dyDescent="0.3">
      <c r="A601" s="216"/>
      <c r="B601" s="205"/>
      <c r="C601" s="205"/>
      <c r="D601" s="205"/>
      <c r="E601" s="205"/>
      <c r="F601" s="201"/>
      <c r="H601" s="46"/>
      <c r="I601" s="236"/>
      <c r="J601" s="236"/>
      <c r="K601" s="193"/>
      <c r="L601" s="236"/>
      <c r="M601" s="193"/>
    </row>
    <row r="602" spans="1:13" x14ac:dyDescent="0.3">
      <c r="A602" s="216"/>
      <c r="B602" s="205"/>
      <c r="C602" s="205"/>
      <c r="D602" s="205"/>
      <c r="E602" s="205"/>
      <c r="F602" s="201"/>
      <c r="H602" s="46"/>
      <c r="I602" s="236"/>
      <c r="J602" s="236"/>
      <c r="K602" s="193"/>
      <c r="L602" s="236"/>
      <c r="M602" s="193"/>
    </row>
    <row r="603" spans="1:13" x14ac:dyDescent="0.3">
      <c r="A603" s="216"/>
      <c r="B603" s="205"/>
      <c r="C603" s="205"/>
      <c r="D603" s="205"/>
      <c r="E603" s="205"/>
      <c r="F603" s="201"/>
      <c r="H603" s="46"/>
      <c r="I603" s="236"/>
      <c r="J603" s="236"/>
      <c r="K603" s="193"/>
      <c r="L603" s="236"/>
      <c r="M603" s="193"/>
    </row>
    <row r="604" spans="1:13" x14ac:dyDescent="0.3">
      <c r="A604" s="216"/>
      <c r="B604" s="205"/>
      <c r="C604" s="205"/>
      <c r="D604" s="205"/>
      <c r="E604" s="205"/>
      <c r="F604" s="201"/>
      <c r="H604" s="46"/>
      <c r="I604" s="236"/>
      <c r="J604" s="236"/>
      <c r="K604" s="193"/>
      <c r="L604" s="236"/>
      <c r="M604" s="193"/>
    </row>
    <row r="605" spans="1:13" x14ac:dyDescent="0.3">
      <c r="A605" s="216"/>
      <c r="B605" s="205"/>
      <c r="C605" s="205"/>
      <c r="D605" s="205"/>
      <c r="E605" s="205"/>
      <c r="F605" s="201"/>
      <c r="H605" s="46"/>
      <c r="I605" s="236"/>
      <c r="J605" s="236"/>
      <c r="K605" s="193"/>
      <c r="L605" s="236"/>
      <c r="M605" s="193"/>
    </row>
    <row r="606" spans="1:13" x14ac:dyDescent="0.3">
      <c r="A606" s="216"/>
      <c r="B606" s="205"/>
      <c r="C606" s="205"/>
      <c r="D606" s="205"/>
      <c r="E606" s="205"/>
      <c r="F606" s="201"/>
      <c r="H606" s="46"/>
      <c r="I606" s="236"/>
      <c r="J606" s="236"/>
      <c r="K606" s="193"/>
      <c r="L606" s="236"/>
      <c r="M606" s="193"/>
    </row>
    <row r="607" spans="1:13" x14ac:dyDescent="0.3">
      <c r="A607" s="216"/>
      <c r="B607" s="205"/>
      <c r="C607" s="205"/>
      <c r="D607" s="205"/>
      <c r="E607" s="205"/>
      <c r="F607" s="201"/>
      <c r="H607" s="46"/>
      <c r="I607" s="236"/>
      <c r="J607" s="236"/>
      <c r="K607" s="193"/>
      <c r="L607" s="236"/>
      <c r="M607" s="193"/>
    </row>
    <row r="608" spans="1:13" x14ac:dyDescent="0.3">
      <c r="A608" s="216"/>
      <c r="B608" s="205"/>
      <c r="C608" s="205"/>
      <c r="D608" s="205"/>
      <c r="E608" s="205"/>
      <c r="F608" s="201"/>
      <c r="H608" s="46"/>
      <c r="I608" s="236"/>
      <c r="J608" s="236"/>
      <c r="K608" s="193"/>
      <c r="L608" s="236"/>
      <c r="M608" s="193"/>
    </row>
    <row r="609" spans="1:13" x14ac:dyDescent="0.3">
      <c r="A609" s="216"/>
      <c r="B609" s="205"/>
      <c r="C609" s="205"/>
      <c r="D609" s="205"/>
      <c r="E609" s="205"/>
      <c r="F609" s="201"/>
      <c r="H609" s="46"/>
      <c r="I609" s="236"/>
      <c r="J609" s="236"/>
      <c r="K609" s="193"/>
      <c r="L609" s="236"/>
      <c r="M609" s="193"/>
    </row>
    <row r="610" spans="1:13" x14ac:dyDescent="0.3">
      <c r="A610" s="216"/>
      <c r="B610" s="205"/>
      <c r="C610" s="205"/>
      <c r="D610" s="205"/>
      <c r="E610" s="205"/>
      <c r="F610" s="201"/>
      <c r="H610" s="46"/>
      <c r="I610" s="236"/>
      <c r="J610" s="236"/>
      <c r="K610" s="193"/>
      <c r="L610" s="236"/>
      <c r="M610" s="193"/>
    </row>
    <row r="611" spans="1:13" x14ac:dyDescent="0.3">
      <c r="A611" s="216"/>
      <c r="B611" s="205"/>
      <c r="C611" s="205"/>
      <c r="D611" s="205"/>
      <c r="E611" s="205"/>
      <c r="F611" s="201"/>
      <c r="H611" s="46"/>
      <c r="I611" s="236"/>
      <c r="J611" s="236"/>
      <c r="K611" s="193"/>
      <c r="L611" s="236"/>
      <c r="M611" s="193"/>
    </row>
    <row r="612" spans="1:13" x14ac:dyDescent="0.3">
      <c r="A612" s="216"/>
      <c r="B612" s="205"/>
      <c r="C612" s="205"/>
      <c r="D612" s="205"/>
      <c r="E612" s="205"/>
      <c r="F612" s="201"/>
      <c r="H612" s="46"/>
      <c r="I612" s="236"/>
      <c r="J612" s="236"/>
      <c r="K612" s="193"/>
      <c r="L612" s="236"/>
      <c r="M612" s="193"/>
    </row>
    <row r="613" spans="1:13" x14ac:dyDescent="0.3">
      <c r="A613" s="216"/>
      <c r="B613" s="205"/>
      <c r="C613" s="205"/>
      <c r="D613" s="205"/>
      <c r="E613" s="205"/>
      <c r="F613" s="201"/>
      <c r="H613" s="46"/>
      <c r="I613" s="236"/>
      <c r="J613" s="236"/>
      <c r="K613" s="193"/>
      <c r="L613" s="236"/>
      <c r="M613" s="193"/>
    </row>
    <row r="614" spans="1:13" x14ac:dyDescent="0.3">
      <c r="A614" s="216"/>
      <c r="B614" s="205"/>
      <c r="C614" s="205"/>
      <c r="D614" s="205"/>
      <c r="E614" s="205"/>
      <c r="F614" s="201"/>
      <c r="H614" s="46"/>
      <c r="I614" s="236"/>
      <c r="J614" s="236"/>
      <c r="K614" s="193"/>
      <c r="L614" s="236"/>
      <c r="M614" s="193"/>
    </row>
    <row r="615" spans="1:13" x14ac:dyDescent="0.3">
      <c r="A615" s="216"/>
      <c r="B615" s="205"/>
      <c r="C615" s="205"/>
      <c r="D615" s="205"/>
      <c r="E615" s="205"/>
      <c r="F615" s="201"/>
      <c r="H615" s="46"/>
      <c r="I615" s="236"/>
      <c r="J615" s="236"/>
      <c r="K615" s="193"/>
      <c r="L615" s="236"/>
      <c r="M615" s="193"/>
    </row>
    <row r="616" spans="1:13" x14ac:dyDescent="0.3">
      <c r="A616" s="216"/>
      <c r="B616" s="205"/>
      <c r="C616" s="205"/>
      <c r="D616" s="205"/>
      <c r="E616" s="205"/>
      <c r="F616" s="201"/>
      <c r="H616" s="46"/>
      <c r="I616" s="236"/>
      <c r="J616" s="236"/>
      <c r="K616" s="193"/>
      <c r="L616" s="236"/>
      <c r="M616" s="193"/>
    </row>
    <row r="617" spans="1:13" x14ac:dyDescent="0.3">
      <c r="A617" s="216"/>
      <c r="B617" s="205"/>
      <c r="C617" s="205"/>
      <c r="D617" s="205"/>
      <c r="E617" s="205"/>
      <c r="F617" s="201"/>
      <c r="H617" s="46"/>
      <c r="I617" s="236"/>
      <c r="J617" s="236"/>
      <c r="K617" s="193"/>
      <c r="L617" s="236"/>
      <c r="M617" s="193"/>
    </row>
    <row r="618" spans="1:13" x14ac:dyDescent="0.3">
      <c r="A618" s="216"/>
      <c r="B618" s="205"/>
      <c r="C618" s="205"/>
      <c r="D618" s="205"/>
      <c r="E618" s="205"/>
      <c r="F618" s="201"/>
      <c r="H618" s="46"/>
      <c r="I618" s="236"/>
      <c r="J618" s="236"/>
      <c r="K618" s="193"/>
      <c r="L618" s="236"/>
      <c r="M618" s="193"/>
    </row>
    <row r="619" spans="1:13" x14ac:dyDescent="0.3">
      <c r="A619" s="216"/>
      <c r="B619" s="205"/>
      <c r="C619" s="205"/>
      <c r="D619" s="205"/>
      <c r="E619" s="205"/>
      <c r="F619" s="201"/>
      <c r="H619" s="46"/>
      <c r="I619" s="236"/>
      <c r="J619" s="236"/>
      <c r="K619" s="193"/>
      <c r="L619" s="236"/>
      <c r="M619" s="193"/>
    </row>
    <row r="620" spans="1:13" x14ac:dyDescent="0.3">
      <c r="A620" s="216"/>
      <c r="B620" s="205"/>
      <c r="C620" s="205"/>
      <c r="D620" s="205"/>
      <c r="E620" s="205"/>
      <c r="F620" s="201"/>
      <c r="H620" s="46"/>
      <c r="I620" s="236"/>
      <c r="J620" s="236"/>
      <c r="K620" s="193"/>
      <c r="L620" s="236"/>
      <c r="M620" s="193"/>
    </row>
    <row r="621" spans="1:13" x14ac:dyDescent="0.3">
      <c r="A621" s="216"/>
      <c r="B621" s="205"/>
      <c r="C621" s="205"/>
      <c r="D621" s="205"/>
      <c r="E621" s="205"/>
      <c r="F621" s="201"/>
      <c r="H621" s="46"/>
      <c r="I621" s="236"/>
      <c r="J621" s="236"/>
      <c r="K621" s="193"/>
      <c r="L621" s="236"/>
      <c r="M621" s="193"/>
    </row>
    <row r="622" spans="1:13" x14ac:dyDescent="0.3">
      <c r="A622" s="216"/>
      <c r="B622" s="205"/>
      <c r="C622" s="205"/>
      <c r="D622" s="205"/>
      <c r="E622" s="205"/>
      <c r="F622" s="201"/>
      <c r="H622" s="46"/>
      <c r="I622" s="236"/>
      <c r="J622" s="236"/>
      <c r="K622" s="193"/>
      <c r="L622" s="236"/>
      <c r="M622" s="193"/>
    </row>
    <row r="623" spans="1:13" x14ac:dyDescent="0.3">
      <c r="A623" s="216"/>
      <c r="B623" s="205"/>
      <c r="C623" s="205"/>
      <c r="D623" s="205"/>
      <c r="E623" s="205"/>
      <c r="F623" s="201"/>
      <c r="H623" s="46"/>
      <c r="I623" s="236"/>
      <c r="J623" s="236"/>
      <c r="K623" s="193"/>
      <c r="L623" s="236"/>
      <c r="M623" s="193"/>
    </row>
    <row r="624" spans="1:13" x14ac:dyDescent="0.3">
      <c r="A624" s="216"/>
      <c r="B624" s="205"/>
      <c r="C624" s="205"/>
      <c r="D624" s="205"/>
      <c r="E624" s="205"/>
      <c r="F624" s="201"/>
      <c r="H624" s="46"/>
      <c r="I624" s="236"/>
      <c r="J624" s="236"/>
      <c r="K624" s="193"/>
      <c r="L624" s="236"/>
      <c r="M624" s="193"/>
    </row>
    <row r="625" spans="1:13" x14ac:dyDescent="0.3">
      <c r="A625" s="216"/>
      <c r="B625" s="205"/>
      <c r="C625" s="205"/>
      <c r="D625" s="205"/>
      <c r="E625" s="205"/>
      <c r="F625" s="201"/>
      <c r="H625" s="46"/>
      <c r="I625" s="236"/>
      <c r="J625" s="236"/>
      <c r="K625" s="193"/>
      <c r="L625" s="236"/>
      <c r="M625" s="193"/>
    </row>
    <row r="626" spans="1:13" x14ac:dyDescent="0.3">
      <c r="A626" s="216"/>
      <c r="B626" s="205"/>
      <c r="C626" s="205"/>
      <c r="D626" s="205"/>
      <c r="E626" s="205"/>
      <c r="F626" s="201"/>
      <c r="H626" s="46"/>
      <c r="I626" s="236"/>
      <c r="J626" s="236"/>
      <c r="K626" s="193"/>
      <c r="L626" s="236"/>
      <c r="M626" s="193"/>
    </row>
    <row r="627" spans="1:13" x14ac:dyDescent="0.3">
      <c r="A627" s="216"/>
      <c r="B627" s="205"/>
      <c r="C627" s="205"/>
      <c r="D627" s="205"/>
      <c r="E627" s="205"/>
      <c r="F627" s="201"/>
      <c r="H627" s="46"/>
      <c r="I627" s="236"/>
      <c r="J627" s="236"/>
      <c r="K627" s="193"/>
      <c r="L627" s="236"/>
      <c r="M627" s="193"/>
    </row>
    <row r="628" spans="1:13" x14ac:dyDescent="0.3">
      <c r="A628" s="216"/>
      <c r="B628" s="205"/>
      <c r="C628" s="205"/>
      <c r="D628" s="205"/>
      <c r="E628" s="205"/>
      <c r="F628" s="201"/>
      <c r="H628" s="46"/>
      <c r="I628" s="236"/>
      <c r="J628" s="236"/>
      <c r="K628" s="193"/>
      <c r="L628" s="236"/>
      <c r="M628" s="193"/>
    </row>
    <row r="629" spans="1:13" x14ac:dyDescent="0.3">
      <c r="A629" s="216"/>
      <c r="B629" s="205"/>
      <c r="C629" s="205"/>
      <c r="D629" s="205"/>
      <c r="E629" s="205"/>
      <c r="F629" s="201"/>
      <c r="H629" s="46"/>
      <c r="I629" s="236"/>
      <c r="J629" s="236"/>
      <c r="K629" s="193"/>
      <c r="L629" s="236"/>
      <c r="M629" s="193"/>
    </row>
    <row r="630" spans="1:13" x14ac:dyDescent="0.3">
      <c r="A630" s="216"/>
      <c r="B630" s="205"/>
      <c r="C630" s="205"/>
      <c r="D630" s="205"/>
      <c r="E630" s="205"/>
      <c r="F630" s="201"/>
      <c r="H630" s="46"/>
      <c r="I630" s="236"/>
      <c r="J630" s="236"/>
      <c r="K630" s="193"/>
      <c r="L630" s="236"/>
      <c r="M630" s="193"/>
    </row>
    <row r="631" spans="1:13" x14ac:dyDescent="0.3">
      <c r="A631" s="216"/>
      <c r="B631" s="205"/>
      <c r="C631" s="205"/>
      <c r="D631" s="205"/>
      <c r="E631" s="205"/>
      <c r="F631" s="201"/>
      <c r="H631" s="46"/>
      <c r="I631" s="236"/>
      <c r="J631" s="236"/>
      <c r="K631" s="193"/>
      <c r="L631" s="236"/>
      <c r="M631" s="193"/>
    </row>
    <row r="632" spans="1:13" x14ac:dyDescent="0.3">
      <c r="A632" s="216"/>
      <c r="B632" s="205"/>
      <c r="C632" s="205"/>
      <c r="D632" s="205"/>
      <c r="E632" s="205"/>
      <c r="F632" s="201"/>
      <c r="H632" s="46"/>
      <c r="I632" s="236"/>
      <c r="J632" s="236"/>
      <c r="K632" s="193"/>
      <c r="L632" s="236"/>
      <c r="M632" s="193"/>
    </row>
    <row r="633" spans="1:13" x14ac:dyDescent="0.3">
      <c r="A633" s="216"/>
      <c r="B633" s="205"/>
      <c r="C633" s="205"/>
      <c r="D633" s="205"/>
      <c r="E633" s="205"/>
      <c r="F633" s="201"/>
      <c r="H633" s="46"/>
      <c r="I633" s="236"/>
      <c r="J633" s="236"/>
      <c r="K633" s="193"/>
      <c r="L633" s="236"/>
      <c r="M633" s="193"/>
    </row>
    <row r="634" spans="1:13" x14ac:dyDescent="0.3">
      <c r="A634" s="216"/>
      <c r="B634" s="205"/>
      <c r="C634" s="205"/>
      <c r="D634" s="205"/>
      <c r="E634" s="205"/>
      <c r="F634" s="201"/>
      <c r="H634" s="46"/>
      <c r="I634" s="236"/>
      <c r="J634" s="236"/>
      <c r="K634" s="193"/>
      <c r="L634" s="236"/>
      <c r="M634" s="193"/>
    </row>
    <row r="635" spans="1:13" x14ac:dyDescent="0.3">
      <c r="A635" s="216"/>
      <c r="B635" s="205"/>
      <c r="C635" s="205"/>
      <c r="D635" s="205"/>
      <c r="E635" s="205"/>
      <c r="F635" s="201"/>
      <c r="H635" s="46"/>
      <c r="I635" s="236"/>
      <c r="J635" s="236"/>
      <c r="K635" s="193"/>
      <c r="L635" s="236"/>
      <c r="M635" s="193"/>
    </row>
    <row r="636" spans="1:13" x14ac:dyDescent="0.3">
      <c r="A636" s="216"/>
      <c r="B636" s="205"/>
      <c r="C636" s="205"/>
      <c r="D636" s="205"/>
      <c r="E636" s="205"/>
      <c r="F636" s="201"/>
      <c r="H636" s="46"/>
      <c r="I636" s="236"/>
      <c r="J636" s="236"/>
      <c r="K636" s="193"/>
      <c r="L636" s="236"/>
      <c r="M636" s="193"/>
    </row>
    <row r="637" spans="1:13" x14ac:dyDescent="0.3">
      <c r="A637" s="216"/>
      <c r="B637" s="205"/>
      <c r="C637" s="205"/>
      <c r="D637" s="205"/>
      <c r="E637" s="205"/>
      <c r="F637" s="201"/>
      <c r="H637" s="46"/>
      <c r="I637" s="236"/>
      <c r="J637" s="236"/>
      <c r="K637" s="193"/>
      <c r="L637" s="236"/>
      <c r="M637" s="193"/>
    </row>
    <row r="638" spans="1:13" x14ac:dyDescent="0.3">
      <c r="A638" s="216"/>
      <c r="B638" s="205"/>
      <c r="C638" s="205"/>
      <c r="D638" s="205"/>
      <c r="E638" s="205"/>
      <c r="F638" s="201"/>
      <c r="H638" s="46"/>
      <c r="I638" s="236"/>
      <c r="J638" s="236"/>
      <c r="K638" s="193"/>
      <c r="L638" s="236"/>
      <c r="M638" s="193"/>
    </row>
    <row r="639" spans="1:13" x14ac:dyDescent="0.3">
      <c r="A639" s="216"/>
      <c r="B639" s="205"/>
      <c r="C639" s="205"/>
      <c r="D639" s="205"/>
      <c r="E639" s="205"/>
      <c r="F639" s="201"/>
      <c r="H639" s="46"/>
      <c r="I639" s="236"/>
      <c r="J639" s="236"/>
      <c r="K639" s="193"/>
      <c r="L639" s="236"/>
      <c r="M639" s="193"/>
    </row>
    <row r="640" spans="1:13" x14ac:dyDescent="0.3">
      <c r="A640" s="216"/>
      <c r="B640" s="205"/>
      <c r="C640" s="205"/>
      <c r="D640" s="205"/>
      <c r="E640" s="205"/>
      <c r="F640" s="201"/>
      <c r="H640" s="46"/>
      <c r="I640" s="236"/>
      <c r="J640" s="236"/>
      <c r="K640" s="193"/>
      <c r="L640" s="236"/>
      <c r="M640" s="193"/>
    </row>
    <row r="641" spans="1:13" x14ac:dyDescent="0.3">
      <c r="A641" s="216"/>
      <c r="B641" s="205"/>
      <c r="C641" s="205"/>
      <c r="D641" s="205"/>
      <c r="E641" s="205"/>
      <c r="F641" s="201"/>
      <c r="H641" s="46"/>
      <c r="I641" s="236"/>
      <c r="J641" s="236"/>
      <c r="K641" s="193"/>
      <c r="L641" s="236"/>
      <c r="M641" s="193"/>
    </row>
    <row r="642" spans="1:13" x14ac:dyDescent="0.3">
      <c r="A642" s="216"/>
      <c r="B642" s="205"/>
      <c r="C642" s="205"/>
      <c r="D642" s="205"/>
      <c r="E642" s="205"/>
      <c r="F642" s="201"/>
      <c r="H642" s="46"/>
      <c r="I642" s="236"/>
      <c r="J642" s="236"/>
      <c r="K642" s="193"/>
      <c r="L642" s="236"/>
      <c r="M642" s="193"/>
    </row>
    <row r="643" spans="1:13" x14ac:dyDescent="0.3">
      <c r="A643" s="216"/>
      <c r="B643" s="205"/>
      <c r="C643" s="205"/>
      <c r="D643" s="205"/>
      <c r="E643" s="205"/>
      <c r="F643" s="201"/>
      <c r="H643" s="46"/>
      <c r="I643" s="236"/>
      <c r="J643" s="236"/>
      <c r="K643" s="193"/>
      <c r="L643" s="236"/>
      <c r="M643" s="193"/>
    </row>
    <row r="644" spans="1:13" x14ac:dyDescent="0.3">
      <c r="A644" s="216"/>
      <c r="B644" s="205"/>
      <c r="C644" s="205"/>
      <c r="D644" s="205"/>
      <c r="E644" s="205"/>
      <c r="F644" s="201"/>
      <c r="H644" s="46"/>
      <c r="I644" s="236"/>
      <c r="J644" s="236"/>
      <c r="K644" s="193"/>
      <c r="L644" s="236"/>
      <c r="M644" s="193"/>
    </row>
    <row r="645" spans="1:13" x14ac:dyDescent="0.3">
      <c r="A645" s="216"/>
      <c r="B645" s="205"/>
      <c r="C645" s="205"/>
      <c r="D645" s="205"/>
      <c r="E645" s="205"/>
      <c r="F645" s="201"/>
      <c r="H645" s="46"/>
      <c r="I645" s="236"/>
      <c r="J645" s="236"/>
      <c r="K645" s="193"/>
      <c r="L645" s="236"/>
      <c r="M645" s="193"/>
    </row>
    <row r="646" spans="1:13" x14ac:dyDescent="0.3">
      <c r="A646" s="216"/>
      <c r="B646" s="205"/>
      <c r="C646" s="205"/>
      <c r="D646" s="205"/>
      <c r="E646" s="205"/>
      <c r="F646" s="201"/>
      <c r="H646" s="46"/>
      <c r="I646" s="236"/>
      <c r="J646" s="236"/>
      <c r="K646" s="193"/>
      <c r="L646" s="236"/>
      <c r="M646" s="193"/>
    </row>
    <row r="647" spans="1:13" x14ac:dyDescent="0.3">
      <c r="A647" s="216"/>
      <c r="B647" s="205"/>
      <c r="C647" s="205"/>
      <c r="D647" s="205"/>
      <c r="E647" s="205"/>
      <c r="F647" s="201"/>
      <c r="H647" s="46"/>
      <c r="I647" s="236"/>
      <c r="J647" s="236"/>
      <c r="K647" s="193"/>
      <c r="L647" s="236"/>
      <c r="M647" s="193"/>
    </row>
    <row r="648" spans="1:13" x14ac:dyDescent="0.3">
      <c r="A648" s="216"/>
      <c r="B648" s="205"/>
      <c r="C648" s="205"/>
      <c r="D648" s="205"/>
      <c r="E648" s="205"/>
      <c r="F648" s="201"/>
      <c r="H648" s="46"/>
      <c r="I648" s="236"/>
      <c r="J648" s="236"/>
      <c r="K648" s="193"/>
      <c r="L648" s="236"/>
      <c r="M648" s="193"/>
    </row>
    <row r="649" spans="1:13" x14ac:dyDescent="0.3">
      <c r="A649" s="216"/>
      <c r="B649" s="205"/>
      <c r="C649" s="205"/>
      <c r="D649" s="205"/>
      <c r="E649" s="205"/>
      <c r="F649" s="201"/>
      <c r="H649" s="46"/>
      <c r="I649" s="236"/>
      <c r="J649" s="236"/>
      <c r="K649" s="193"/>
      <c r="L649" s="236"/>
      <c r="M649" s="193"/>
    </row>
    <row r="650" spans="1:13" x14ac:dyDescent="0.3">
      <c r="A650" s="216"/>
      <c r="B650" s="205"/>
      <c r="C650" s="205"/>
      <c r="D650" s="205"/>
      <c r="E650" s="205"/>
      <c r="F650" s="201"/>
      <c r="H650" s="46"/>
      <c r="I650" s="236"/>
      <c r="J650" s="236"/>
      <c r="K650" s="193"/>
      <c r="L650" s="236"/>
      <c r="M650" s="193"/>
    </row>
    <row r="651" spans="1:13" x14ac:dyDescent="0.3">
      <c r="A651" s="216"/>
      <c r="B651" s="205"/>
      <c r="C651" s="205"/>
      <c r="D651" s="205"/>
      <c r="E651" s="205"/>
      <c r="F651" s="201"/>
      <c r="H651" s="46"/>
      <c r="I651" s="236"/>
      <c r="J651" s="236"/>
      <c r="K651" s="193"/>
      <c r="L651" s="236"/>
      <c r="M651" s="193"/>
    </row>
    <row r="652" spans="1:13" x14ac:dyDescent="0.3">
      <c r="A652" s="216"/>
      <c r="B652" s="205"/>
      <c r="C652" s="205"/>
      <c r="D652" s="205"/>
      <c r="E652" s="205"/>
      <c r="F652" s="201"/>
      <c r="H652" s="46"/>
      <c r="I652" s="236"/>
      <c r="J652" s="236"/>
      <c r="K652" s="193"/>
      <c r="L652" s="236"/>
      <c r="M652" s="193"/>
    </row>
    <row r="653" spans="1:13" x14ac:dyDescent="0.3">
      <c r="A653" s="216"/>
      <c r="B653" s="205"/>
      <c r="C653" s="205"/>
      <c r="D653" s="205"/>
      <c r="E653" s="205"/>
      <c r="F653" s="201"/>
      <c r="H653" s="46"/>
      <c r="I653" s="236"/>
      <c r="J653" s="236"/>
      <c r="K653" s="193"/>
      <c r="L653" s="236"/>
      <c r="M653" s="193"/>
    </row>
    <row r="654" spans="1:13" x14ac:dyDescent="0.3">
      <c r="A654" s="216"/>
      <c r="B654" s="205"/>
      <c r="C654" s="205"/>
      <c r="D654" s="205"/>
      <c r="E654" s="205"/>
      <c r="F654" s="201"/>
      <c r="H654" s="46"/>
      <c r="I654" s="236"/>
      <c r="J654" s="236"/>
      <c r="K654" s="193"/>
      <c r="L654" s="236"/>
      <c r="M654" s="193"/>
    </row>
    <row r="655" spans="1:13" x14ac:dyDescent="0.3">
      <c r="A655" s="216"/>
      <c r="B655" s="205"/>
      <c r="C655" s="205"/>
      <c r="D655" s="205"/>
      <c r="E655" s="205"/>
      <c r="F655" s="201"/>
      <c r="H655" s="46"/>
      <c r="I655" s="236"/>
      <c r="J655" s="236"/>
      <c r="K655" s="193"/>
      <c r="L655" s="236"/>
      <c r="M655" s="193"/>
    </row>
    <row r="656" spans="1:13" x14ac:dyDescent="0.3">
      <c r="A656" s="216"/>
      <c r="B656" s="205"/>
      <c r="C656" s="205"/>
      <c r="D656" s="205"/>
      <c r="E656" s="205"/>
      <c r="F656" s="201"/>
      <c r="H656" s="46"/>
      <c r="I656" s="236"/>
      <c r="J656" s="236"/>
      <c r="K656" s="193"/>
      <c r="L656" s="236"/>
      <c r="M656" s="193"/>
    </row>
    <row r="657" spans="1:13" x14ac:dyDescent="0.3">
      <c r="A657" s="216"/>
      <c r="B657" s="205"/>
      <c r="C657" s="205"/>
      <c r="D657" s="205"/>
      <c r="E657" s="205"/>
      <c r="F657" s="201"/>
      <c r="H657" s="46"/>
      <c r="I657" s="236"/>
      <c r="J657" s="236"/>
      <c r="K657" s="193"/>
      <c r="L657" s="236"/>
      <c r="M657" s="193"/>
    </row>
    <row r="658" spans="1:13" x14ac:dyDescent="0.3">
      <c r="A658" s="216"/>
      <c r="B658" s="205"/>
      <c r="C658" s="205"/>
      <c r="D658" s="205"/>
      <c r="E658" s="205"/>
      <c r="F658" s="201"/>
      <c r="H658" s="46"/>
      <c r="I658" s="236"/>
      <c r="J658" s="236"/>
      <c r="K658" s="193"/>
      <c r="L658" s="236"/>
      <c r="M658" s="193"/>
    </row>
    <row r="659" spans="1:13" x14ac:dyDescent="0.3">
      <c r="A659" s="216"/>
      <c r="B659" s="205"/>
      <c r="C659" s="205"/>
      <c r="D659" s="205"/>
      <c r="E659" s="205"/>
      <c r="F659" s="201"/>
      <c r="H659" s="46"/>
      <c r="I659" s="236"/>
      <c r="J659" s="236"/>
      <c r="K659" s="193"/>
      <c r="L659" s="236"/>
      <c r="M659" s="193"/>
    </row>
    <row r="660" spans="1:13" x14ac:dyDescent="0.3">
      <c r="A660" s="216"/>
      <c r="B660" s="205"/>
      <c r="C660" s="205"/>
      <c r="D660" s="205"/>
      <c r="E660" s="205"/>
      <c r="F660" s="201"/>
      <c r="H660" s="46"/>
      <c r="I660" s="236"/>
      <c r="J660" s="236"/>
      <c r="K660" s="193"/>
      <c r="L660" s="236"/>
      <c r="M660" s="193"/>
    </row>
    <row r="661" spans="1:13" x14ac:dyDescent="0.3">
      <c r="A661" s="216"/>
      <c r="B661" s="205"/>
      <c r="C661" s="205"/>
      <c r="D661" s="205"/>
      <c r="E661" s="205"/>
      <c r="F661" s="201"/>
      <c r="H661" s="46"/>
      <c r="I661" s="236"/>
      <c r="J661" s="236"/>
      <c r="K661" s="193"/>
      <c r="L661" s="236"/>
      <c r="M661" s="193"/>
    </row>
    <row r="662" spans="1:13" x14ac:dyDescent="0.3">
      <c r="A662" s="216"/>
      <c r="B662" s="205"/>
      <c r="C662" s="205"/>
      <c r="D662" s="205"/>
      <c r="E662" s="205"/>
      <c r="F662" s="201"/>
      <c r="H662" s="46"/>
      <c r="I662" s="236"/>
      <c r="J662" s="236"/>
      <c r="K662" s="193"/>
      <c r="L662" s="236"/>
      <c r="M662" s="193"/>
    </row>
    <row r="663" spans="1:13" x14ac:dyDescent="0.3">
      <c r="A663" s="216"/>
      <c r="B663" s="205"/>
      <c r="C663" s="205"/>
      <c r="D663" s="205"/>
      <c r="E663" s="205"/>
      <c r="F663" s="201"/>
      <c r="H663" s="46"/>
      <c r="I663" s="236"/>
      <c r="J663" s="236"/>
      <c r="K663" s="193"/>
      <c r="L663" s="236"/>
      <c r="M663" s="193"/>
    </row>
    <row r="664" spans="1:13" x14ac:dyDescent="0.3">
      <c r="A664" s="216"/>
      <c r="B664" s="205"/>
      <c r="C664" s="205"/>
      <c r="D664" s="205"/>
      <c r="E664" s="205"/>
      <c r="F664" s="201"/>
      <c r="H664" s="46"/>
      <c r="I664" s="236"/>
      <c r="J664" s="236"/>
      <c r="K664" s="193"/>
      <c r="L664" s="236"/>
      <c r="M664" s="193"/>
    </row>
    <row r="665" spans="1:13" x14ac:dyDescent="0.3">
      <c r="A665" s="216"/>
      <c r="B665" s="205"/>
      <c r="C665" s="205"/>
      <c r="D665" s="205"/>
      <c r="E665" s="205"/>
      <c r="F665" s="201"/>
      <c r="H665" s="46"/>
      <c r="I665" s="236"/>
      <c r="J665" s="236"/>
      <c r="K665" s="193"/>
      <c r="L665" s="236"/>
      <c r="M665" s="193"/>
    </row>
    <row r="666" spans="1:13" x14ac:dyDescent="0.3">
      <c r="A666" s="216"/>
      <c r="B666" s="205"/>
      <c r="C666" s="205"/>
      <c r="D666" s="205"/>
      <c r="E666" s="205"/>
      <c r="F666" s="201"/>
      <c r="H666" s="46"/>
      <c r="I666" s="236"/>
      <c r="J666" s="236"/>
      <c r="K666" s="193"/>
      <c r="L666" s="236"/>
      <c r="M666" s="193"/>
    </row>
    <row r="667" spans="1:13" x14ac:dyDescent="0.3">
      <c r="A667" s="216"/>
      <c r="B667" s="205"/>
      <c r="C667" s="205"/>
      <c r="D667" s="205"/>
      <c r="E667" s="205"/>
      <c r="F667" s="201"/>
      <c r="H667" s="46"/>
      <c r="I667" s="236"/>
      <c r="J667" s="236"/>
      <c r="K667" s="193"/>
      <c r="L667" s="236"/>
      <c r="M667" s="193"/>
    </row>
    <row r="668" spans="1:13" x14ac:dyDescent="0.3">
      <c r="A668" s="216"/>
      <c r="B668" s="205"/>
      <c r="C668" s="205"/>
      <c r="D668" s="205"/>
      <c r="E668" s="205"/>
      <c r="F668" s="201"/>
      <c r="H668" s="46"/>
      <c r="I668" s="236"/>
      <c r="J668" s="236"/>
      <c r="K668" s="193"/>
      <c r="L668" s="236"/>
      <c r="M668" s="193"/>
    </row>
    <row r="669" spans="1:13" x14ac:dyDescent="0.3">
      <c r="A669" s="216"/>
      <c r="B669" s="205"/>
      <c r="C669" s="205"/>
      <c r="D669" s="205"/>
      <c r="E669" s="205"/>
      <c r="F669" s="201"/>
      <c r="H669" s="46"/>
      <c r="I669" s="236"/>
      <c r="J669" s="236"/>
      <c r="K669" s="193"/>
      <c r="L669" s="236"/>
      <c r="M669" s="193"/>
    </row>
    <row r="670" spans="1:13" x14ac:dyDescent="0.3">
      <c r="A670" s="216"/>
      <c r="B670" s="205"/>
      <c r="C670" s="205"/>
      <c r="D670" s="205"/>
      <c r="E670" s="205"/>
      <c r="F670" s="201"/>
      <c r="H670" s="46"/>
      <c r="I670" s="236"/>
      <c r="J670" s="236"/>
      <c r="K670" s="193"/>
      <c r="L670" s="236"/>
      <c r="M670" s="193"/>
    </row>
    <row r="671" spans="1:13" x14ac:dyDescent="0.3">
      <c r="A671" s="216"/>
      <c r="B671" s="205"/>
      <c r="C671" s="205"/>
      <c r="D671" s="205"/>
      <c r="E671" s="205"/>
      <c r="F671" s="201"/>
      <c r="H671" s="46"/>
      <c r="I671" s="236"/>
      <c r="J671" s="236"/>
      <c r="K671" s="193"/>
      <c r="L671" s="236"/>
      <c r="M671" s="193"/>
    </row>
    <row r="672" spans="1:13" x14ac:dyDescent="0.3">
      <c r="A672" s="216"/>
      <c r="B672" s="205"/>
      <c r="C672" s="205"/>
      <c r="D672" s="205"/>
      <c r="E672" s="205"/>
      <c r="F672" s="201"/>
      <c r="H672" s="46"/>
      <c r="I672" s="236"/>
      <c r="J672" s="236"/>
      <c r="K672" s="193"/>
      <c r="L672" s="236"/>
      <c r="M672" s="193"/>
    </row>
    <row r="673" spans="1:13" x14ac:dyDescent="0.3">
      <c r="A673" s="216"/>
      <c r="B673" s="205"/>
      <c r="C673" s="205"/>
      <c r="D673" s="205"/>
      <c r="E673" s="205"/>
      <c r="F673" s="201"/>
      <c r="H673" s="46"/>
      <c r="I673" s="236"/>
      <c r="J673" s="236"/>
      <c r="K673" s="193"/>
      <c r="L673" s="236"/>
      <c r="M673" s="193"/>
    </row>
    <row r="674" spans="1:13" x14ac:dyDescent="0.3">
      <c r="A674" s="216"/>
      <c r="B674" s="205"/>
      <c r="C674" s="205"/>
      <c r="D674" s="205"/>
      <c r="E674" s="205"/>
      <c r="F674" s="201"/>
      <c r="H674" s="46"/>
      <c r="I674" s="236"/>
      <c r="J674" s="236"/>
      <c r="K674" s="193"/>
      <c r="L674" s="236"/>
      <c r="M674" s="193"/>
    </row>
    <row r="675" spans="1:13" x14ac:dyDescent="0.3">
      <c r="A675" s="216"/>
      <c r="B675" s="205"/>
      <c r="C675" s="205"/>
      <c r="D675" s="205"/>
      <c r="E675" s="205"/>
      <c r="F675" s="201"/>
      <c r="H675" s="46"/>
      <c r="I675" s="236"/>
      <c r="J675" s="236"/>
      <c r="K675" s="193"/>
      <c r="L675" s="236"/>
      <c r="M675" s="193"/>
    </row>
    <row r="676" spans="1:13" x14ac:dyDescent="0.3">
      <c r="A676" s="216"/>
      <c r="B676" s="205"/>
      <c r="C676" s="205"/>
      <c r="D676" s="205"/>
      <c r="E676" s="205"/>
      <c r="F676" s="201"/>
      <c r="H676" s="46"/>
      <c r="I676" s="236"/>
      <c r="J676" s="236"/>
      <c r="K676" s="193"/>
      <c r="L676" s="236"/>
      <c r="M676" s="193"/>
    </row>
    <row r="677" spans="1:13" x14ac:dyDescent="0.3">
      <c r="A677" s="216"/>
      <c r="B677" s="205"/>
      <c r="C677" s="205"/>
      <c r="D677" s="205"/>
      <c r="E677" s="205"/>
      <c r="F677" s="201"/>
      <c r="H677" s="46"/>
      <c r="I677" s="236"/>
      <c r="J677" s="236"/>
      <c r="K677" s="193"/>
      <c r="L677" s="236"/>
      <c r="M677" s="193"/>
    </row>
    <row r="678" spans="1:13" x14ac:dyDescent="0.3">
      <c r="A678" s="216"/>
      <c r="B678" s="205"/>
      <c r="C678" s="205"/>
      <c r="D678" s="205"/>
      <c r="E678" s="205"/>
      <c r="F678" s="201"/>
      <c r="H678" s="46"/>
      <c r="I678" s="236"/>
      <c r="J678" s="236"/>
      <c r="K678" s="193"/>
      <c r="L678" s="236"/>
      <c r="M678" s="193"/>
    </row>
    <row r="679" spans="1:13" x14ac:dyDescent="0.3">
      <c r="A679" s="216"/>
      <c r="B679" s="205"/>
      <c r="C679" s="205"/>
      <c r="D679" s="205"/>
      <c r="E679" s="205"/>
      <c r="F679" s="201"/>
      <c r="H679" s="46"/>
      <c r="I679" s="236"/>
      <c r="J679" s="236"/>
      <c r="K679" s="193"/>
      <c r="L679" s="236"/>
      <c r="M679" s="193"/>
    </row>
    <row r="680" spans="1:13" x14ac:dyDescent="0.3">
      <c r="A680" s="216"/>
      <c r="B680" s="205"/>
      <c r="C680" s="205"/>
      <c r="D680" s="205"/>
      <c r="E680" s="205"/>
      <c r="F680" s="201"/>
      <c r="H680" s="46"/>
      <c r="I680" s="236"/>
      <c r="J680" s="236"/>
      <c r="K680" s="193"/>
      <c r="L680" s="236"/>
      <c r="M680" s="193"/>
    </row>
    <row r="681" spans="1:13" x14ac:dyDescent="0.3">
      <c r="A681" s="216"/>
      <c r="B681" s="205"/>
      <c r="C681" s="205"/>
      <c r="D681" s="205"/>
      <c r="E681" s="205"/>
      <c r="F681" s="201"/>
      <c r="H681" s="46"/>
      <c r="I681" s="236"/>
      <c r="J681" s="236"/>
      <c r="K681" s="193"/>
      <c r="L681" s="236"/>
      <c r="M681" s="193"/>
    </row>
    <row r="682" spans="1:13" x14ac:dyDescent="0.3">
      <c r="A682" s="216"/>
      <c r="B682" s="205"/>
      <c r="C682" s="205"/>
      <c r="D682" s="205"/>
      <c r="E682" s="205"/>
      <c r="F682" s="201"/>
      <c r="H682" s="46"/>
      <c r="I682" s="236"/>
      <c r="J682" s="236"/>
      <c r="K682" s="193"/>
      <c r="L682" s="236"/>
      <c r="M682" s="193"/>
    </row>
    <row r="683" spans="1:13" x14ac:dyDescent="0.3">
      <c r="A683" s="216"/>
      <c r="B683" s="205"/>
      <c r="C683" s="205"/>
      <c r="D683" s="205"/>
      <c r="E683" s="205"/>
      <c r="F683" s="201"/>
      <c r="H683" s="46"/>
      <c r="I683" s="236"/>
      <c r="J683" s="236"/>
      <c r="K683" s="193"/>
      <c r="L683" s="236"/>
      <c r="M683" s="193"/>
    </row>
    <row r="684" spans="1:13" x14ac:dyDescent="0.3">
      <c r="A684" s="216"/>
      <c r="B684" s="205"/>
      <c r="C684" s="205"/>
      <c r="D684" s="205"/>
      <c r="E684" s="205"/>
      <c r="F684" s="201"/>
      <c r="H684" s="46"/>
      <c r="I684" s="236"/>
      <c r="J684" s="236"/>
      <c r="K684" s="193"/>
      <c r="L684" s="236"/>
      <c r="M684" s="193"/>
    </row>
    <row r="685" spans="1:13" x14ac:dyDescent="0.3">
      <c r="A685" s="216"/>
      <c r="B685" s="205"/>
      <c r="C685" s="205"/>
      <c r="D685" s="205"/>
      <c r="E685" s="205"/>
      <c r="F685" s="201"/>
      <c r="H685" s="46"/>
      <c r="I685" s="236"/>
      <c r="J685" s="236"/>
      <c r="K685" s="193"/>
      <c r="L685" s="236"/>
      <c r="M685" s="193"/>
    </row>
    <row r="686" spans="1:13" x14ac:dyDescent="0.3">
      <c r="A686" s="216"/>
      <c r="B686" s="205"/>
      <c r="C686" s="205"/>
      <c r="D686" s="205"/>
      <c r="E686" s="205"/>
      <c r="F686" s="201"/>
      <c r="H686" s="46"/>
      <c r="I686" s="236"/>
      <c r="J686" s="236"/>
      <c r="K686" s="193"/>
      <c r="L686" s="236"/>
      <c r="M686" s="193"/>
    </row>
    <row r="687" spans="1:13" x14ac:dyDescent="0.3">
      <c r="A687" s="216"/>
      <c r="B687" s="205"/>
      <c r="C687" s="205"/>
      <c r="D687" s="205"/>
      <c r="E687" s="205"/>
      <c r="F687" s="201"/>
      <c r="H687" s="46"/>
      <c r="I687" s="236"/>
      <c r="J687" s="236"/>
      <c r="K687" s="193"/>
      <c r="L687" s="236"/>
      <c r="M687" s="193"/>
    </row>
    <row r="688" spans="1:13" x14ac:dyDescent="0.3">
      <c r="A688" s="216"/>
      <c r="B688" s="205"/>
      <c r="C688" s="205"/>
      <c r="D688" s="205"/>
      <c r="E688" s="205"/>
      <c r="F688" s="201"/>
      <c r="H688" s="46"/>
      <c r="I688" s="236"/>
      <c r="J688" s="236"/>
      <c r="K688" s="193"/>
      <c r="L688" s="236"/>
      <c r="M688" s="193"/>
    </row>
    <row r="689" spans="1:13" x14ac:dyDescent="0.3">
      <c r="A689" s="216"/>
      <c r="B689" s="205"/>
      <c r="C689" s="205"/>
      <c r="D689" s="205"/>
      <c r="E689" s="205"/>
      <c r="F689" s="201"/>
      <c r="H689" s="46"/>
      <c r="I689" s="236"/>
      <c r="J689" s="236"/>
      <c r="K689" s="193"/>
      <c r="L689" s="236"/>
      <c r="M689" s="193"/>
    </row>
    <row r="690" spans="1:13" x14ac:dyDescent="0.3">
      <c r="A690" s="216"/>
      <c r="B690" s="205"/>
      <c r="C690" s="205"/>
      <c r="D690" s="205"/>
      <c r="E690" s="205"/>
      <c r="F690" s="201"/>
      <c r="H690" s="46"/>
      <c r="I690" s="236"/>
      <c r="J690" s="236"/>
      <c r="K690" s="193"/>
      <c r="L690" s="236"/>
      <c r="M690" s="193"/>
    </row>
    <row r="691" spans="1:13" x14ac:dyDescent="0.3">
      <c r="A691" s="216"/>
      <c r="B691" s="205"/>
      <c r="C691" s="205"/>
      <c r="D691" s="205"/>
      <c r="E691" s="205"/>
      <c r="F691" s="201"/>
      <c r="H691" s="46"/>
      <c r="I691" s="236"/>
      <c r="J691" s="236"/>
      <c r="K691" s="193"/>
      <c r="L691" s="236"/>
      <c r="M691" s="193"/>
    </row>
    <row r="692" spans="1:13" x14ac:dyDescent="0.3">
      <c r="A692" s="216"/>
      <c r="B692" s="205"/>
      <c r="C692" s="205"/>
      <c r="D692" s="205"/>
      <c r="E692" s="205"/>
      <c r="F692" s="201"/>
      <c r="H692" s="46"/>
      <c r="I692" s="236"/>
      <c r="J692" s="236"/>
      <c r="K692" s="193"/>
      <c r="L692" s="236"/>
      <c r="M692" s="193"/>
    </row>
    <row r="693" spans="1:13" x14ac:dyDescent="0.3">
      <c r="A693" s="216"/>
      <c r="B693" s="205"/>
      <c r="C693" s="205"/>
      <c r="D693" s="205"/>
      <c r="E693" s="205"/>
      <c r="F693" s="201"/>
      <c r="H693" s="46"/>
      <c r="I693" s="236"/>
      <c r="J693" s="236"/>
      <c r="K693" s="193"/>
      <c r="L693" s="236"/>
      <c r="M693" s="193"/>
    </row>
    <row r="694" spans="1:13" x14ac:dyDescent="0.3">
      <c r="A694" s="216"/>
      <c r="B694" s="205"/>
      <c r="C694" s="205"/>
      <c r="D694" s="205"/>
      <c r="E694" s="205"/>
      <c r="F694" s="201"/>
      <c r="H694" s="46"/>
      <c r="I694" s="236"/>
      <c r="J694" s="236"/>
      <c r="K694" s="193"/>
      <c r="L694" s="236"/>
      <c r="M694" s="193"/>
    </row>
    <row r="695" spans="1:13" x14ac:dyDescent="0.3">
      <c r="A695" s="216"/>
      <c r="B695" s="205"/>
      <c r="C695" s="205"/>
      <c r="D695" s="205"/>
      <c r="E695" s="205"/>
      <c r="F695" s="201"/>
      <c r="H695" s="46"/>
      <c r="I695" s="236"/>
      <c r="J695" s="236"/>
      <c r="K695" s="193"/>
      <c r="L695" s="236"/>
      <c r="M695" s="193"/>
    </row>
    <row r="696" spans="1:13" x14ac:dyDescent="0.3">
      <c r="A696" s="216"/>
      <c r="B696" s="205"/>
      <c r="C696" s="205"/>
      <c r="D696" s="205"/>
      <c r="E696" s="205"/>
      <c r="F696" s="201"/>
      <c r="H696" s="46"/>
      <c r="I696" s="236"/>
      <c r="J696" s="236"/>
      <c r="K696" s="193"/>
      <c r="L696" s="236"/>
      <c r="M696" s="193"/>
    </row>
    <row r="697" spans="1:13" x14ac:dyDescent="0.3">
      <c r="A697" s="216"/>
      <c r="B697" s="205"/>
      <c r="C697" s="205"/>
      <c r="D697" s="205"/>
      <c r="E697" s="205"/>
      <c r="F697" s="201"/>
      <c r="H697" s="46"/>
      <c r="I697" s="236"/>
      <c r="J697" s="236"/>
      <c r="K697" s="193"/>
      <c r="L697" s="236"/>
      <c r="M697" s="193"/>
    </row>
    <row r="698" spans="1:13" x14ac:dyDescent="0.3">
      <c r="A698" s="216"/>
      <c r="B698" s="205"/>
      <c r="C698" s="205"/>
      <c r="D698" s="205"/>
      <c r="E698" s="205"/>
      <c r="F698" s="201"/>
      <c r="H698" s="46"/>
      <c r="I698" s="236"/>
      <c r="J698" s="236"/>
      <c r="K698" s="193"/>
      <c r="L698" s="236"/>
      <c r="M698" s="193"/>
    </row>
    <row r="699" spans="1:13" x14ac:dyDescent="0.3">
      <c r="A699" s="216"/>
      <c r="B699" s="205"/>
      <c r="C699" s="205"/>
      <c r="D699" s="205"/>
      <c r="E699" s="205"/>
      <c r="F699" s="201"/>
      <c r="H699" s="46"/>
      <c r="I699" s="236"/>
      <c r="J699" s="236"/>
      <c r="K699" s="193"/>
      <c r="L699" s="236"/>
      <c r="M699" s="193"/>
    </row>
    <row r="700" spans="1:13" x14ac:dyDescent="0.3">
      <c r="A700" s="216"/>
      <c r="B700" s="205"/>
      <c r="C700" s="205"/>
      <c r="D700" s="205"/>
      <c r="E700" s="205"/>
      <c r="F700" s="201"/>
      <c r="H700" s="46"/>
      <c r="I700" s="236"/>
      <c r="J700" s="236"/>
      <c r="K700" s="193"/>
      <c r="L700" s="236"/>
      <c r="M700" s="193"/>
    </row>
    <row r="701" spans="1:13" x14ac:dyDescent="0.3">
      <c r="A701" s="216"/>
      <c r="B701" s="205"/>
      <c r="C701" s="205"/>
      <c r="D701" s="205"/>
      <c r="E701" s="205"/>
      <c r="F701" s="201"/>
      <c r="H701" s="46"/>
      <c r="I701" s="236"/>
      <c r="J701" s="236"/>
      <c r="K701" s="193"/>
      <c r="L701" s="236"/>
      <c r="M701" s="193"/>
    </row>
    <row r="702" spans="1:13" x14ac:dyDescent="0.3">
      <c r="A702" s="216"/>
      <c r="B702" s="205"/>
      <c r="C702" s="205"/>
      <c r="D702" s="205"/>
      <c r="E702" s="205"/>
      <c r="F702" s="201"/>
      <c r="H702" s="46"/>
      <c r="I702" s="236"/>
      <c r="J702" s="236"/>
      <c r="K702" s="193"/>
      <c r="L702" s="236"/>
      <c r="M702" s="193"/>
    </row>
    <row r="703" spans="1:13" x14ac:dyDescent="0.3">
      <c r="A703" s="216"/>
      <c r="B703" s="205"/>
      <c r="C703" s="205"/>
      <c r="D703" s="205"/>
      <c r="E703" s="205"/>
      <c r="F703" s="201"/>
      <c r="H703" s="46"/>
      <c r="I703" s="236"/>
      <c r="J703" s="236"/>
      <c r="K703" s="193"/>
      <c r="L703" s="236"/>
      <c r="M703" s="193"/>
    </row>
    <row r="704" spans="1:13" x14ac:dyDescent="0.3">
      <c r="A704" s="216"/>
      <c r="B704" s="205"/>
      <c r="C704" s="205"/>
      <c r="D704" s="205"/>
      <c r="E704" s="205"/>
      <c r="F704" s="201"/>
      <c r="H704" s="46"/>
      <c r="I704" s="236"/>
      <c r="J704" s="236"/>
      <c r="K704" s="193"/>
      <c r="L704" s="236"/>
      <c r="M704" s="193"/>
    </row>
    <row r="705" spans="1:13" x14ac:dyDescent="0.3">
      <c r="A705" s="216"/>
      <c r="B705" s="205"/>
      <c r="C705" s="205"/>
      <c r="D705" s="205"/>
      <c r="E705" s="205"/>
      <c r="F705" s="201"/>
      <c r="H705" s="46"/>
      <c r="I705" s="236"/>
      <c r="J705" s="236"/>
      <c r="K705" s="193"/>
      <c r="L705" s="236"/>
      <c r="M705" s="193"/>
    </row>
    <row r="706" spans="1:13" x14ac:dyDescent="0.3">
      <c r="A706" s="216"/>
      <c r="B706" s="205"/>
      <c r="C706" s="205"/>
      <c r="D706" s="205"/>
      <c r="E706" s="205"/>
      <c r="F706" s="201"/>
      <c r="H706" s="46"/>
      <c r="I706" s="236"/>
      <c r="J706" s="236"/>
      <c r="K706" s="193"/>
      <c r="L706" s="236"/>
      <c r="M706" s="193"/>
    </row>
    <row r="707" spans="1:13" x14ac:dyDescent="0.3">
      <c r="A707" s="216"/>
      <c r="B707" s="205"/>
      <c r="C707" s="205"/>
      <c r="D707" s="205"/>
      <c r="E707" s="205"/>
      <c r="F707" s="201"/>
      <c r="H707" s="46"/>
      <c r="I707" s="236"/>
      <c r="J707" s="236"/>
      <c r="K707" s="193"/>
      <c r="L707" s="236"/>
      <c r="M707" s="193"/>
    </row>
    <row r="708" spans="1:13" x14ac:dyDescent="0.3">
      <c r="A708" s="216"/>
      <c r="B708" s="205"/>
      <c r="C708" s="205"/>
      <c r="D708" s="205"/>
      <c r="E708" s="205"/>
      <c r="F708" s="201"/>
      <c r="H708" s="46"/>
      <c r="I708" s="236"/>
      <c r="J708" s="236"/>
      <c r="K708" s="193"/>
      <c r="L708" s="236"/>
      <c r="M708" s="193"/>
    </row>
    <row r="709" spans="1:13" x14ac:dyDescent="0.3">
      <c r="A709" s="216"/>
      <c r="B709" s="205"/>
      <c r="C709" s="205"/>
      <c r="D709" s="205"/>
      <c r="E709" s="205"/>
      <c r="F709" s="201"/>
      <c r="H709" s="46"/>
      <c r="I709" s="236"/>
      <c r="J709" s="236"/>
      <c r="K709" s="193"/>
      <c r="L709" s="236"/>
      <c r="M709" s="193"/>
    </row>
    <row r="710" spans="1:13" x14ac:dyDescent="0.3">
      <c r="A710" s="216"/>
      <c r="B710" s="205"/>
      <c r="C710" s="205"/>
      <c r="D710" s="205"/>
      <c r="E710" s="205"/>
      <c r="F710" s="201"/>
      <c r="H710" s="46"/>
      <c r="I710" s="236"/>
      <c r="J710" s="236"/>
      <c r="K710" s="193"/>
      <c r="L710" s="236"/>
      <c r="M710" s="193"/>
    </row>
    <row r="711" spans="1:13" x14ac:dyDescent="0.3">
      <c r="A711" s="216"/>
      <c r="B711" s="205"/>
      <c r="C711" s="205"/>
      <c r="D711" s="205"/>
      <c r="E711" s="205"/>
      <c r="F711" s="201"/>
      <c r="H711" s="46"/>
      <c r="I711" s="236"/>
      <c r="J711" s="236"/>
      <c r="K711" s="193"/>
      <c r="L711" s="236"/>
      <c r="M711" s="193"/>
    </row>
    <row r="712" spans="1:13" x14ac:dyDescent="0.3">
      <c r="A712" s="216"/>
      <c r="B712" s="205"/>
      <c r="C712" s="205"/>
      <c r="D712" s="205"/>
      <c r="E712" s="205"/>
      <c r="F712" s="201"/>
      <c r="H712" s="46"/>
      <c r="I712" s="236"/>
      <c r="J712" s="236"/>
      <c r="K712" s="193"/>
      <c r="L712" s="236"/>
      <c r="M712" s="193"/>
    </row>
    <row r="713" spans="1:13" x14ac:dyDescent="0.3">
      <c r="A713" s="216"/>
      <c r="B713" s="205"/>
      <c r="C713" s="205"/>
      <c r="D713" s="205"/>
      <c r="E713" s="205"/>
      <c r="F713" s="201"/>
      <c r="H713" s="46"/>
      <c r="I713" s="236"/>
      <c r="J713" s="236"/>
      <c r="K713" s="193"/>
      <c r="L713" s="236"/>
      <c r="M713" s="193"/>
    </row>
    <row r="714" spans="1:13" x14ac:dyDescent="0.3">
      <c r="A714" s="216"/>
      <c r="B714" s="205"/>
      <c r="C714" s="205"/>
      <c r="D714" s="205"/>
      <c r="E714" s="205"/>
      <c r="F714" s="201"/>
      <c r="H714" s="46"/>
      <c r="I714" s="236"/>
      <c r="J714" s="236"/>
      <c r="K714" s="193"/>
      <c r="L714" s="236"/>
      <c r="M714" s="193"/>
    </row>
    <row r="715" spans="1:13" x14ac:dyDescent="0.3">
      <c r="A715" s="216"/>
      <c r="B715" s="205"/>
      <c r="C715" s="205"/>
      <c r="D715" s="205"/>
      <c r="E715" s="205"/>
      <c r="F715" s="201"/>
      <c r="H715" s="46"/>
      <c r="I715" s="236"/>
      <c r="J715" s="236"/>
      <c r="K715" s="193"/>
      <c r="L715" s="236"/>
      <c r="M715" s="193"/>
    </row>
    <row r="716" spans="1:13" x14ac:dyDescent="0.3">
      <c r="A716" s="216"/>
      <c r="B716" s="205"/>
      <c r="C716" s="205"/>
      <c r="D716" s="205"/>
      <c r="E716" s="205"/>
      <c r="F716" s="201"/>
      <c r="H716" s="46"/>
      <c r="I716" s="236"/>
      <c r="J716" s="236"/>
      <c r="K716" s="193"/>
      <c r="L716" s="236"/>
      <c r="M716" s="193"/>
    </row>
    <row r="717" spans="1:13" x14ac:dyDescent="0.3">
      <c r="A717" s="216"/>
      <c r="B717" s="205"/>
      <c r="C717" s="205"/>
      <c r="D717" s="205"/>
      <c r="E717" s="205"/>
      <c r="F717" s="201"/>
      <c r="H717" s="46"/>
      <c r="I717" s="236"/>
      <c r="J717" s="236"/>
      <c r="K717" s="193"/>
      <c r="L717" s="236"/>
      <c r="M717" s="193"/>
    </row>
    <row r="718" spans="1:13" x14ac:dyDescent="0.3">
      <c r="A718" s="216"/>
      <c r="B718" s="205"/>
      <c r="C718" s="205"/>
      <c r="D718" s="205"/>
      <c r="E718" s="205"/>
      <c r="F718" s="201"/>
      <c r="H718" s="46"/>
      <c r="I718" s="236"/>
      <c r="J718" s="236"/>
      <c r="K718" s="193"/>
      <c r="L718" s="236"/>
      <c r="M718" s="193"/>
    </row>
    <row r="719" spans="1:13" x14ac:dyDescent="0.3">
      <c r="A719" s="216"/>
      <c r="B719" s="205"/>
      <c r="C719" s="205"/>
      <c r="D719" s="205"/>
      <c r="E719" s="205"/>
      <c r="F719" s="201"/>
      <c r="H719" s="46"/>
      <c r="I719" s="236"/>
      <c r="J719" s="236"/>
      <c r="K719" s="193"/>
      <c r="L719" s="236"/>
      <c r="M719" s="193"/>
    </row>
    <row r="720" spans="1:13" x14ac:dyDescent="0.3">
      <c r="A720" s="216"/>
      <c r="B720" s="205"/>
      <c r="C720" s="205"/>
      <c r="D720" s="205"/>
      <c r="E720" s="205"/>
      <c r="F720" s="201"/>
      <c r="H720" s="46"/>
      <c r="I720" s="236"/>
      <c r="J720" s="236"/>
      <c r="K720" s="193"/>
      <c r="L720" s="236"/>
      <c r="M720" s="193"/>
    </row>
    <row r="721" spans="1:13" x14ac:dyDescent="0.3">
      <c r="A721" s="216"/>
      <c r="B721" s="205"/>
      <c r="C721" s="205"/>
      <c r="D721" s="205"/>
      <c r="E721" s="205"/>
      <c r="F721" s="201"/>
      <c r="H721" s="46"/>
      <c r="I721" s="236"/>
      <c r="J721" s="236"/>
      <c r="K721" s="193"/>
      <c r="L721" s="236"/>
      <c r="M721" s="193"/>
    </row>
    <row r="722" spans="1:13" x14ac:dyDescent="0.3">
      <c r="A722" s="216"/>
      <c r="B722" s="205"/>
      <c r="C722" s="205"/>
      <c r="D722" s="205"/>
      <c r="E722" s="205"/>
      <c r="F722" s="201"/>
      <c r="H722" s="46"/>
      <c r="I722" s="236"/>
      <c r="J722" s="236"/>
      <c r="K722" s="193"/>
      <c r="L722" s="236"/>
      <c r="M722" s="193"/>
    </row>
    <row r="723" spans="1:13" x14ac:dyDescent="0.3">
      <c r="A723" s="216"/>
      <c r="B723" s="205"/>
      <c r="C723" s="205"/>
      <c r="D723" s="205"/>
      <c r="E723" s="205"/>
      <c r="F723" s="201"/>
      <c r="H723" s="46"/>
      <c r="I723" s="236"/>
      <c r="J723" s="236"/>
      <c r="K723" s="193"/>
      <c r="L723" s="236"/>
      <c r="M723" s="193"/>
    </row>
    <row r="724" spans="1:13" x14ac:dyDescent="0.3">
      <c r="A724" s="216"/>
      <c r="B724" s="205"/>
      <c r="C724" s="205"/>
      <c r="D724" s="205"/>
      <c r="E724" s="205"/>
      <c r="F724" s="201"/>
      <c r="H724" s="46"/>
      <c r="I724" s="236"/>
      <c r="J724" s="236"/>
      <c r="K724" s="193"/>
      <c r="L724" s="236"/>
      <c r="M724" s="193"/>
    </row>
    <row r="725" spans="1:13" x14ac:dyDescent="0.3">
      <c r="A725" s="216"/>
      <c r="B725" s="205"/>
      <c r="C725" s="205"/>
      <c r="D725" s="205"/>
      <c r="E725" s="205"/>
      <c r="F725" s="201"/>
      <c r="H725" s="46"/>
      <c r="I725" s="236"/>
      <c r="J725" s="236"/>
      <c r="K725" s="193"/>
      <c r="L725" s="236"/>
      <c r="M725" s="193"/>
    </row>
    <row r="726" spans="1:13" x14ac:dyDescent="0.3">
      <c r="A726" s="216"/>
      <c r="B726" s="205"/>
      <c r="C726" s="205"/>
      <c r="D726" s="205"/>
      <c r="E726" s="205"/>
      <c r="F726" s="201"/>
      <c r="H726" s="46"/>
      <c r="I726" s="236"/>
      <c r="J726" s="236"/>
      <c r="K726" s="193"/>
      <c r="L726" s="236"/>
      <c r="M726" s="193"/>
    </row>
    <row r="727" spans="1:13" x14ac:dyDescent="0.3">
      <c r="A727" s="216"/>
      <c r="B727" s="205"/>
      <c r="C727" s="205"/>
      <c r="D727" s="205"/>
      <c r="E727" s="205"/>
      <c r="F727" s="201"/>
      <c r="H727" s="46"/>
      <c r="I727" s="236"/>
      <c r="J727" s="236"/>
      <c r="K727" s="193"/>
      <c r="L727" s="236"/>
      <c r="M727" s="193"/>
    </row>
    <row r="728" spans="1:13" x14ac:dyDescent="0.3">
      <c r="A728" s="216"/>
      <c r="B728" s="205"/>
      <c r="C728" s="205"/>
      <c r="D728" s="205"/>
      <c r="E728" s="205"/>
      <c r="F728" s="201"/>
      <c r="H728" s="46"/>
      <c r="I728" s="236"/>
      <c r="J728" s="236"/>
      <c r="K728" s="193"/>
      <c r="L728" s="236"/>
      <c r="M728" s="193"/>
    </row>
    <row r="729" spans="1:13" x14ac:dyDescent="0.3">
      <c r="A729" s="216"/>
      <c r="B729" s="205"/>
      <c r="C729" s="205"/>
      <c r="D729" s="205"/>
      <c r="E729" s="205"/>
      <c r="F729" s="201"/>
      <c r="H729" s="46"/>
      <c r="I729" s="236"/>
      <c r="J729" s="236"/>
      <c r="K729" s="193"/>
      <c r="L729" s="236"/>
      <c r="M729" s="193"/>
    </row>
    <row r="730" spans="1:13" x14ac:dyDescent="0.3">
      <c r="A730" s="216"/>
      <c r="B730" s="205"/>
      <c r="C730" s="205"/>
      <c r="D730" s="205"/>
      <c r="E730" s="205"/>
      <c r="F730" s="201"/>
      <c r="H730" s="46"/>
      <c r="I730" s="236"/>
      <c r="J730" s="236"/>
      <c r="K730" s="193"/>
      <c r="L730" s="236"/>
      <c r="M730" s="193"/>
    </row>
    <row r="731" spans="1:13" x14ac:dyDescent="0.3">
      <c r="A731" s="216"/>
      <c r="B731" s="205"/>
      <c r="C731" s="205"/>
      <c r="D731" s="205"/>
      <c r="E731" s="205"/>
      <c r="F731" s="201"/>
      <c r="H731" s="46"/>
      <c r="I731" s="236"/>
      <c r="J731" s="236"/>
      <c r="K731" s="193"/>
      <c r="L731" s="236"/>
      <c r="M731" s="193"/>
    </row>
    <row r="732" spans="1:13" x14ac:dyDescent="0.3">
      <c r="A732" s="216"/>
      <c r="B732" s="205"/>
      <c r="C732" s="205"/>
      <c r="D732" s="205"/>
      <c r="E732" s="205"/>
      <c r="F732" s="201"/>
      <c r="H732" s="46"/>
      <c r="I732" s="236"/>
      <c r="J732" s="236"/>
      <c r="K732" s="193"/>
      <c r="L732" s="236"/>
      <c r="M732" s="193"/>
    </row>
    <row r="733" spans="1:13" x14ac:dyDescent="0.3">
      <c r="A733" s="216"/>
      <c r="B733" s="205"/>
      <c r="C733" s="205"/>
      <c r="D733" s="205"/>
      <c r="E733" s="205"/>
      <c r="F733" s="201"/>
      <c r="H733" s="46"/>
      <c r="I733" s="236"/>
      <c r="J733" s="236"/>
      <c r="K733" s="193"/>
      <c r="L733" s="236"/>
      <c r="M733" s="193"/>
    </row>
    <row r="734" spans="1:13" x14ac:dyDescent="0.3">
      <c r="A734" s="216"/>
      <c r="B734" s="205"/>
      <c r="C734" s="205"/>
      <c r="D734" s="205"/>
      <c r="E734" s="205"/>
      <c r="F734" s="201"/>
      <c r="H734" s="46"/>
      <c r="I734" s="236"/>
      <c r="J734" s="236"/>
      <c r="K734" s="193"/>
      <c r="L734" s="236"/>
      <c r="M734" s="193"/>
    </row>
    <row r="735" spans="1:13" x14ac:dyDescent="0.3">
      <c r="A735" s="216"/>
      <c r="B735" s="205"/>
      <c r="C735" s="205"/>
      <c r="D735" s="205"/>
      <c r="E735" s="205"/>
      <c r="F735" s="201"/>
      <c r="H735" s="46"/>
      <c r="I735" s="236"/>
      <c r="J735" s="236"/>
      <c r="K735" s="193"/>
      <c r="L735" s="236"/>
      <c r="M735" s="193"/>
    </row>
    <row r="736" spans="1:13" x14ac:dyDescent="0.3">
      <c r="A736" s="216"/>
      <c r="B736" s="205"/>
      <c r="C736" s="205"/>
      <c r="D736" s="205"/>
      <c r="E736" s="205"/>
      <c r="F736" s="201"/>
      <c r="H736" s="46"/>
      <c r="I736" s="236"/>
      <c r="J736" s="236"/>
      <c r="K736" s="193"/>
      <c r="L736" s="236"/>
      <c r="M736" s="193"/>
    </row>
    <row r="737" spans="1:13" x14ac:dyDescent="0.3">
      <c r="A737" s="216"/>
      <c r="B737" s="205"/>
      <c r="C737" s="205"/>
      <c r="D737" s="205"/>
      <c r="E737" s="205"/>
      <c r="F737" s="201"/>
      <c r="H737" s="46"/>
      <c r="I737" s="236"/>
      <c r="J737" s="236"/>
      <c r="K737" s="193"/>
      <c r="L737" s="236"/>
      <c r="M737" s="193"/>
    </row>
    <row r="738" spans="1:13" x14ac:dyDescent="0.3">
      <c r="A738" s="216"/>
      <c r="B738" s="205"/>
      <c r="C738" s="205"/>
      <c r="D738" s="205"/>
      <c r="E738" s="205"/>
      <c r="F738" s="201"/>
      <c r="H738" s="46"/>
      <c r="I738" s="236"/>
      <c r="J738" s="236"/>
      <c r="K738" s="193"/>
      <c r="L738" s="236"/>
      <c r="M738" s="193"/>
    </row>
    <row r="739" spans="1:13" x14ac:dyDescent="0.3">
      <c r="A739" s="216"/>
      <c r="B739" s="205"/>
      <c r="C739" s="205"/>
      <c r="D739" s="205"/>
      <c r="E739" s="205"/>
      <c r="F739" s="201"/>
      <c r="H739" s="46"/>
      <c r="I739" s="236"/>
      <c r="J739" s="236"/>
      <c r="K739" s="193"/>
      <c r="L739" s="236"/>
      <c r="M739" s="193"/>
    </row>
    <row r="740" spans="1:13" x14ac:dyDescent="0.3">
      <c r="A740" s="216"/>
      <c r="B740" s="205"/>
      <c r="C740" s="205"/>
      <c r="D740" s="205"/>
      <c r="E740" s="205"/>
      <c r="F740" s="201"/>
      <c r="H740" s="46"/>
      <c r="I740" s="236"/>
      <c r="J740" s="236"/>
      <c r="K740" s="193"/>
      <c r="L740" s="236"/>
      <c r="M740" s="193"/>
    </row>
    <row r="741" spans="1:13" x14ac:dyDescent="0.3">
      <c r="A741" s="216"/>
      <c r="B741" s="205"/>
      <c r="C741" s="205"/>
      <c r="D741" s="205"/>
      <c r="E741" s="205"/>
      <c r="F741" s="201"/>
      <c r="H741" s="46"/>
      <c r="I741" s="236"/>
      <c r="J741" s="236"/>
      <c r="K741" s="193"/>
      <c r="L741" s="236"/>
      <c r="M741" s="193"/>
    </row>
    <row r="742" spans="1:13" x14ac:dyDescent="0.3">
      <c r="A742" s="216"/>
      <c r="B742" s="205"/>
      <c r="C742" s="205"/>
      <c r="D742" s="205"/>
      <c r="E742" s="205"/>
      <c r="F742" s="201"/>
      <c r="H742" s="46"/>
      <c r="I742" s="236"/>
      <c r="J742" s="236"/>
      <c r="K742" s="193"/>
      <c r="L742" s="236"/>
      <c r="M742" s="193"/>
    </row>
    <row r="743" spans="1:13" x14ac:dyDescent="0.3">
      <c r="A743" s="216"/>
      <c r="B743" s="205"/>
      <c r="C743" s="205"/>
      <c r="D743" s="205"/>
      <c r="E743" s="205"/>
      <c r="F743" s="201"/>
      <c r="H743" s="46"/>
      <c r="I743" s="236"/>
      <c r="J743" s="236"/>
      <c r="K743" s="193"/>
      <c r="L743" s="236"/>
      <c r="M743" s="193"/>
    </row>
    <row r="744" spans="1:13" x14ac:dyDescent="0.3">
      <c r="A744" s="216"/>
      <c r="B744" s="205"/>
      <c r="C744" s="205"/>
      <c r="D744" s="205"/>
      <c r="E744" s="205"/>
      <c r="F744" s="201"/>
      <c r="H744" s="46"/>
      <c r="I744" s="236"/>
      <c r="J744" s="236"/>
      <c r="K744" s="193"/>
      <c r="L744" s="236"/>
      <c r="M744" s="193"/>
    </row>
    <row r="745" spans="1:13" x14ac:dyDescent="0.3">
      <c r="A745" s="216"/>
      <c r="B745" s="205"/>
      <c r="C745" s="205"/>
      <c r="D745" s="205"/>
      <c r="E745" s="205"/>
      <c r="F745" s="201"/>
      <c r="H745" s="46"/>
      <c r="I745" s="236"/>
      <c r="J745" s="236"/>
      <c r="K745" s="193"/>
      <c r="L745" s="236"/>
      <c r="M745" s="193"/>
    </row>
    <row r="746" spans="1:13" x14ac:dyDescent="0.3">
      <c r="A746" s="216"/>
      <c r="B746" s="205"/>
      <c r="C746" s="205"/>
      <c r="D746" s="205"/>
      <c r="E746" s="205"/>
      <c r="F746" s="201"/>
      <c r="H746" s="46"/>
      <c r="I746" s="236"/>
      <c r="J746" s="236"/>
      <c r="K746" s="193"/>
      <c r="L746" s="236"/>
      <c r="M746" s="193"/>
    </row>
    <row r="747" spans="1:13" x14ac:dyDescent="0.3">
      <c r="A747" s="217"/>
      <c r="B747" s="210"/>
      <c r="C747" s="210"/>
      <c r="D747" s="210"/>
      <c r="E747" s="210"/>
      <c r="F747" s="211"/>
      <c r="H747" s="46"/>
      <c r="I747" s="236"/>
      <c r="J747" s="236"/>
      <c r="K747" s="193"/>
      <c r="L747" s="236"/>
      <c r="M747" s="193"/>
    </row>
    <row r="748" spans="1:13" x14ac:dyDescent="0.3">
      <c r="A748" s="218"/>
      <c r="B748" s="202"/>
      <c r="C748" s="202"/>
      <c r="D748" s="202"/>
      <c r="E748" s="202"/>
      <c r="F748" s="202"/>
      <c r="H748" s="46"/>
      <c r="I748" s="236"/>
      <c r="J748" s="236"/>
      <c r="K748" s="193"/>
      <c r="L748" s="236"/>
      <c r="M748" s="193"/>
    </row>
    <row r="749" spans="1:13" x14ac:dyDescent="0.3">
      <c r="A749" s="218"/>
      <c r="B749" s="202"/>
      <c r="C749" s="202"/>
      <c r="D749" s="202"/>
      <c r="E749" s="202"/>
      <c r="F749" s="202"/>
      <c r="H749" s="46"/>
      <c r="I749" s="236"/>
      <c r="J749" s="236"/>
      <c r="K749" s="193"/>
      <c r="L749" s="236"/>
      <c r="M749" s="193"/>
    </row>
    <row r="750" spans="1:13" x14ac:dyDescent="0.3">
      <c r="A750" s="219"/>
      <c r="B750" s="176"/>
      <c r="C750" s="176"/>
      <c r="D750" s="176"/>
      <c r="E750" s="176"/>
      <c r="F750" s="176"/>
      <c r="H750" s="46"/>
      <c r="I750" s="236"/>
      <c r="J750" s="236"/>
      <c r="K750" s="193"/>
      <c r="L750" s="236"/>
      <c r="M750" s="193"/>
    </row>
    <row r="751" spans="1:13" x14ac:dyDescent="0.3">
      <c r="A751" s="219"/>
      <c r="B751" s="176"/>
      <c r="C751" s="176"/>
      <c r="D751" s="176"/>
      <c r="E751" s="176"/>
      <c r="F751" s="176"/>
      <c r="H751" s="46"/>
      <c r="I751" s="236"/>
      <c r="J751" s="236"/>
      <c r="K751" s="193"/>
      <c r="L751" s="236"/>
      <c r="M751" s="193"/>
    </row>
    <row r="752" spans="1:13" x14ac:dyDescent="0.3">
      <c r="A752" s="220"/>
      <c r="B752" s="176"/>
      <c r="C752" s="176"/>
      <c r="D752" s="176"/>
      <c r="E752" s="176"/>
      <c r="F752" s="176"/>
      <c r="H752" s="46"/>
      <c r="I752" s="236"/>
      <c r="J752" s="236"/>
      <c r="K752" s="193"/>
      <c r="L752" s="236"/>
      <c r="M752" s="193"/>
    </row>
    <row r="753" spans="1:13" x14ac:dyDescent="0.3">
      <c r="A753" s="220"/>
      <c r="B753" s="176"/>
      <c r="C753" s="176"/>
      <c r="D753" s="176"/>
      <c r="E753" s="176"/>
      <c r="F753" s="176"/>
      <c r="H753" s="46"/>
      <c r="I753" s="236"/>
      <c r="J753" s="236"/>
      <c r="K753" s="193"/>
      <c r="L753" s="236"/>
      <c r="M753" s="193"/>
    </row>
    <row r="754" spans="1:13" x14ac:dyDescent="0.3">
      <c r="A754" s="220"/>
      <c r="B754" s="176"/>
      <c r="C754" s="176"/>
      <c r="D754" s="176"/>
      <c r="E754" s="176"/>
      <c r="F754" s="176"/>
      <c r="H754" s="46"/>
      <c r="I754" s="236"/>
      <c r="J754" s="236"/>
      <c r="K754" s="193"/>
      <c r="L754" s="236"/>
      <c r="M754" s="193"/>
    </row>
    <row r="755" spans="1:13" x14ac:dyDescent="0.3">
      <c r="A755" s="220"/>
      <c r="B755" s="176"/>
      <c r="C755" s="176"/>
      <c r="D755" s="176"/>
      <c r="E755" s="176"/>
      <c r="F755" s="176"/>
      <c r="H755" s="46"/>
      <c r="I755" s="236"/>
      <c r="J755" s="236"/>
      <c r="K755" s="193"/>
      <c r="L755" s="236"/>
      <c r="M755" s="193"/>
    </row>
    <row r="756" spans="1:13" x14ac:dyDescent="0.3">
      <c r="A756" s="220"/>
      <c r="B756" s="176"/>
      <c r="C756" s="176"/>
      <c r="D756" s="176"/>
      <c r="E756" s="176"/>
      <c r="F756" s="176"/>
      <c r="H756" s="46"/>
      <c r="I756" s="236"/>
      <c r="J756" s="236"/>
      <c r="K756" s="193"/>
      <c r="L756" s="236"/>
      <c r="M756" s="193"/>
    </row>
    <row r="757" spans="1:13" x14ac:dyDescent="0.3">
      <c r="A757" s="220"/>
      <c r="B757" s="176"/>
      <c r="C757" s="176"/>
      <c r="D757" s="176"/>
      <c r="E757" s="176"/>
      <c r="F757" s="176"/>
      <c r="H757" s="46"/>
      <c r="I757" s="236"/>
      <c r="J757" s="236"/>
      <c r="K757" s="193"/>
      <c r="L757" s="236"/>
      <c r="M757" s="193"/>
    </row>
    <row r="758" spans="1:13" x14ac:dyDescent="0.3">
      <c r="A758" s="220"/>
      <c r="B758" s="176"/>
      <c r="C758" s="176"/>
      <c r="D758" s="176"/>
      <c r="E758" s="176"/>
      <c r="F758" s="176"/>
      <c r="H758" s="46"/>
      <c r="I758" s="236"/>
      <c r="J758" s="236"/>
      <c r="K758" s="193"/>
      <c r="L758" s="236"/>
      <c r="M758" s="193"/>
    </row>
    <row r="759" spans="1:13" x14ac:dyDescent="0.3">
      <c r="A759" s="220"/>
      <c r="B759" s="176"/>
      <c r="C759" s="176"/>
      <c r="D759" s="176"/>
      <c r="E759" s="176"/>
      <c r="F759" s="176"/>
      <c r="H759" s="46"/>
      <c r="I759" s="236"/>
      <c r="J759" s="236"/>
      <c r="K759" s="193"/>
      <c r="L759" s="236"/>
      <c r="M759" s="193"/>
    </row>
    <row r="760" spans="1:13" x14ac:dyDescent="0.3">
      <c r="A760" s="220"/>
      <c r="B760" s="176"/>
      <c r="C760" s="176"/>
      <c r="D760" s="176"/>
      <c r="E760" s="176"/>
      <c r="F760" s="176"/>
      <c r="H760" s="46"/>
      <c r="I760" s="236"/>
      <c r="J760" s="236"/>
      <c r="K760" s="193"/>
      <c r="L760" s="236"/>
      <c r="M760" s="193"/>
    </row>
    <row r="761" spans="1:13" x14ac:dyDescent="0.3">
      <c r="A761" s="220"/>
      <c r="B761" s="176"/>
      <c r="C761" s="176"/>
      <c r="D761" s="176"/>
      <c r="E761" s="176"/>
      <c r="F761" s="176"/>
      <c r="H761" s="46"/>
      <c r="I761" s="236"/>
      <c r="J761" s="236"/>
      <c r="K761" s="193"/>
      <c r="L761" s="236"/>
      <c r="M761" s="193"/>
    </row>
    <row r="762" spans="1:13" x14ac:dyDescent="0.3">
      <c r="A762" s="220"/>
      <c r="B762" s="176"/>
      <c r="C762" s="176"/>
      <c r="D762" s="176"/>
      <c r="E762" s="176"/>
      <c r="F762" s="176"/>
      <c r="H762" s="46"/>
      <c r="I762" s="236"/>
      <c r="J762" s="236"/>
      <c r="K762" s="193"/>
      <c r="L762" s="236"/>
      <c r="M762" s="193"/>
    </row>
    <row r="763" spans="1:13" x14ac:dyDescent="0.3">
      <c r="A763" s="220"/>
      <c r="B763" s="176"/>
      <c r="C763" s="176"/>
      <c r="D763" s="176"/>
      <c r="E763" s="176"/>
      <c r="F763" s="176"/>
      <c r="H763" s="46"/>
      <c r="I763" s="236"/>
      <c r="J763" s="236"/>
      <c r="K763" s="193"/>
      <c r="L763" s="236"/>
      <c r="M763" s="193"/>
    </row>
    <row r="764" spans="1:13" x14ac:dyDescent="0.3">
      <c r="A764" s="220"/>
      <c r="B764" s="176"/>
      <c r="C764" s="176"/>
      <c r="D764" s="176"/>
      <c r="E764" s="176"/>
      <c r="F764" s="176"/>
      <c r="H764" s="46"/>
      <c r="I764" s="236"/>
      <c r="J764" s="236"/>
      <c r="K764" s="193"/>
      <c r="L764" s="236"/>
      <c r="M764" s="193"/>
    </row>
    <row r="765" spans="1:13" x14ac:dyDescent="0.3">
      <c r="A765" s="220"/>
      <c r="B765" s="176"/>
      <c r="C765" s="176"/>
      <c r="D765" s="176"/>
      <c r="E765" s="176"/>
      <c r="F765" s="176"/>
      <c r="H765" s="46"/>
      <c r="I765" s="236"/>
      <c r="J765" s="236"/>
      <c r="K765" s="193"/>
      <c r="L765" s="236"/>
      <c r="M765" s="193"/>
    </row>
    <row r="766" spans="1:13" x14ac:dyDescent="0.3">
      <c r="A766" s="220"/>
      <c r="B766" s="176"/>
      <c r="C766" s="176"/>
      <c r="D766" s="176"/>
      <c r="E766" s="176"/>
      <c r="F766" s="176"/>
      <c r="H766" s="50"/>
      <c r="I766" s="237"/>
      <c r="J766" s="237"/>
      <c r="K766" s="234"/>
      <c r="L766" s="237"/>
      <c r="M766" s="193"/>
    </row>
    <row r="767" spans="1:13" x14ac:dyDescent="0.3">
      <c r="A767" s="220"/>
      <c r="B767" s="176"/>
      <c r="C767" s="176"/>
      <c r="D767" s="176"/>
      <c r="E767" s="176"/>
      <c r="F767" s="176"/>
      <c r="I767" s="238"/>
      <c r="J767" s="238"/>
      <c r="K767" s="235"/>
      <c r="L767" s="238"/>
      <c r="M767" s="259"/>
    </row>
    <row r="768" spans="1:13" x14ac:dyDescent="0.3">
      <c r="A768" s="220"/>
      <c r="B768" s="176"/>
      <c r="C768" s="176"/>
      <c r="D768" s="176"/>
      <c r="E768" s="176"/>
      <c r="F768" s="176"/>
      <c r="I768" s="238"/>
      <c r="J768" s="238"/>
      <c r="K768" s="235"/>
      <c r="L768" s="238"/>
      <c r="M768" s="259"/>
    </row>
    <row r="769" spans="1:13" x14ac:dyDescent="0.3">
      <c r="A769" s="220"/>
      <c r="B769" s="176"/>
      <c r="C769" s="176"/>
      <c r="D769" s="176"/>
      <c r="E769" s="176"/>
      <c r="F769" s="176"/>
      <c r="I769" s="238"/>
      <c r="J769" s="238"/>
      <c r="K769" s="235"/>
      <c r="L769" s="238"/>
      <c r="M769" s="259"/>
    </row>
    <row r="770" spans="1:13" x14ac:dyDescent="0.3">
      <c r="A770" s="220"/>
      <c r="B770" s="176"/>
      <c r="C770" s="176"/>
      <c r="D770" s="176"/>
      <c r="E770" s="176"/>
      <c r="F770" s="176"/>
      <c r="I770" s="238"/>
      <c r="J770" s="238"/>
      <c r="K770" s="235"/>
      <c r="L770" s="238"/>
      <c r="M770" s="259"/>
    </row>
    <row r="771" spans="1:13" x14ac:dyDescent="0.3">
      <c r="A771" s="220"/>
      <c r="B771" s="176"/>
      <c r="C771" s="176"/>
      <c r="D771" s="176"/>
      <c r="E771" s="176"/>
      <c r="F771" s="176"/>
      <c r="I771" s="238"/>
      <c r="J771" s="238"/>
      <c r="K771" s="235"/>
      <c r="L771" s="238"/>
      <c r="M771" s="259"/>
    </row>
    <row r="772" spans="1:13" x14ac:dyDescent="0.3">
      <c r="A772" s="220"/>
      <c r="B772" s="176"/>
      <c r="C772" s="176"/>
      <c r="D772" s="176"/>
      <c r="E772" s="176"/>
      <c r="F772" s="176"/>
      <c r="I772" s="238"/>
      <c r="J772" s="238"/>
      <c r="K772" s="235"/>
      <c r="L772" s="238"/>
      <c r="M772" s="259"/>
    </row>
    <row r="773" spans="1:13" x14ac:dyDescent="0.3">
      <c r="A773" s="220"/>
      <c r="B773" s="176"/>
      <c r="C773" s="176"/>
      <c r="D773" s="176"/>
      <c r="E773" s="176"/>
      <c r="F773" s="176"/>
      <c r="I773" s="238"/>
      <c r="J773" s="238"/>
      <c r="K773" s="235"/>
      <c r="L773" s="238"/>
      <c r="M773" s="259"/>
    </row>
    <row r="774" spans="1:13" x14ac:dyDescent="0.3">
      <c r="A774" s="220"/>
      <c r="B774" s="176"/>
      <c r="C774" s="176"/>
      <c r="D774" s="176"/>
      <c r="E774" s="176"/>
      <c r="F774" s="176"/>
      <c r="I774" s="238"/>
      <c r="J774" s="238"/>
      <c r="K774" s="235"/>
      <c r="L774" s="238"/>
      <c r="M774" s="259"/>
    </row>
    <row r="775" spans="1:13" x14ac:dyDescent="0.3">
      <c r="A775" s="220"/>
      <c r="B775" s="176"/>
      <c r="C775" s="176"/>
      <c r="D775" s="176"/>
      <c r="E775" s="176"/>
      <c r="F775" s="176"/>
      <c r="I775" s="238"/>
      <c r="J775" s="238"/>
      <c r="K775" s="235"/>
      <c r="L775" s="238"/>
      <c r="M775" s="259"/>
    </row>
    <row r="776" spans="1:13" x14ac:dyDescent="0.3">
      <c r="A776" s="220"/>
      <c r="B776" s="176"/>
      <c r="C776" s="176"/>
      <c r="D776" s="176"/>
      <c r="E776" s="176"/>
      <c r="F776" s="176"/>
      <c r="I776" s="238"/>
      <c r="J776" s="238"/>
      <c r="K776" s="235"/>
      <c r="L776" s="238"/>
      <c r="M776" s="259"/>
    </row>
    <row r="777" spans="1:13" x14ac:dyDescent="0.3">
      <c r="A777" s="220"/>
      <c r="B777" s="176"/>
      <c r="C777" s="176"/>
      <c r="D777" s="176"/>
      <c r="E777" s="176"/>
      <c r="F777" s="176"/>
      <c r="I777" s="238"/>
      <c r="J777" s="238"/>
      <c r="K777" s="235"/>
      <c r="L777" s="238"/>
      <c r="M777" s="259"/>
    </row>
    <row r="778" spans="1:13" x14ac:dyDescent="0.3">
      <c r="A778" s="220"/>
      <c r="B778" s="176"/>
      <c r="C778" s="176"/>
      <c r="D778" s="176"/>
      <c r="E778" s="176"/>
      <c r="F778" s="176"/>
      <c r="I778" s="238"/>
      <c r="J778" s="238"/>
      <c r="K778" s="235"/>
      <c r="L778" s="238"/>
      <c r="M778" s="259"/>
    </row>
    <row r="779" spans="1:13" x14ac:dyDescent="0.3">
      <c r="A779" s="220"/>
      <c r="B779" s="176"/>
      <c r="C779" s="176"/>
      <c r="D779" s="176"/>
      <c r="E779" s="176"/>
      <c r="F779" s="176"/>
      <c r="I779" s="238"/>
      <c r="J779" s="238"/>
      <c r="K779" s="235"/>
      <c r="L779" s="238"/>
      <c r="M779" s="259"/>
    </row>
    <row r="780" spans="1:13" x14ac:dyDescent="0.3">
      <c r="A780" s="220"/>
      <c r="B780" s="176"/>
      <c r="C780" s="176"/>
      <c r="D780" s="176"/>
      <c r="E780" s="176"/>
      <c r="F780" s="176"/>
      <c r="I780" s="238"/>
      <c r="J780" s="238"/>
      <c r="K780" s="235"/>
      <c r="L780" s="238"/>
      <c r="M780" s="259"/>
    </row>
    <row r="781" spans="1:13" x14ac:dyDescent="0.3">
      <c r="A781" s="220"/>
      <c r="B781" s="176"/>
      <c r="C781" s="176"/>
      <c r="D781" s="176"/>
      <c r="E781" s="176"/>
      <c r="F781" s="176"/>
      <c r="I781" s="238"/>
      <c r="J781" s="238"/>
      <c r="K781" s="235"/>
      <c r="L781" s="238"/>
      <c r="M781" s="259"/>
    </row>
    <row r="782" spans="1:13" x14ac:dyDescent="0.3">
      <c r="A782" s="220"/>
      <c r="B782" s="176"/>
      <c r="C782" s="176"/>
      <c r="D782" s="176"/>
      <c r="E782" s="176"/>
      <c r="F782" s="176"/>
      <c r="I782" s="238"/>
      <c r="J782" s="238"/>
      <c r="K782" s="235"/>
      <c r="L782" s="238"/>
      <c r="M782" s="259"/>
    </row>
    <row r="783" spans="1:13" x14ac:dyDescent="0.3">
      <c r="A783" s="220"/>
      <c r="B783" s="176"/>
      <c r="C783" s="176"/>
      <c r="D783" s="176"/>
      <c r="E783" s="176"/>
      <c r="F783" s="176"/>
      <c r="I783" s="238"/>
      <c r="J783" s="238"/>
      <c r="K783" s="235"/>
      <c r="L783" s="238"/>
      <c r="M783" s="259"/>
    </row>
    <row r="784" spans="1:13" x14ac:dyDescent="0.3">
      <c r="A784" s="220"/>
      <c r="B784" s="176"/>
      <c r="C784" s="176"/>
      <c r="D784" s="176"/>
      <c r="E784" s="176"/>
      <c r="F784" s="176"/>
      <c r="I784" s="238"/>
      <c r="J784" s="238"/>
      <c r="K784" s="235"/>
      <c r="L784" s="238"/>
      <c r="M784" s="259"/>
    </row>
    <row r="785" spans="1:13" x14ac:dyDescent="0.3">
      <c r="A785" s="220"/>
      <c r="B785" s="176"/>
      <c r="C785" s="176"/>
      <c r="D785" s="176"/>
      <c r="E785" s="176"/>
      <c r="F785" s="176"/>
      <c r="I785" s="238"/>
      <c r="J785" s="238"/>
      <c r="K785" s="235"/>
      <c r="L785" s="238"/>
      <c r="M785" s="259"/>
    </row>
    <row r="786" spans="1:13" x14ac:dyDescent="0.3">
      <c r="A786" s="220"/>
      <c r="B786" s="176"/>
      <c r="C786" s="176"/>
      <c r="D786" s="176"/>
      <c r="E786" s="176"/>
      <c r="F786" s="176"/>
      <c r="I786" s="238"/>
      <c r="J786" s="238"/>
      <c r="K786" s="235"/>
      <c r="L786" s="238"/>
      <c r="M786" s="259"/>
    </row>
    <row r="787" spans="1:13" x14ac:dyDescent="0.3">
      <c r="A787" s="220"/>
      <c r="B787" s="176"/>
      <c r="C787" s="176"/>
      <c r="D787" s="176"/>
      <c r="E787" s="176"/>
      <c r="F787" s="176"/>
      <c r="I787" s="238"/>
      <c r="J787" s="238"/>
      <c r="K787" s="235"/>
      <c r="L787" s="238"/>
      <c r="M787" s="259"/>
    </row>
    <row r="788" spans="1:13" x14ac:dyDescent="0.3">
      <c r="A788" s="220"/>
      <c r="B788" s="176"/>
      <c r="C788" s="176"/>
      <c r="D788" s="176"/>
      <c r="E788" s="176"/>
      <c r="F788" s="176"/>
      <c r="I788" s="238"/>
      <c r="J788" s="238"/>
      <c r="K788" s="235"/>
      <c r="L788" s="238"/>
      <c r="M788" s="259"/>
    </row>
    <row r="789" spans="1:13" x14ac:dyDescent="0.3">
      <c r="A789" s="220"/>
      <c r="B789" s="176"/>
      <c r="C789" s="176"/>
      <c r="D789" s="176"/>
      <c r="E789" s="176"/>
      <c r="F789" s="176"/>
      <c r="I789" s="238"/>
      <c r="J789" s="238"/>
      <c r="K789" s="235"/>
      <c r="L789" s="238"/>
      <c r="M789" s="259"/>
    </row>
    <row r="790" spans="1:13" x14ac:dyDescent="0.3">
      <c r="A790" s="220"/>
      <c r="B790" s="176"/>
      <c r="C790" s="176"/>
      <c r="D790" s="176"/>
      <c r="E790" s="176"/>
      <c r="F790" s="176"/>
      <c r="I790" s="238"/>
      <c r="J790" s="238"/>
      <c r="K790" s="235"/>
      <c r="L790" s="238"/>
      <c r="M790" s="259"/>
    </row>
    <row r="791" spans="1:13" x14ac:dyDescent="0.3">
      <c r="A791" s="220"/>
      <c r="B791" s="176"/>
      <c r="C791" s="176"/>
      <c r="D791" s="176"/>
      <c r="E791" s="176"/>
      <c r="F791" s="176"/>
      <c r="I791" s="238"/>
      <c r="J791" s="238"/>
      <c r="K791" s="235"/>
      <c r="L791" s="238"/>
      <c r="M791" s="259"/>
    </row>
    <row r="792" spans="1:13" x14ac:dyDescent="0.3">
      <c r="A792" s="220"/>
      <c r="B792" s="176"/>
      <c r="C792" s="176"/>
      <c r="D792" s="176"/>
      <c r="E792" s="176"/>
      <c r="F792" s="176"/>
      <c r="I792" s="238"/>
      <c r="J792" s="238"/>
      <c r="K792" s="235"/>
      <c r="L792" s="238"/>
      <c r="M792" s="259"/>
    </row>
    <row r="793" spans="1:13" x14ac:dyDescent="0.3">
      <c r="A793" s="220"/>
      <c r="B793" s="176"/>
      <c r="C793" s="176"/>
      <c r="D793" s="176"/>
      <c r="E793" s="176"/>
      <c r="F793" s="176"/>
      <c r="I793" s="238"/>
      <c r="J793" s="238"/>
      <c r="K793" s="235"/>
      <c r="L793" s="238"/>
      <c r="M793" s="259"/>
    </row>
    <row r="794" spans="1:13" x14ac:dyDescent="0.3">
      <c r="A794" s="220"/>
      <c r="B794" s="176"/>
      <c r="C794" s="176"/>
      <c r="D794" s="176"/>
      <c r="E794" s="176"/>
      <c r="F794" s="176"/>
      <c r="I794" s="238"/>
      <c r="J794" s="238"/>
      <c r="K794" s="235"/>
      <c r="L794" s="238"/>
      <c r="M794" s="259"/>
    </row>
    <row r="795" spans="1:13" x14ac:dyDescent="0.3">
      <c r="A795" s="220"/>
      <c r="B795" s="176"/>
      <c r="C795" s="176"/>
      <c r="D795" s="176"/>
      <c r="E795" s="176"/>
      <c r="F795" s="176"/>
      <c r="I795" s="238"/>
      <c r="J795" s="238"/>
      <c r="K795" s="235"/>
      <c r="L795" s="238"/>
      <c r="M795" s="259"/>
    </row>
    <row r="796" spans="1:13" x14ac:dyDescent="0.3">
      <c r="A796" s="220"/>
      <c r="B796" s="55"/>
      <c r="C796" s="176"/>
      <c r="D796" s="55"/>
      <c r="E796" s="176"/>
      <c r="F796" s="55"/>
      <c r="I796" s="238"/>
      <c r="J796" s="238"/>
      <c r="K796" s="235"/>
      <c r="L796" s="238"/>
      <c r="M796" s="259"/>
    </row>
    <row r="797" spans="1:13" x14ac:dyDescent="0.3">
      <c r="A797" s="220"/>
      <c r="B797" s="55"/>
      <c r="C797" s="176"/>
      <c r="D797" s="55"/>
      <c r="E797" s="176"/>
      <c r="F797" s="55"/>
      <c r="I797" s="238"/>
      <c r="J797" s="238"/>
      <c r="K797" s="235"/>
      <c r="L797" s="238"/>
      <c r="M797" s="259"/>
    </row>
    <row r="798" spans="1:13" x14ac:dyDescent="0.3">
      <c r="A798" s="220"/>
      <c r="B798" s="55"/>
      <c r="C798" s="176"/>
      <c r="D798" s="55"/>
      <c r="E798" s="176"/>
      <c r="F798" s="55"/>
      <c r="I798" s="238"/>
      <c r="J798" s="238"/>
      <c r="K798" s="235"/>
      <c r="L798" s="238"/>
      <c r="M798" s="259"/>
    </row>
    <row r="799" spans="1:13" x14ac:dyDescent="0.3">
      <c r="A799" s="220"/>
      <c r="B799" s="55"/>
      <c r="C799" s="176"/>
      <c r="D799" s="55"/>
      <c r="E799" s="176"/>
      <c r="F799" s="55"/>
      <c r="I799" s="238"/>
      <c r="J799" s="238"/>
      <c r="K799" s="235"/>
      <c r="L799" s="238"/>
      <c r="M799" s="259"/>
    </row>
    <row r="800" spans="1:13" x14ac:dyDescent="0.3">
      <c r="A800" s="220"/>
      <c r="B800" s="55"/>
      <c r="C800" s="176"/>
      <c r="D800" s="55"/>
      <c r="E800" s="176"/>
      <c r="F800" s="55"/>
      <c r="I800" s="238"/>
      <c r="J800" s="238"/>
      <c r="K800" s="235"/>
      <c r="L800" s="238"/>
      <c r="M800" s="259"/>
    </row>
    <row r="801" spans="1:13" x14ac:dyDescent="0.3">
      <c r="A801" s="220"/>
      <c r="B801" s="55"/>
      <c r="C801" s="176"/>
      <c r="D801" s="55"/>
      <c r="E801" s="176"/>
      <c r="F801" s="55"/>
      <c r="I801" s="238"/>
      <c r="J801" s="238"/>
      <c r="K801" s="235"/>
      <c r="L801" s="238"/>
      <c r="M801" s="259"/>
    </row>
    <row r="802" spans="1:13" x14ac:dyDescent="0.3">
      <c r="A802" s="220"/>
      <c r="B802" s="55"/>
      <c r="C802" s="176"/>
      <c r="D802" s="55"/>
      <c r="E802" s="176"/>
      <c r="F802" s="55"/>
      <c r="I802" s="238"/>
      <c r="J802" s="238"/>
      <c r="K802" s="235"/>
      <c r="L802" s="238"/>
      <c r="M802" s="259"/>
    </row>
    <row r="803" spans="1:13" x14ac:dyDescent="0.3">
      <c r="A803" s="220"/>
      <c r="B803" s="55"/>
      <c r="C803" s="176"/>
      <c r="D803" s="55"/>
      <c r="E803" s="176"/>
      <c r="F803" s="55"/>
      <c r="I803" s="238"/>
      <c r="J803" s="238"/>
      <c r="K803" s="235"/>
      <c r="L803" s="238"/>
      <c r="M803" s="259"/>
    </row>
    <row r="804" spans="1:13" x14ac:dyDescent="0.3">
      <c r="A804" s="220"/>
      <c r="B804" s="55"/>
      <c r="C804" s="176"/>
      <c r="D804" s="55"/>
      <c r="E804" s="176"/>
      <c r="F804" s="55"/>
      <c r="I804" s="238"/>
      <c r="J804" s="238"/>
      <c r="K804" s="235"/>
      <c r="L804" s="238"/>
      <c r="M804" s="259"/>
    </row>
    <row r="805" spans="1:13" x14ac:dyDescent="0.3">
      <c r="A805" s="220"/>
      <c r="B805" s="55"/>
      <c r="C805" s="176"/>
      <c r="D805" s="55"/>
      <c r="E805" s="176"/>
      <c r="F805" s="55"/>
      <c r="I805" s="238"/>
      <c r="J805" s="238"/>
      <c r="K805" s="235"/>
      <c r="L805" s="238"/>
      <c r="M805" s="259"/>
    </row>
    <row r="806" spans="1:13" x14ac:dyDescent="0.3">
      <c r="A806" s="220"/>
      <c r="B806" s="55"/>
      <c r="C806" s="176"/>
      <c r="D806" s="55"/>
      <c r="E806" s="176"/>
      <c r="F806" s="55"/>
      <c r="I806" s="238"/>
      <c r="J806" s="238"/>
      <c r="K806" s="235"/>
      <c r="L806" s="238"/>
      <c r="M806" s="259"/>
    </row>
    <row r="807" spans="1:13" x14ac:dyDescent="0.3">
      <c r="A807" s="220"/>
      <c r="B807" s="55"/>
      <c r="C807" s="176"/>
      <c r="D807" s="55"/>
      <c r="E807" s="176"/>
      <c r="F807" s="55"/>
      <c r="I807" s="238"/>
      <c r="J807" s="238"/>
      <c r="K807" s="235"/>
      <c r="L807" s="238"/>
      <c r="M807" s="259"/>
    </row>
    <row r="808" spans="1:13" x14ac:dyDescent="0.3">
      <c r="A808" s="220"/>
      <c r="B808" s="55"/>
      <c r="C808" s="176"/>
      <c r="D808" s="55"/>
      <c r="E808" s="176"/>
      <c r="F808" s="55"/>
      <c r="I808" s="238"/>
      <c r="J808" s="238"/>
      <c r="K808" s="235"/>
      <c r="L808" s="238"/>
      <c r="M808" s="259"/>
    </row>
    <row r="809" spans="1:13" x14ac:dyDescent="0.3">
      <c r="A809" s="220"/>
      <c r="B809" s="55"/>
      <c r="C809" s="176"/>
      <c r="D809" s="55"/>
      <c r="E809" s="176"/>
      <c r="F809" s="55"/>
      <c r="I809" s="238"/>
      <c r="J809" s="238"/>
      <c r="K809" s="235"/>
      <c r="L809" s="238"/>
      <c r="M809" s="259"/>
    </row>
    <row r="810" spans="1:13" x14ac:dyDescent="0.3">
      <c r="A810" s="220"/>
      <c r="B810" s="55"/>
      <c r="C810" s="176"/>
      <c r="D810" s="55"/>
      <c r="E810" s="176"/>
      <c r="F810" s="55"/>
      <c r="I810" s="238"/>
      <c r="J810" s="238"/>
      <c r="K810" s="235"/>
      <c r="L810" s="238"/>
      <c r="M810" s="259"/>
    </row>
    <row r="811" spans="1:13" x14ac:dyDescent="0.3">
      <c r="A811" s="220"/>
      <c r="B811" s="55"/>
      <c r="C811" s="176"/>
      <c r="D811" s="55"/>
      <c r="E811" s="176"/>
      <c r="F811" s="55"/>
      <c r="I811" s="238"/>
      <c r="J811" s="238"/>
      <c r="K811" s="235"/>
      <c r="L811" s="238"/>
      <c r="M811" s="259"/>
    </row>
    <row r="812" spans="1:13" x14ac:dyDescent="0.3">
      <c r="A812" s="220"/>
      <c r="B812" s="55"/>
      <c r="C812" s="176"/>
      <c r="D812" s="55"/>
      <c r="E812" s="176"/>
      <c r="F812" s="55"/>
      <c r="I812" s="238"/>
      <c r="J812" s="238"/>
      <c r="K812" s="235"/>
      <c r="L812" s="238"/>
      <c r="M812" s="259"/>
    </row>
    <row r="813" spans="1:13" x14ac:dyDescent="0.3">
      <c r="A813" s="220"/>
      <c r="B813" s="55"/>
      <c r="C813" s="176"/>
      <c r="D813" s="55"/>
      <c r="E813" s="176"/>
      <c r="F813" s="55"/>
      <c r="I813" s="238"/>
      <c r="J813" s="238"/>
      <c r="K813" s="235"/>
      <c r="L813" s="238"/>
      <c r="M813" s="259"/>
    </row>
    <row r="814" spans="1:13" x14ac:dyDescent="0.3">
      <c r="A814" s="220"/>
      <c r="B814" s="55"/>
      <c r="C814" s="176"/>
      <c r="D814" s="55"/>
      <c r="E814" s="176"/>
      <c r="F814" s="55"/>
      <c r="I814" s="238"/>
      <c r="J814" s="238"/>
      <c r="K814" s="235"/>
      <c r="L814" s="238"/>
      <c r="M814" s="259"/>
    </row>
    <row r="815" spans="1:13" x14ac:dyDescent="0.3">
      <c r="A815" s="220"/>
      <c r="B815" s="55"/>
      <c r="C815" s="176"/>
      <c r="D815" s="55"/>
      <c r="E815" s="176"/>
      <c r="F815" s="55"/>
      <c r="I815" s="238"/>
      <c r="J815" s="238"/>
      <c r="K815" s="235"/>
      <c r="L815" s="238"/>
      <c r="M815" s="259"/>
    </row>
    <row r="816" spans="1:13" x14ac:dyDescent="0.3">
      <c r="A816" s="220"/>
      <c r="B816" s="55"/>
      <c r="C816" s="176"/>
      <c r="D816" s="55"/>
      <c r="E816" s="176"/>
      <c r="F816" s="55"/>
      <c r="I816" s="238"/>
      <c r="J816" s="238"/>
      <c r="K816" s="235"/>
      <c r="L816" s="238"/>
      <c r="M816" s="259"/>
    </row>
    <row r="817" spans="1:13" x14ac:dyDescent="0.3">
      <c r="A817" s="220"/>
      <c r="B817" s="55"/>
      <c r="C817" s="176"/>
      <c r="D817" s="55"/>
      <c r="E817" s="176"/>
      <c r="F817" s="55"/>
      <c r="I817" s="238"/>
      <c r="J817" s="238"/>
      <c r="K817" s="235"/>
      <c r="L817" s="238"/>
      <c r="M817" s="259"/>
    </row>
    <row r="818" spans="1:13" x14ac:dyDescent="0.3">
      <c r="A818" s="220"/>
      <c r="B818" s="55"/>
      <c r="C818" s="176"/>
      <c r="D818" s="55"/>
      <c r="E818" s="176"/>
      <c r="F818" s="55"/>
      <c r="I818" s="238"/>
      <c r="J818" s="238"/>
      <c r="K818" s="235"/>
      <c r="L818" s="238"/>
      <c r="M818" s="259"/>
    </row>
    <row r="819" spans="1:13" x14ac:dyDescent="0.3">
      <c r="A819" s="220"/>
      <c r="B819" s="55"/>
      <c r="C819" s="176"/>
      <c r="D819" s="55"/>
      <c r="E819" s="176"/>
      <c r="F819" s="55"/>
      <c r="I819" s="238"/>
      <c r="J819" s="238"/>
      <c r="K819" s="235"/>
      <c r="L819" s="238"/>
      <c r="M819" s="235"/>
    </row>
    <row r="820" spans="1:13" x14ac:dyDescent="0.3">
      <c r="A820" s="220"/>
      <c r="B820" s="55"/>
      <c r="C820" s="176"/>
      <c r="D820" s="55"/>
      <c r="E820" s="176"/>
      <c r="F820" s="55"/>
      <c r="I820" s="238"/>
      <c r="J820" s="238"/>
      <c r="K820" s="235"/>
      <c r="L820" s="238"/>
      <c r="M820" s="235"/>
    </row>
    <row r="821" spans="1:13" x14ac:dyDescent="0.3">
      <c r="A821" s="220"/>
      <c r="B821" s="55"/>
      <c r="C821" s="176"/>
      <c r="D821" s="55"/>
      <c r="E821" s="176"/>
      <c r="F821" s="55"/>
      <c r="I821" s="238"/>
      <c r="J821" s="238"/>
      <c r="K821" s="235"/>
      <c r="L821" s="238"/>
      <c r="M821" s="235"/>
    </row>
    <row r="822" spans="1:13" x14ac:dyDescent="0.3">
      <c r="A822" s="220"/>
      <c r="B822" s="55"/>
      <c r="C822" s="176"/>
      <c r="D822" s="55"/>
      <c r="E822" s="176"/>
      <c r="F822" s="55"/>
      <c r="I822" s="238"/>
      <c r="J822" s="238"/>
      <c r="K822" s="235"/>
      <c r="L822" s="238"/>
      <c r="M822" s="235"/>
    </row>
    <row r="823" spans="1:13" x14ac:dyDescent="0.3">
      <c r="A823" s="220"/>
      <c r="B823" s="55"/>
      <c r="C823" s="176"/>
      <c r="D823" s="55"/>
      <c r="E823" s="176"/>
      <c r="F823" s="55"/>
      <c r="I823" s="238"/>
      <c r="J823" s="238"/>
      <c r="K823" s="235"/>
      <c r="L823" s="238"/>
      <c r="M823" s="235"/>
    </row>
    <row r="824" spans="1:13" x14ac:dyDescent="0.3">
      <c r="A824" s="220"/>
      <c r="B824" s="55"/>
      <c r="C824" s="176"/>
      <c r="D824" s="55"/>
      <c r="E824" s="176"/>
      <c r="F824" s="55"/>
      <c r="I824" s="238"/>
      <c r="J824" s="238"/>
      <c r="K824" s="235"/>
      <c r="L824" s="238"/>
      <c r="M824" s="235"/>
    </row>
    <row r="825" spans="1:13" x14ac:dyDescent="0.3">
      <c r="A825" s="220"/>
      <c r="B825" s="55"/>
      <c r="C825" s="176"/>
      <c r="D825" s="55"/>
      <c r="E825" s="176"/>
      <c r="F825" s="55"/>
      <c r="I825" s="238"/>
      <c r="J825" s="238"/>
      <c r="K825" s="235"/>
      <c r="L825" s="238"/>
      <c r="M825" s="235"/>
    </row>
    <row r="826" spans="1:13" x14ac:dyDescent="0.3">
      <c r="A826" s="220"/>
      <c r="B826" s="55"/>
      <c r="C826" s="176"/>
      <c r="D826" s="55"/>
      <c r="E826" s="176"/>
      <c r="F826" s="55"/>
      <c r="I826" s="238"/>
      <c r="J826" s="238"/>
      <c r="K826" s="235"/>
      <c r="L826" s="238"/>
      <c r="M826" s="235"/>
    </row>
    <row r="827" spans="1:13" x14ac:dyDescent="0.3">
      <c r="A827" s="220"/>
      <c r="B827" s="55"/>
      <c r="C827" s="176"/>
      <c r="D827" s="55"/>
      <c r="E827" s="176"/>
      <c r="F827" s="55"/>
      <c r="I827" s="238"/>
      <c r="J827" s="238"/>
      <c r="K827" s="235"/>
      <c r="L827" s="238"/>
      <c r="M827" s="235"/>
    </row>
    <row r="828" spans="1:13" x14ac:dyDescent="0.3">
      <c r="A828" s="220"/>
      <c r="B828" s="55"/>
      <c r="C828" s="176"/>
      <c r="D828" s="55"/>
      <c r="E828" s="176"/>
      <c r="F828" s="55"/>
      <c r="I828" s="238"/>
      <c r="J828" s="238"/>
      <c r="K828" s="235"/>
      <c r="L828" s="238"/>
      <c r="M828" s="235"/>
    </row>
    <row r="829" spans="1:13" x14ac:dyDescent="0.3">
      <c r="A829" s="220"/>
      <c r="B829" s="55"/>
      <c r="C829" s="176"/>
      <c r="D829" s="55"/>
      <c r="E829" s="176"/>
      <c r="F829" s="55"/>
      <c r="I829" s="238"/>
      <c r="J829" s="238"/>
      <c r="K829" s="235"/>
      <c r="L829" s="238"/>
      <c r="M829" s="235"/>
    </row>
    <row r="830" spans="1:13" x14ac:dyDescent="0.3">
      <c r="A830" s="220"/>
      <c r="B830" s="55"/>
      <c r="C830" s="176"/>
      <c r="D830" s="55"/>
      <c r="E830" s="176"/>
      <c r="F830" s="55"/>
      <c r="I830" s="238"/>
      <c r="J830" s="238"/>
      <c r="K830" s="235"/>
      <c r="L830" s="238"/>
      <c r="M830" s="235"/>
    </row>
    <row r="831" spans="1:13" x14ac:dyDescent="0.3">
      <c r="A831" s="220"/>
      <c r="B831" s="55"/>
      <c r="C831" s="176"/>
      <c r="D831" s="55"/>
      <c r="E831" s="176"/>
      <c r="F831" s="55"/>
      <c r="I831" s="238"/>
      <c r="J831" s="238"/>
      <c r="K831" s="235"/>
      <c r="L831" s="238"/>
      <c r="M831" s="235"/>
    </row>
    <row r="832" spans="1:13" x14ac:dyDescent="0.3">
      <c r="A832" s="220"/>
      <c r="B832" s="55"/>
      <c r="C832" s="176"/>
      <c r="D832" s="55"/>
      <c r="E832" s="176"/>
      <c r="F832" s="55"/>
      <c r="I832" s="238"/>
      <c r="J832" s="238"/>
      <c r="K832" s="235"/>
      <c r="L832" s="238"/>
      <c r="M832" s="235"/>
    </row>
    <row r="833" spans="1:13" x14ac:dyDescent="0.3">
      <c r="A833" s="220"/>
      <c r="B833" s="55"/>
      <c r="C833" s="176"/>
      <c r="D833" s="55"/>
      <c r="E833" s="176"/>
      <c r="F833" s="55"/>
      <c r="I833" s="238"/>
      <c r="J833" s="238"/>
      <c r="K833" s="235"/>
      <c r="L833" s="238"/>
      <c r="M833" s="235"/>
    </row>
    <row r="834" spans="1:13" x14ac:dyDescent="0.3">
      <c r="A834" s="220"/>
      <c r="B834" s="55"/>
      <c r="C834" s="176"/>
      <c r="D834" s="55"/>
      <c r="E834" s="176"/>
      <c r="F834" s="55"/>
      <c r="I834" s="238"/>
      <c r="J834" s="238"/>
      <c r="K834" s="235"/>
      <c r="L834" s="238"/>
      <c r="M834" s="235"/>
    </row>
    <row r="835" spans="1:13" x14ac:dyDescent="0.3">
      <c r="A835" s="220"/>
      <c r="B835" s="55"/>
      <c r="C835" s="176"/>
      <c r="D835" s="55"/>
      <c r="E835" s="176"/>
      <c r="F835" s="55"/>
      <c r="I835" s="238"/>
      <c r="J835" s="238"/>
      <c r="K835" s="235"/>
      <c r="L835" s="238"/>
      <c r="M835" s="235"/>
    </row>
    <row r="836" spans="1:13" x14ac:dyDescent="0.3">
      <c r="A836" s="220"/>
      <c r="B836" s="55"/>
      <c r="C836" s="176"/>
      <c r="D836" s="55"/>
      <c r="E836" s="176"/>
      <c r="F836" s="55"/>
      <c r="I836" s="238"/>
      <c r="J836" s="238"/>
      <c r="K836" s="235"/>
      <c r="L836" s="238"/>
      <c r="M836" s="235"/>
    </row>
    <row r="837" spans="1:13" x14ac:dyDescent="0.3">
      <c r="A837" s="220"/>
      <c r="B837" s="55"/>
      <c r="C837" s="176"/>
      <c r="D837" s="55"/>
      <c r="E837" s="176"/>
      <c r="F837" s="55"/>
      <c r="I837" s="238"/>
      <c r="J837" s="238"/>
      <c r="K837" s="235"/>
      <c r="L837" s="238"/>
      <c r="M837" s="235"/>
    </row>
    <row r="838" spans="1:13" x14ac:dyDescent="0.3">
      <c r="A838" s="220"/>
      <c r="B838" s="55"/>
      <c r="C838" s="176"/>
      <c r="D838" s="55"/>
      <c r="E838" s="176"/>
      <c r="F838" s="55"/>
      <c r="I838" s="238"/>
      <c r="J838" s="238"/>
      <c r="K838" s="235"/>
      <c r="L838" s="238"/>
      <c r="M838" s="235"/>
    </row>
    <row r="839" spans="1:13" x14ac:dyDescent="0.3">
      <c r="A839" s="220"/>
      <c r="B839" s="55"/>
      <c r="C839" s="176"/>
      <c r="D839" s="55"/>
      <c r="E839" s="176"/>
      <c r="F839" s="55"/>
      <c r="I839" s="238"/>
      <c r="J839" s="238"/>
      <c r="K839" s="235"/>
      <c r="L839" s="238"/>
      <c r="M839" s="235"/>
    </row>
    <row r="840" spans="1:13" x14ac:dyDescent="0.3">
      <c r="A840" s="220"/>
      <c r="B840" s="55"/>
      <c r="C840" s="176"/>
      <c r="D840" s="55"/>
      <c r="E840" s="176"/>
      <c r="F840" s="55"/>
      <c r="I840" s="238"/>
      <c r="J840" s="238"/>
      <c r="K840" s="235"/>
      <c r="L840" s="238"/>
      <c r="M840" s="235"/>
    </row>
    <row r="841" spans="1:13" x14ac:dyDescent="0.3">
      <c r="A841" s="220"/>
      <c r="B841" s="55"/>
      <c r="C841" s="176"/>
      <c r="D841" s="55"/>
      <c r="E841" s="176"/>
      <c r="F841" s="55"/>
      <c r="I841" s="238"/>
      <c r="J841" s="238"/>
      <c r="K841" s="235"/>
      <c r="L841" s="238"/>
      <c r="M841" s="235"/>
    </row>
    <row r="842" spans="1:13" x14ac:dyDescent="0.3">
      <c r="A842" s="220"/>
      <c r="B842" s="55"/>
      <c r="C842" s="176"/>
      <c r="D842" s="55"/>
      <c r="E842" s="176"/>
      <c r="F842" s="55"/>
      <c r="I842" s="238"/>
      <c r="J842" s="238"/>
      <c r="K842" s="235"/>
      <c r="L842" s="238"/>
      <c r="M842" s="235"/>
    </row>
    <row r="843" spans="1:13" x14ac:dyDescent="0.3">
      <c r="A843" s="220"/>
      <c r="B843" s="55"/>
      <c r="C843" s="176"/>
      <c r="D843" s="55"/>
      <c r="E843" s="176"/>
      <c r="F843" s="55"/>
      <c r="I843" s="238"/>
      <c r="J843" s="238"/>
      <c r="K843" s="235"/>
      <c r="L843" s="238"/>
      <c r="M843" s="235"/>
    </row>
    <row r="844" spans="1:13" x14ac:dyDescent="0.3">
      <c r="A844" s="220"/>
      <c r="B844" s="55"/>
      <c r="C844" s="176"/>
      <c r="D844" s="55"/>
      <c r="E844" s="176"/>
      <c r="F844" s="55"/>
      <c r="I844" s="238"/>
      <c r="J844" s="238"/>
      <c r="K844" s="235"/>
      <c r="L844" s="238"/>
      <c r="M844" s="235"/>
    </row>
    <row r="845" spans="1:13" x14ac:dyDescent="0.3">
      <c r="A845" s="220"/>
      <c r="B845" s="55"/>
      <c r="C845" s="176"/>
      <c r="D845" s="55"/>
      <c r="E845" s="176"/>
      <c r="F845" s="55"/>
      <c r="I845" s="238"/>
      <c r="J845" s="238"/>
      <c r="K845" s="235"/>
      <c r="L845" s="238"/>
      <c r="M845" s="235"/>
    </row>
    <row r="846" spans="1:13" x14ac:dyDescent="0.3">
      <c r="A846" s="220"/>
      <c r="B846" s="55"/>
      <c r="C846" s="176"/>
      <c r="D846" s="55"/>
      <c r="E846" s="176"/>
      <c r="F846" s="55"/>
      <c r="I846" s="238"/>
      <c r="J846" s="238"/>
      <c r="K846" s="235"/>
      <c r="L846" s="238"/>
      <c r="M846" s="235"/>
    </row>
    <row r="847" spans="1:13" x14ac:dyDescent="0.3">
      <c r="A847" s="220"/>
      <c r="B847" s="55"/>
      <c r="C847" s="176"/>
      <c r="D847" s="55"/>
      <c r="E847" s="176"/>
      <c r="F847" s="55"/>
      <c r="I847" s="238"/>
      <c r="J847" s="238"/>
      <c r="K847" s="235"/>
      <c r="L847" s="238"/>
      <c r="M847" s="235"/>
    </row>
    <row r="848" spans="1:13" x14ac:dyDescent="0.3">
      <c r="A848" s="220"/>
      <c r="B848" s="55"/>
      <c r="C848" s="176"/>
      <c r="D848" s="55"/>
      <c r="E848" s="176"/>
      <c r="F848" s="55"/>
      <c r="I848" s="238"/>
      <c r="J848" s="238"/>
      <c r="K848" s="235"/>
      <c r="L848" s="238"/>
      <c r="M848" s="235"/>
    </row>
    <row r="849" spans="1:13" x14ac:dyDescent="0.3">
      <c r="A849" s="220"/>
      <c r="B849" s="55"/>
      <c r="C849" s="176"/>
      <c r="D849" s="55"/>
      <c r="E849" s="176"/>
      <c r="F849" s="55"/>
      <c r="I849" s="238"/>
      <c r="J849" s="238"/>
      <c r="K849" s="235"/>
      <c r="L849" s="238"/>
      <c r="M849" s="235"/>
    </row>
    <row r="850" spans="1:13" x14ac:dyDescent="0.3">
      <c r="A850" s="220"/>
      <c r="B850" s="55"/>
      <c r="C850" s="176"/>
      <c r="D850" s="55"/>
      <c r="E850" s="176"/>
      <c r="F850" s="55"/>
      <c r="I850" s="238"/>
      <c r="J850" s="238"/>
      <c r="K850" s="235"/>
      <c r="L850" s="238"/>
      <c r="M850" s="235"/>
    </row>
    <row r="851" spans="1:13" x14ac:dyDescent="0.3">
      <c r="A851" s="220"/>
      <c r="B851" s="55"/>
      <c r="C851" s="176"/>
      <c r="D851" s="55"/>
      <c r="E851" s="176"/>
      <c r="F851" s="55"/>
      <c r="I851" s="238"/>
      <c r="J851" s="238"/>
      <c r="K851" s="235"/>
      <c r="L851" s="238"/>
      <c r="M851" s="235"/>
    </row>
    <row r="852" spans="1:13" x14ac:dyDescent="0.3">
      <c r="A852" s="220"/>
      <c r="B852" s="55"/>
      <c r="C852" s="176"/>
      <c r="D852" s="55"/>
      <c r="E852" s="176"/>
      <c r="F852" s="55"/>
      <c r="I852" s="238"/>
      <c r="J852" s="238"/>
      <c r="K852" s="235"/>
      <c r="L852" s="238"/>
      <c r="M852" s="235"/>
    </row>
    <row r="853" spans="1:13" x14ac:dyDescent="0.3">
      <c r="A853" s="220"/>
      <c r="B853" s="55"/>
      <c r="C853" s="176"/>
      <c r="D853" s="55"/>
      <c r="E853" s="176"/>
      <c r="F853" s="55"/>
      <c r="I853" s="238"/>
      <c r="J853" s="238"/>
      <c r="K853" s="235"/>
      <c r="L853" s="238"/>
      <c r="M853" s="235"/>
    </row>
    <row r="854" spans="1:13" x14ac:dyDescent="0.3">
      <c r="A854" s="220"/>
      <c r="B854" s="55"/>
      <c r="C854" s="176"/>
      <c r="D854" s="55"/>
      <c r="E854" s="176"/>
      <c r="F854" s="55"/>
      <c r="I854" s="238"/>
      <c r="J854" s="238"/>
      <c r="K854" s="235"/>
      <c r="L854" s="238"/>
      <c r="M854" s="235"/>
    </row>
    <row r="855" spans="1:13" x14ac:dyDescent="0.3">
      <c r="A855" s="220"/>
      <c r="B855" s="55"/>
      <c r="C855" s="176"/>
      <c r="D855" s="55"/>
      <c r="E855" s="176"/>
      <c r="F855" s="55"/>
      <c r="I855" s="238"/>
      <c r="J855" s="238"/>
      <c r="K855" s="235"/>
      <c r="L855" s="241"/>
      <c r="M855" s="235"/>
    </row>
    <row r="856" spans="1:13" x14ac:dyDescent="0.3">
      <c r="A856" s="220"/>
      <c r="B856" s="55"/>
      <c r="C856" s="176"/>
      <c r="D856" s="55"/>
      <c r="E856" s="176"/>
      <c r="F856" s="55"/>
      <c r="I856" s="238"/>
      <c r="J856" s="238"/>
      <c r="K856" s="235"/>
      <c r="L856" s="235"/>
      <c r="M856" s="235"/>
    </row>
    <row r="857" spans="1:13" x14ac:dyDescent="0.3">
      <c r="A857" s="220"/>
      <c r="B857" s="55"/>
      <c r="C857" s="176"/>
      <c r="D857" s="55"/>
      <c r="E857" s="176"/>
      <c r="F857" s="55"/>
      <c r="I857" s="238"/>
      <c r="J857" s="238"/>
      <c r="K857" s="235"/>
      <c r="L857" s="235"/>
      <c r="M857" s="235"/>
    </row>
    <row r="858" spans="1:13" x14ac:dyDescent="0.3">
      <c r="A858" s="220"/>
      <c r="B858" s="55"/>
      <c r="C858" s="176"/>
      <c r="D858" s="55"/>
      <c r="E858" s="176"/>
      <c r="F858" s="55"/>
      <c r="I858" s="238"/>
      <c r="J858" s="238"/>
      <c r="K858" s="235"/>
      <c r="L858" s="235"/>
      <c r="M858" s="235"/>
    </row>
    <row r="859" spans="1:13" x14ac:dyDescent="0.3">
      <c r="A859" s="220"/>
      <c r="B859" s="55"/>
      <c r="C859" s="176"/>
      <c r="D859" s="55"/>
      <c r="E859" s="176"/>
      <c r="F859" s="55"/>
      <c r="I859" s="238"/>
      <c r="J859" s="238"/>
      <c r="K859" s="235"/>
      <c r="L859" s="235"/>
      <c r="M859" s="235"/>
    </row>
    <row r="860" spans="1:13" x14ac:dyDescent="0.3">
      <c r="A860" s="220"/>
      <c r="B860" s="55"/>
      <c r="C860" s="176"/>
      <c r="D860" s="55"/>
      <c r="E860" s="176"/>
      <c r="F860" s="55"/>
      <c r="I860" s="238"/>
      <c r="J860" s="238"/>
      <c r="K860" s="235"/>
      <c r="L860" s="235"/>
      <c r="M860" s="235"/>
    </row>
    <row r="861" spans="1:13" x14ac:dyDescent="0.3">
      <c r="A861" s="220"/>
      <c r="B861" s="55"/>
      <c r="C861" s="176"/>
      <c r="D861" s="55"/>
      <c r="E861" s="176"/>
      <c r="F861" s="55"/>
      <c r="I861" s="238"/>
      <c r="J861" s="238"/>
      <c r="K861" s="235"/>
      <c r="L861" s="235"/>
      <c r="M861" s="235"/>
    </row>
    <row r="862" spans="1:13" x14ac:dyDescent="0.3">
      <c r="A862" s="220"/>
      <c r="B862" s="55"/>
      <c r="C862" s="176"/>
      <c r="D862" s="55"/>
      <c r="E862" s="176"/>
      <c r="F862" s="55"/>
      <c r="I862" s="238"/>
      <c r="J862" s="238"/>
      <c r="K862" s="235"/>
      <c r="L862" s="235"/>
      <c r="M862" s="235"/>
    </row>
    <row r="863" spans="1:13" x14ac:dyDescent="0.3">
      <c r="A863" s="220"/>
      <c r="B863" s="55"/>
      <c r="C863" s="176"/>
      <c r="D863" s="55"/>
      <c r="E863" s="176"/>
      <c r="F863" s="55"/>
      <c r="I863" s="238"/>
      <c r="J863" s="238"/>
      <c r="K863" s="235"/>
      <c r="L863" s="235"/>
      <c r="M863" s="235"/>
    </row>
    <row r="864" spans="1:13" x14ac:dyDescent="0.3">
      <c r="A864" s="220"/>
      <c r="B864" s="55"/>
      <c r="C864" s="176"/>
      <c r="D864" s="55"/>
      <c r="E864" s="176"/>
      <c r="F864" s="55"/>
      <c r="I864" s="238"/>
      <c r="J864" s="238"/>
      <c r="K864" s="235"/>
      <c r="L864" s="235"/>
      <c r="M864" s="235"/>
    </row>
    <row r="865" spans="1:13" x14ac:dyDescent="0.3">
      <c r="A865" s="220"/>
      <c r="B865" s="55"/>
      <c r="C865" s="176"/>
      <c r="D865" s="55"/>
      <c r="E865" s="176"/>
      <c r="F865" s="55"/>
      <c r="I865" s="238"/>
      <c r="J865" s="238"/>
      <c r="K865" s="235"/>
      <c r="L865" s="235"/>
      <c r="M865" s="235"/>
    </row>
    <row r="866" spans="1:13" x14ac:dyDescent="0.3">
      <c r="A866" s="220"/>
      <c r="B866" s="55"/>
      <c r="C866" s="176"/>
      <c r="D866" s="55"/>
      <c r="E866" s="176"/>
      <c r="F866" s="55"/>
      <c r="I866" s="238"/>
      <c r="J866" s="238"/>
      <c r="K866" s="235"/>
      <c r="L866" s="235"/>
      <c r="M866" s="235"/>
    </row>
    <row r="867" spans="1:13" x14ac:dyDescent="0.3">
      <c r="A867" s="220"/>
      <c r="B867" s="55"/>
      <c r="C867" s="176"/>
      <c r="D867" s="55"/>
      <c r="E867" s="176"/>
      <c r="F867" s="55"/>
      <c r="I867" s="238"/>
      <c r="J867" s="238"/>
      <c r="K867" s="235"/>
      <c r="L867" s="235"/>
      <c r="M867" s="235"/>
    </row>
    <row r="868" spans="1:13" x14ac:dyDescent="0.3">
      <c r="A868" s="220"/>
      <c r="B868" s="55"/>
      <c r="C868" s="176"/>
      <c r="D868" s="55"/>
      <c r="E868" s="176"/>
      <c r="F868" s="55"/>
      <c r="I868" s="238"/>
      <c r="J868" s="238"/>
      <c r="K868" s="235"/>
      <c r="L868" s="235"/>
      <c r="M868" s="235"/>
    </row>
    <row r="869" spans="1:13" x14ac:dyDescent="0.3">
      <c r="A869" s="220"/>
      <c r="B869" s="55"/>
      <c r="C869" s="176"/>
      <c r="D869" s="55"/>
      <c r="E869" s="176"/>
      <c r="F869" s="55"/>
      <c r="I869" s="238"/>
      <c r="J869" s="238"/>
      <c r="K869" s="235"/>
      <c r="L869" s="235"/>
      <c r="M869" s="235"/>
    </row>
    <row r="870" spans="1:13" x14ac:dyDescent="0.3">
      <c r="A870" s="220"/>
      <c r="B870" s="55"/>
      <c r="C870" s="176"/>
      <c r="D870" s="55"/>
      <c r="E870" s="176"/>
      <c r="F870" s="55"/>
      <c r="I870" s="238"/>
      <c r="J870" s="238"/>
      <c r="K870" s="235"/>
      <c r="L870" s="235"/>
      <c r="M870" s="235"/>
    </row>
    <row r="871" spans="1:13" x14ac:dyDescent="0.3">
      <c r="A871" s="220"/>
      <c r="B871" s="55"/>
      <c r="C871" s="176"/>
      <c r="D871" s="55"/>
      <c r="E871" s="176"/>
      <c r="F871" s="55"/>
      <c r="I871" s="238"/>
      <c r="J871" s="238"/>
      <c r="K871" s="235"/>
      <c r="L871" s="235"/>
      <c r="M871" s="235"/>
    </row>
    <row r="872" spans="1:13" x14ac:dyDescent="0.3">
      <c r="A872" s="220"/>
      <c r="B872" s="55"/>
      <c r="C872" s="176"/>
      <c r="D872" s="55"/>
      <c r="E872" s="176"/>
      <c r="F872" s="55"/>
      <c r="I872" s="238"/>
      <c r="J872" s="238"/>
      <c r="K872" s="235"/>
      <c r="L872" s="235"/>
      <c r="M872" s="235"/>
    </row>
    <row r="873" spans="1:13" x14ac:dyDescent="0.3">
      <c r="A873" s="220"/>
      <c r="B873" s="55"/>
      <c r="C873" s="176"/>
      <c r="D873" s="55"/>
      <c r="E873" s="176"/>
      <c r="F873" s="55"/>
      <c r="I873" s="238"/>
      <c r="J873" s="238"/>
      <c r="K873" s="235"/>
      <c r="L873" s="235"/>
      <c r="M873" s="235"/>
    </row>
    <row r="874" spans="1:13" x14ac:dyDescent="0.3">
      <c r="A874" s="220"/>
      <c r="B874" s="55"/>
      <c r="C874" s="176"/>
      <c r="D874" s="55"/>
      <c r="E874" s="176"/>
      <c r="F874" s="55"/>
      <c r="I874" s="238"/>
      <c r="J874" s="238"/>
      <c r="K874" s="235"/>
      <c r="L874" s="235"/>
      <c r="M874" s="235"/>
    </row>
    <row r="875" spans="1:13" x14ac:dyDescent="0.3">
      <c r="A875" s="220"/>
      <c r="B875" s="55"/>
      <c r="C875" s="176"/>
      <c r="D875" s="55"/>
      <c r="E875" s="176"/>
      <c r="F875" s="55"/>
      <c r="I875" s="238"/>
      <c r="J875" s="238"/>
      <c r="K875" s="235"/>
      <c r="L875" s="235"/>
      <c r="M875" s="235"/>
    </row>
    <row r="876" spans="1:13" x14ac:dyDescent="0.3">
      <c r="A876" s="220"/>
      <c r="B876" s="55"/>
      <c r="C876" s="176"/>
      <c r="D876" s="55"/>
      <c r="E876" s="176"/>
      <c r="F876" s="55"/>
      <c r="I876" s="238"/>
      <c r="J876" s="238"/>
      <c r="K876" s="235"/>
      <c r="L876" s="235"/>
      <c r="M876" s="235"/>
    </row>
    <row r="877" spans="1:13" x14ac:dyDescent="0.3">
      <c r="A877" s="220"/>
      <c r="B877" s="55"/>
      <c r="C877" s="176"/>
      <c r="D877" s="55"/>
      <c r="E877" s="176"/>
      <c r="F877" s="55"/>
      <c r="I877" s="238"/>
      <c r="J877" s="238"/>
      <c r="K877" s="235"/>
      <c r="L877" s="235"/>
      <c r="M877" s="235"/>
    </row>
    <row r="878" spans="1:13" x14ac:dyDescent="0.3">
      <c r="A878" s="220"/>
      <c r="B878" s="55"/>
      <c r="C878" s="176"/>
      <c r="D878" s="55"/>
      <c r="E878" s="176"/>
      <c r="F878" s="55"/>
      <c r="I878" s="238"/>
      <c r="J878" s="238"/>
      <c r="K878" s="235"/>
      <c r="L878" s="235"/>
      <c r="M878" s="235"/>
    </row>
    <row r="879" spans="1:13" x14ac:dyDescent="0.3">
      <c r="A879" s="220"/>
      <c r="B879" s="55"/>
      <c r="C879" s="176"/>
      <c r="D879" s="55"/>
      <c r="E879" s="176"/>
      <c r="F879" s="55"/>
      <c r="I879" s="238"/>
      <c r="J879" s="238"/>
      <c r="K879" s="235"/>
      <c r="L879" s="235"/>
      <c r="M879" s="235"/>
    </row>
    <row r="880" spans="1:13" x14ac:dyDescent="0.3">
      <c r="A880" s="220"/>
      <c r="B880" s="55"/>
      <c r="C880" s="176"/>
      <c r="D880" s="55"/>
      <c r="E880" s="176"/>
      <c r="F880" s="55"/>
      <c r="I880" s="238"/>
      <c r="J880" s="238"/>
      <c r="K880" s="235"/>
      <c r="L880" s="235"/>
      <c r="M880" s="235"/>
    </row>
    <row r="881" spans="1:13" x14ac:dyDescent="0.3">
      <c r="A881" s="220"/>
      <c r="B881" s="55"/>
      <c r="C881" s="176"/>
      <c r="D881" s="55"/>
      <c r="E881" s="176"/>
      <c r="F881" s="55"/>
      <c r="I881" s="238"/>
      <c r="J881" s="238"/>
      <c r="K881" s="235"/>
      <c r="L881" s="235"/>
      <c r="M881" s="235"/>
    </row>
    <row r="882" spans="1:13" x14ac:dyDescent="0.3">
      <c r="A882" s="220"/>
      <c r="B882" s="55"/>
      <c r="C882" s="176"/>
      <c r="D882" s="55"/>
      <c r="E882" s="176"/>
      <c r="F882" s="55"/>
      <c r="I882" s="238"/>
      <c r="J882" s="238"/>
      <c r="K882" s="235"/>
      <c r="L882" s="235"/>
      <c r="M882" s="235"/>
    </row>
    <row r="883" spans="1:13" x14ac:dyDescent="0.3">
      <c r="A883" s="220"/>
      <c r="B883" s="55"/>
      <c r="C883" s="176"/>
      <c r="D883" s="55"/>
      <c r="E883" s="176"/>
      <c r="F883" s="55"/>
      <c r="I883" s="238"/>
      <c r="J883" s="238"/>
      <c r="K883" s="235"/>
      <c r="L883" s="235"/>
      <c r="M883" s="235"/>
    </row>
    <row r="884" spans="1:13" x14ac:dyDescent="0.3">
      <c r="A884" s="220"/>
      <c r="B884" s="55"/>
      <c r="C884" s="176"/>
      <c r="D884" s="55"/>
      <c r="E884" s="176"/>
      <c r="F884" s="55"/>
      <c r="I884" s="238"/>
      <c r="J884" s="238"/>
      <c r="K884" s="235"/>
      <c r="L884" s="235"/>
      <c r="M884" s="235"/>
    </row>
    <row r="885" spans="1:13" x14ac:dyDescent="0.3">
      <c r="A885" s="220"/>
      <c r="B885" s="55"/>
      <c r="C885" s="176"/>
      <c r="D885" s="55"/>
      <c r="E885" s="176"/>
      <c r="F885" s="55"/>
      <c r="I885" s="238"/>
      <c r="J885" s="238"/>
      <c r="K885" s="235"/>
      <c r="L885" s="235"/>
      <c r="M885" s="235"/>
    </row>
    <row r="886" spans="1:13" x14ac:dyDescent="0.3">
      <c r="A886" s="220"/>
      <c r="B886" s="55"/>
      <c r="C886" s="176"/>
      <c r="D886" s="55"/>
      <c r="E886" s="176"/>
      <c r="F886" s="55"/>
      <c r="I886" s="238"/>
      <c r="J886" s="238"/>
      <c r="K886" s="235"/>
      <c r="L886" s="235"/>
      <c r="M886" s="235"/>
    </row>
    <row r="887" spans="1:13" x14ac:dyDescent="0.3">
      <c r="A887" s="220"/>
      <c r="B887" s="55"/>
      <c r="C887" s="176"/>
      <c r="D887" s="55"/>
      <c r="E887" s="176"/>
      <c r="F887" s="55"/>
      <c r="I887" s="238"/>
      <c r="J887" s="238"/>
      <c r="K887" s="235"/>
      <c r="L887" s="235"/>
      <c r="M887" s="235"/>
    </row>
    <row r="888" spans="1:13" x14ac:dyDescent="0.3">
      <c r="A888" s="220"/>
      <c r="B888" s="55"/>
      <c r="C888" s="176"/>
      <c r="D888" s="55"/>
      <c r="E888" s="176"/>
      <c r="F888" s="55"/>
      <c r="I888" s="238"/>
      <c r="J888" s="238"/>
      <c r="K888" s="235"/>
      <c r="L888" s="235"/>
      <c r="M888" s="235"/>
    </row>
    <row r="889" spans="1:13" x14ac:dyDescent="0.3">
      <c r="A889" s="220"/>
      <c r="B889" s="55"/>
      <c r="C889" s="176"/>
      <c r="D889" s="55"/>
      <c r="E889" s="176"/>
      <c r="F889" s="55"/>
      <c r="I889" s="238"/>
      <c r="J889" s="238"/>
      <c r="K889" s="235"/>
      <c r="L889" s="235"/>
      <c r="M889" s="235"/>
    </row>
    <row r="890" spans="1:13" x14ac:dyDescent="0.3">
      <c r="A890" s="220"/>
      <c r="B890" s="55"/>
      <c r="C890" s="176"/>
      <c r="D890" s="55"/>
      <c r="E890" s="176"/>
      <c r="F890" s="55"/>
      <c r="I890" s="238"/>
      <c r="J890" s="238"/>
      <c r="K890" s="235"/>
      <c r="L890" s="235"/>
      <c r="M890" s="235"/>
    </row>
    <row r="891" spans="1:13" x14ac:dyDescent="0.3">
      <c r="A891" s="220"/>
      <c r="B891" s="55"/>
      <c r="C891" s="176"/>
      <c r="D891" s="55"/>
      <c r="E891" s="176"/>
      <c r="F891" s="55"/>
      <c r="I891" s="238"/>
      <c r="J891" s="238"/>
      <c r="K891" s="235"/>
      <c r="L891" s="235"/>
      <c r="M891" s="235"/>
    </row>
    <row r="892" spans="1:13" x14ac:dyDescent="0.3">
      <c r="A892" s="220"/>
      <c r="B892" s="55"/>
      <c r="C892" s="176"/>
      <c r="D892" s="55"/>
      <c r="E892" s="176"/>
      <c r="F892" s="55"/>
      <c r="I892" s="238"/>
      <c r="J892" s="238"/>
      <c r="K892" s="235"/>
      <c r="L892" s="235"/>
      <c r="M892" s="235"/>
    </row>
    <row r="893" spans="1:13" x14ac:dyDescent="0.3">
      <c r="A893" s="220"/>
      <c r="B893" s="55"/>
      <c r="C893" s="176"/>
      <c r="D893" s="55"/>
      <c r="E893" s="176"/>
      <c r="F893" s="55"/>
      <c r="I893" s="238"/>
      <c r="J893" s="238"/>
      <c r="K893" s="235"/>
      <c r="L893" s="235"/>
      <c r="M893" s="235"/>
    </row>
    <row r="894" spans="1:13" x14ac:dyDescent="0.3">
      <c r="A894" s="220"/>
      <c r="B894" s="55"/>
      <c r="C894" s="176"/>
      <c r="D894" s="55"/>
      <c r="E894" s="176"/>
      <c r="F894" s="55"/>
      <c r="I894" s="238"/>
      <c r="J894" s="238"/>
      <c r="K894" s="235"/>
      <c r="L894" s="235"/>
      <c r="M894" s="235"/>
    </row>
    <row r="895" spans="1:13" x14ac:dyDescent="0.3">
      <c r="A895" s="220"/>
      <c r="B895" s="55"/>
      <c r="C895" s="176"/>
      <c r="D895" s="55"/>
      <c r="E895" s="176"/>
      <c r="F895" s="55"/>
      <c r="I895" s="238"/>
      <c r="J895" s="238"/>
      <c r="K895" s="235"/>
      <c r="L895" s="235"/>
      <c r="M895" s="235"/>
    </row>
    <row r="896" spans="1:13" x14ac:dyDescent="0.3">
      <c r="A896" s="220"/>
      <c r="B896" s="55"/>
      <c r="C896" s="176"/>
      <c r="D896" s="55"/>
      <c r="E896" s="176"/>
      <c r="F896" s="55"/>
      <c r="I896" s="238"/>
      <c r="J896" s="238"/>
      <c r="K896" s="235"/>
      <c r="L896" s="235"/>
      <c r="M896" s="235"/>
    </row>
    <row r="897" spans="1:13" x14ac:dyDescent="0.3">
      <c r="A897" s="220"/>
      <c r="B897" s="55"/>
      <c r="C897" s="176"/>
      <c r="D897" s="55"/>
      <c r="E897" s="176"/>
      <c r="F897" s="55"/>
      <c r="I897" s="238"/>
      <c r="J897" s="238"/>
      <c r="K897" s="235"/>
      <c r="L897" s="235"/>
      <c r="M897" s="235"/>
    </row>
    <row r="898" spans="1:13" x14ac:dyDescent="0.3">
      <c r="A898" s="220"/>
      <c r="B898" s="55"/>
      <c r="C898" s="176"/>
      <c r="D898" s="55"/>
      <c r="E898" s="176"/>
      <c r="F898" s="55"/>
      <c r="I898" s="238"/>
      <c r="J898" s="238"/>
      <c r="K898" s="235"/>
      <c r="L898" s="235"/>
      <c r="M898" s="235"/>
    </row>
    <row r="899" spans="1:13" x14ac:dyDescent="0.3">
      <c r="A899" s="220"/>
      <c r="B899" s="55"/>
      <c r="C899" s="176"/>
      <c r="D899" s="55"/>
      <c r="E899" s="176"/>
      <c r="F899" s="55"/>
      <c r="I899" s="241"/>
      <c r="J899" s="238"/>
      <c r="K899" s="235"/>
      <c r="L899" s="235"/>
      <c r="M899" s="235"/>
    </row>
    <row r="900" spans="1:13" x14ac:dyDescent="0.3">
      <c r="A900" s="220"/>
      <c r="B900" s="55"/>
      <c r="C900" s="176"/>
      <c r="D900" s="55"/>
      <c r="E900" s="176"/>
      <c r="F900" s="55"/>
      <c r="I900" s="235"/>
      <c r="J900" s="238"/>
      <c r="K900" s="235"/>
      <c r="L900" s="235"/>
      <c r="M900" s="235"/>
    </row>
    <row r="901" spans="1:13" x14ac:dyDescent="0.3">
      <c r="A901" s="220"/>
      <c r="B901" s="55"/>
      <c r="C901" s="176"/>
      <c r="D901" s="55"/>
      <c r="E901" s="176"/>
      <c r="F901" s="55"/>
      <c r="I901" s="235"/>
      <c r="J901" s="238"/>
      <c r="K901" s="235"/>
      <c r="L901" s="235"/>
      <c r="M901" s="235"/>
    </row>
    <row r="902" spans="1:13" x14ac:dyDescent="0.3">
      <c r="A902" s="220"/>
      <c r="B902" s="55"/>
      <c r="C902" s="176"/>
      <c r="D902" s="55"/>
      <c r="E902" s="176"/>
      <c r="F902" s="55"/>
      <c r="I902" s="235"/>
      <c r="J902" s="238"/>
      <c r="K902" s="235"/>
      <c r="L902" s="235"/>
      <c r="M902" s="235"/>
    </row>
    <row r="903" spans="1:13" x14ac:dyDescent="0.3">
      <c r="A903" s="220"/>
      <c r="B903" s="55"/>
      <c r="C903" s="176"/>
      <c r="D903" s="55"/>
      <c r="E903" s="176"/>
      <c r="F903" s="55"/>
      <c r="I903" s="235"/>
      <c r="J903" s="238"/>
      <c r="K903" s="235"/>
      <c r="L903" s="235"/>
      <c r="M903" s="235"/>
    </row>
    <row r="904" spans="1:13" x14ac:dyDescent="0.3">
      <c r="A904" s="220"/>
      <c r="B904" s="55"/>
      <c r="C904" s="176"/>
      <c r="D904" s="55"/>
      <c r="E904" s="176"/>
      <c r="F904" s="55"/>
      <c r="I904" s="235"/>
      <c r="J904" s="238"/>
      <c r="K904" s="235"/>
      <c r="L904" s="235"/>
      <c r="M904" s="235"/>
    </row>
    <row r="905" spans="1:13" x14ac:dyDescent="0.3">
      <c r="A905" s="220"/>
      <c r="B905" s="55"/>
      <c r="C905" s="176"/>
      <c r="D905" s="55"/>
      <c r="E905" s="176"/>
      <c r="F905" s="55"/>
      <c r="I905" s="235"/>
      <c r="J905" s="238"/>
      <c r="K905" s="235"/>
      <c r="L905" s="235"/>
      <c r="M905" s="235"/>
    </row>
    <row r="906" spans="1:13" x14ac:dyDescent="0.3">
      <c r="A906" s="220"/>
      <c r="B906" s="55"/>
      <c r="C906" s="176"/>
      <c r="D906" s="55"/>
      <c r="E906" s="176"/>
      <c r="F906" s="55"/>
      <c r="I906" s="235"/>
      <c r="J906" s="238"/>
      <c r="K906" s="235"/>
      <c r="L906" s="235"/>
      <c r="M906" s="235"/>
    </row>
    <row r="907" spans="1:13" x14ac:dyDescent="0.3">
      <c r="A907" s="220"/>
      <c r="B907" s="55"/>
      <c r="C907" s="176"/>
      <c r="D907" s="55"/>
      <c r="E907" s="176"/>
      <c r="F907" s="55"/>
      <c r="I907" s="235"/>
      <c r="J907" s="238"/>
      <c r="K907" s="235"/>
      <c r="L907" s="235"/>
      <c r="M907" s="235"/>
    </row>
    <row r="908" spans="1:13" x14ac:dyDescent="0.3">
      <c r="A908" s="220"/>
      <c r="B908" s="55"/>
      <c r="C908" s="176"/>
      <c r="D908" s="55"/>
      <c r="E908" s="176"/>
      <c r="F908" s="55"/>
      <c r="I908" s="235"/>
      <c r="J908" s="238"/>
      <c r="K908" s="235"/>
      <c r="L908" s="235"/>
      <c r="M908" s="235"/>
    </row>
    <row r="909" spans="1:13" x14ac:dyDescent="0.3">
      <c r="A909" s="220"/>
      <c r="B909" s="55"/>
      <c r="C909" s="176"/>
      <c r="D909" s="55"/>
      <c r="E909" s="176"/>
      <c r="F909" s="55"/>
      <c r="I909" s="235"/>
      <c r="J909" s="238"/>
      <c r="K909" s="235"/>
      <c r="L909" s="235"/>
      <c r="M909" s="235"/>
    </row>
    <row r="910" spans="1:13" x14ac:dyDescent="0.3">
      <c r="A910" s="220"/>
      <c r="B910" s="55"/>
      <c r="C910" s="176"/>
      <c r="D910" s="55"/>
      <c r="E910" s="176"/>
      <c r="F910" s="55"/>
      <c r="I910" s="235"/>
      <c r="J910" s="238"/>
      <c r="K910" s="235"/>
      <c r="L910" s="235"/>
      <c r="M910" s="235"/>
    </row>
    <row r="911" spans="1:13" x14ac:dyDescent="0.3">
      <c r="A911" s="220"/>
      <c r="B911" s="55"/>
      <c r="C911" s="176"/>
      <c r="D911" s="55"/>
      <c r="E911" s="176"/>
      <c r="F911" s="55"/>
      <c r="I911" s="235"/>
      <c r="J911" s="238"/>
      <c r="K911" s="235"/>
      <c r="L911" s="235"/>
      <c r="M911" s="235"/>
    </row>
    <row r="912" spans="1:13" x14ac:dyDescent="0.3">
      <c r="A912" s="220"/>
      <c r="B912" s="55"/>
      <c r="C912" s="176"/>
      <c r="D912" s="55"/>
      <c r="E912" s="176"/>
      <c r="F912" s="55"/>
      <c r="I912" s="235"/>
      <c r="J912" s="238"/>
      <c r="K912" s="235"/>
      <c r="L912" s="235"/>
      <c r="M912" s="235"/>
    </row>
    <row r="913" spans="1:13" x14ac:dyDescent="0.3">
      <c r="A913" s="220"/>
      <c r="B913" s="55"/>
      <c r="C913" s="176"/>
      <c r="D913" s="55"/>
      <c r="E913" s="176"/>
      <c r="F913" s="55"/>
      <c r="I913" s="235"/>
      <c r="J913" s="238"/>
      <c r="K913" s="235"/>
      <c r="L913" s="235"/>
      <c r="M913" s="235"/>
    </row>
    <row r="914" spans="1:13" x14ac:dyDescent="0.3">
      <c r="A914" s="220"/>
      <c r="B914" s="55"/>
      <c r="C914" s="176"/>
      <c r="D914" s="55"/>
      <c r="E914" s="176"/>
      <c r="F914" s="55"/>
      <c r="I914" s="235"/>
      <c r="J914" s="238"/>
      <c r="K914" s="235"/>
      <c r="L914" s="235"/>
      <c r="M914" s="235"/>
    </row>
    <row r="915" spans="1:13" x14ac:dyDescent="0.3">
      <c r="A915" s="220"/>
      <c r="B915" s="55"/>
      <c r="C915" s="176"/>
      <c r="D915" s="55"/>
      <c r="E915" s="176"/>
      <c r="F915" s="55"/>
      <c r="I915" s="235"/>
      <c r="J915" s="238"/>
      <c r="K915" s="235"/>
      <c r="L915" s="235"/>
      <c r="M915" s="235"/>
    </row>
    <row r="916" spans="1:13" x14ac:dyDescent="0.3">
      <c r="A916" s="220"/>
      <c r="B916" s="55"/>
      <c r="C916" s="176"/>
      <c r="D916" s="55"/>
      <c r="E916" s="176"/>
      <c r="F916" s="55"/>
      <c r="I916" s="235"/>
      <c r="J916" s="238"/>
      <c r="K916" s="235"/>
      <c r="L916" s="235"/>
      <c r="M916" s="235"/>
    </row>
    <row r="917" spans="1:13" x14ac:dyDescent="0.3">
      <c r="A917" s="220"/>
      <c r="B917" s="55"/>
      <c r="C917" s="176"/>
      <c r="D917" s="55"/>
      <c r="E917" s="176"/>
      <c r="F917" s="55"/>
      <c r="J917" s="239"/>
    </row>
    <row r="918" spans="1:13" x14ac:dyDescent="0.3">
      <c r="A918" s="220"/>
      <c r="B918" s="55"/>
      <c r="C918" s="176"/>
      <c r="D918" s="55"/>
      <c r="E918" s="176"/>
      <c r="F918" s="55"/>
      <c r="J918" s="239"/>
    </row>
    <row r="919" spans="1:13" x14ac:dyDescent="0.3">
      <c r="A919" s="220"/>
      <c r="B919" s="55"/>
      <c r="C919" s="176"/>
      <c r="D919" s="55"/>
      <c r="E919" s="176"/>
      <c r="F919" s="55"/>
      <c r="J919" s="239"/>
    </row>
    <row r="920" spans="1:13" x14ac:dyDescent="0.3">
      <c r="A920" s="220"/>
      <c r="B920" s="55"/>
      <c r="C920" s="176"/>
      <c r="D920" s="55"/>
      <c r="E920" s="176"/>
      <c r="F920" s="55"/>
      <c r="J920" s="239"/>
    </row>
    <row r="921" spans="1:13" x14ac:dyDescent="0.3">
      <c r="A921" s="220"/>
      <c r="B921" s="55"/>
      <c r="C921" s="176"/>
      <c r="D921" s="55"/>
      <c r="E921" s="176"/>
      <c r="F921" s="55"/>
      <c r="J921" s="239"/>
    </row>
    <row r="922" spans="1:13" x14ac:dyDescent="0.3">
      <c r="A922" s="220"/>
      <c r="B922" s="55"/>
      <c r="C922" s="176"/>
      <c r="D922" s="55"/>
      <c r="E922" s="176"/>
      <c r="F922" s="55"/>
      <c r="J922" s="239"/>
    </row>
    <row r="923" spans="1:13" x14ac:dyDescent="0.3">
      <c r="A923" s="220"/>
      <c r="B923" s="55"/>
      <c r="C923" s="176"/>
      <c r="D923" s="55"/>
      <c r="E923" s="176"/>
      <c r="F923" s="55"/>
      <c r="J923" s="239"/>
    </row>
    <row r="924" spans="1:13" x14ac:dyDescent="0.3">
      <c r="A924" s="220"/>
      <c r="B924" s="55"/>
      <c r="C924" s="176"/>
      <c r="D924" s="55"/>
      <c r="E924" s="176"/>
      <c r="F924" s="55"/>
      <c r="J924" s="239"/>
    </row>
    <row r="925" spans="1:13" x14ac:dyDescent="0.3">
      <c r="A925" s="220"/>
      <c r="B925" s="55"/>
      <c r="C925" s="176"/>
      <c r="D925" s="55"/>
      <c r="E925" s="176"/>
      <c r="F925" s="55"/>
      <c r="J925" s="239"/>
    </row>
    <row r="926" spans="1:13" x14ac:dyDescent="0.3">
      <c r="A926" s="220"/>
      <c r="B926" s="55"/>
      <c r="C926" s="176"/>
      <c r="D926" s="55"/>
      <c r="E926" s="176"/>
      <c r="F926" s="55"/>
      <c r="J926" s="239"/>
    </row>
    <row r="927" spans="1:13" x14ac:dyDescent="0.3">
      <c r="A927" s="220"/>
      <c r="B927" s="55"/>
      <c r="C927" s="176"/>
      <c r="D927" s="55"/>
      <c r="E927" s="176"/>
      <c r="F927" s="55"/>
      <c r="J927" s="239"/>
    </row>
    <row r="928" spans="1:13" x14ac:dyDescent="0.3">
      <c r="A928" s="220"/>
      <c r="B928" s="55"/>
      <c r="C928" s="176"/>
      <c r="D928" s="55"/>
      <c r="E928" s="176"/>
      <c r="F928" s="55"/>
      <c r="J928" s="239"/>
    </row>
    <row r="929" spans="1:10" x14ac:dyDescent="0.3">
      <c r="A929" s="220"/>
      <c r="B929" s="55"/>
      <c r="C929" s="176"/>
      <c r="D929" s="55"/>
      <c r="E929" s="176"/>
      <c r="F929" s="55"/>
      <c r="J929" s="239"/>
    </row>
    <row r="930" spans="1:10" x14ac:dyDescent="0.3">
      <c r="A930" s="220"/>
      <c r="B930" s="55"/>
      <c r="C930" s="176"/>
      <c r="D930" s="55"/>
      <c r="E930" s="176"/>
      <c r="F930" s="55"/>
      <c r="J930" s="239"/>
    </row>
    <row r="931" spans="1:10" x14ac:dyDescent="0.3">
      <c r="A931" s="220"/>
      <c r="B931" s="55"/>
      <c r="C931" s="176"/>
      <c r="D931" s="55"/>
      <c r="E931" s="176"/>
      <c r="F931" s="55"/>
      <c r="J931" s="239"/>
    </row>
    <row r="932" spans="1:10" x14ac:dyDescent="0.3">
      <c r="A932" s="220"/>
      <c r="B932" s="55"/>
      <c r="C932" s="176"/>
      <c r="D932" s="55"/>
      <c r="E932" s="176"/>
      <c r="F932" s="55"/>
      <c r="J932" s="239"/>
    </row>
    <row r="933" spans="1:10" x14ac:dyDescent="0.3">
      <c r="A933" s="220"/>
      <c r="B933" s="55"/>
      <c r="C933" s="176"/>
      <c r="D933" s="55"/>
      <c r="E933" s="176"/>
      <c r="F933" s="55"/>
      <c r="J933" s="240"/>
    </row>
    <row r="934" spans="1:10" x14ac:dyDescent="0.3">
      <c r="A934" s="220"/>
      <c r="B934" s="55"/>
      <c r="C934" s="176"/>
      <c r="D934" s="55"/>
      <c r="E934" s="55"/>
      <c r="F934" s="55"/>
    </row>
    <row r="935" spans="1:10" x14ac:dyDescent="0.3">
      <c r="A935" s="220"/>
      <c r="B935" s="55"/>
      <c r="C935" s="176"/>
      <c r="D935" s="55"/>
      <c r="E935" s="55"/>
      <c r="F935" s="55"/>
    </row>
    <row r="936" spans="1:10" x14ac:dyDescent="0.3">
      <c r="A936" s="220"/>
      <c r="B936" s="55"/>
      <c r="C936" s="176"/>
      <c r="D936" s="55"/>
      <c r="E936" s="55"/>
      <c r="F936" s="55"/>
    </row>
    <row r="937" spans="1:10" x14ac:dyDescent="0.3">
      <c r="A937" s="220"/>
      <c r="B937" s="55"/>
      <c r="C937" s="176"/>
      <c r="D937" s="55"/>
      <c r="E937" s="55"/>
      <c r="F937" s="55"/>
    </row>
    <row r="938" spans="1:10" x14ac:dyDescent="0.3">
      <c r="A938" s="220"/>
      <c r="B938" s="55"/>
      <c r="C938" s="176"/>
      <c r="D938" s="55"/>
      <c r="E938" s="55"/>
      <c r="F938" s="55"/>
    </row>
    <row r="939" spans="1:10" x14ac:dyDescent="0.3">
      <c r="A939" s="220"/>
      <c r="B939" s="55"/>
      <c r="C939" s="176"/>
      <c r="D939" s="55"/>
      <c r="E939" s="55"/>
      <c r="F939" s="55"/>
    </row>
    <row r="940" spans="1:10" x14ac:dyDescent="0.3">
      <c r="A940" s="220"/>
      <c r="B940" s="55"/>
      <c r="C940" s="176"/>
      <c r="D940" s="55"/>
      <c r="E940" s="55"/>
      <c r="F940" s="55"/>
    </row>
    <row r="941" spans="1:10" x14ac:dyDescent="0.3">
      <c r="A941" s="220"/>
      <c r="B941" s="55"/>
      <c r="C941" s="176"/>
      <c r="D941" s="55"/>
      <c r="E941" s="55"/>
      <c r="F941" s="55"/>
    </row>
    <row r="942" spans="1:10" x14ac:dyDescent="0.3">
      <c r="A942" s="220"/>
      <c r="B942" s="55"/>
      <c r="C942" s="176"/>
      <c r="D942" s="55"/>
      <c r="E942" s="55"/>
      <c r="F942" s="55"/>
    </row>
    <row r="943" spans="1:10" x14ac:dyDescent="0.3">
      <c r="A943" s="220"/>
      <c r="B943" s="55"/>
      <c r="C943" s="176"/>
      <c r="D943" s="55"/>
      <c r="E943" s="55"/>
      <c r="F943" s="55"/>
    </row>
    <row r="944" spans="1:10" x14ac:dyDescent="0.3">
      <c r="A944" s="220"/>
      <c r="B944" s="55"/>
      <c r="C944" s="176"/>
      <c r="D944" s="55"/>
      <c r="E944" s="55"/>
      <c r="F944" s="55"/>
    </row>
    <row r="945" spans="1:6" x14ac:dyDescent="0.3">
      <c r="A945" s="220"/>
      <c r="B945" s="55"/>
      <c r="C945" s="176"/>
      <c r="D945" s="55"/>
      <c r="E945" s="55"/>
      <c r="F945" s="55"/>
    </row>
    <row r="946" spans="1:6" x14ac:dyDescent="0.3">
      <c r="A946" s="220"/>
      <c r="B946" s="55"/>
      <c r="C946" s="176"/>
      <c r="D946" s="55"/>
      <c r="E946" s="55"/>
      <c r="F946" s="55"/>
    </row>
    <row r="947" spans="1:6" x14ac:dyDescent="0.3">
      <c r="A947" s="220"/>
      <c r="B947" s="55"/>
      <c r="C947" s="176"/>
      <c r="D947" s="55"/>
      <c r="E947" s="55"/>
      <c r="F947" s="55"/>
    </row>
    <row r="948" spans="1:6" x14ac:dyDescent="0.3">
      <c r="A948" s="220"/>
      <c r="B948" s="55"/>
      <c r="C948" s="176"/>
      <c r="D948" s="55"/>
      <c r="E948" s="55"/>
      <c r="F948" s="55"/>
    </row>
    <row r="949" spans="1:6" x14ac:dyDescent="0.3">
      <c r="A949" s="220"/>
      <c r="B949" s="55"/>
      <c r="C949" s="176"/>
      <c r="D949" s="55"/>
      <c r="E949" s="55"/>
      <c r="F949" s="55"/>
    </row>
    <row r="950" spans="1:6" x14ac:dyDescent="0.3">
      <c r="A950" s="220"/>
      <c r="B950" s="55"/>
      <c r="C950" s="176"/>
      <c r="D950" s="55"/>
      <c r="E950" s="55"/>
      <c r="F950" s="55"/>
    </row>
    <row r="951" spans="1:6" x14ac:dyDescent="0.3">
      <c r="A951" s="220"/>
      <c r="B951" s="55"/>
      <c r="C951" s="176"/>
      <c r="D951" s="55"/>
      <c r="E951" s="55"/>
      <c r="F951" s="55"/>
    </row>
    <row r="952" spans="1:6" x14ac:dyDescent="0.3">
      <c r="A952" s="220"/>
      <c r="B952" s="55"/>
      <c r="C952" s="176"/>
      <c r="D952" s="55"/>
      <c r="E952" s="55"/>
      <c r="F952" s="55"/>
    </row>
    <row r="953" spans="1:6" x14ac:dyDescent="0.3">
      <c r="A953" s="220"/>
      <c r="B953" s="55"/>
      <c r="C953" s="176"/>
      <c r="D953" s="55"/>
      <c r="E953" s="55"/>
      <c r="F953" s="55"/>
    </row>
    <row r="954" spans="1:6" x14ac:dyDescent="0.3">
      <c r="A954" s="220"/>
      <c r="B954" s="55"/>
      <c r="C954" s="176"/>
      <c r="D954" s="55"/>
      <c r="E954" s="55"/>
      <c r="F954" s="55"/>
    </row>
    <row r="955" spans="1:6" x14ac:dyDescent="0.3">
      <c r="A955" s="220"/>
      <c r="B955" s="55"/>
      <c r="C955" s="176"/>
      <c r="D955" s="55"/>
      <c r="E955" s="55"/>
      <c r="F955" s="55"/>
    </row>
    <row r="956" spans="1:6" x14ac:dyDescent="0.3">
      <c r="A956" s="220"/>
      <c r="B956" s="55"/>
      <c r="C956" s="176"/>
      <c r="D956" s="55"/>
      <c r="E956" s="55"/>
      <c r="F956" s="55"/>
    </row>
    <row r="957" spans="1:6" x14ac:dyDescent="0.3">
      <c r="A957" s="220"/>
      <c r="B957" s="55"/>
      <c r="C957" s="176"/>
      <c r="D957" s="55"/>
      <c r="E957" s="55"/>
      <c r="F957" s="55"/>
    </row>
    <row r="958" spans="1:6" x14ac:dyDescent="0.3">
      <c r="A958" s="220"/>
      <c r="B958" s="55"/>
      <c r="C958" s="176"/>
      <c r="D958" s="55"/>
      <c r="E958" s="55"/>
      <c r="F958" s="55"/>
    </row>
    <row r="959" spans="1:6" x14ac:dyDescent="0.3">
      <c r="A959" s="220"/>
      <c r="B959" s="55"/>
      <c r="C959" s="176"/>
      <c r="D959" s="55"/>
      <c r="E959" s="55"/>
      <c r="F959" s="55"/>
    </row>
    <row r="960" spans="1:6" x14ac:dyDescent="0.3">
      <c r="A960" s="220"/>
      <c r="B960" s="55"/>
      <c r="C960" s="176"/>
      <c r="D960" s="55"/>
      <c r="E960" s="55"/>
      <c r="F960" s="55"/>
    </row>
    <row r="961" spans="1:6" x14ac:dyDescent="0.3">
      <c r="A961" s="220"/>
      <c r="B961" s="55"/>
      <c r="C961" s="176"/>
      <c r="D961" s="55"/>
      <c r="E961" s="55"/>
      <c r="F961" s="55"/>
    </row>
    <row r="962" spans="1:6" x14ac:dyDescent="0.3">
      <c r="A962" s="220"/>
      <c r="B962" s="55"/>
      <c r="C962" s="176"/>
      <c r="D962" s="55"/>
      <c r="E962" s="55"/>
      <c r="F962" s="55"/>
    </row>
    <row r="963" spans="1:6" x14ac:dyDescent="0.3">
      <c r="A963" s="220"/>
      <c r="B963" s="55"/>
      <c r="C963" s="176"/>
      <c r="D963" s="55"/>
      <c r="E963" s="55"/>
      <c r="F963" s="55"/>
    </row>
    <row r="964" spans="1:6" x14ac:dyDescent="0.3">
      <c r="A964" s="220"/>
      <c r="B964" s="55"/>
      <c r="C964" s="176"/>
      <c r="D964" s="55"/>
      <c r="E964" s="55"/>
      <c r="F964" s="55"/>
    </row>
    <row r="965" spans="1:6" x14ac:dyDescent="0.3">
      <c r="A965" s="220"/>
      <c r="B965" s="55"/>
      <c r="C965" s="176"/>
      <c r="D965" s="55"/>
      <c r="E965" s="55"/>
      <c r="F965" s="55"/>
    </row>
    <row r="966" spans="1:6" x14ac:dyDescent="0.3">
      <c r="A966" s="220"/>
      <c r="B966" s="55"/>
      <c r="C966" s="176"/>
      <c r="D966" s="55"/>
      <c r="E966" s="55"/>
      <c r="F966" s="55"/>
    </row>
    <row r="967" spans="1:6" x14ac:dyDescent="0.3">
      <c r="A967" s="220"/>
      <c r="B967" s="55"/>
      <c r="C967" s="176"/>
      <c r="D967" s="55"/>
      <c r="E967" s="55"/>
      <c r="F967" s="55"/>
    </row>
    <row r="968" spans="1:6" x14ac:dyDescent="0.3">
      <c r="A968" s="220"/>
      <c r="B968" s="55"/>
      <c r="C968" s="176"/>
      <c r="D968" s="55"/>
      <c r="E968" s="55"/>
      <c r="F968" s="55"/>
    </row>
    <row r="969" spans="1:6" x14ac:dyDescent="0.3">
      <c r="A969" s="220"/>
      <c r="B969" s="55"/>
      <c r="C969" s="176"/>
      <c r="D969" s="55"/>
      <c r="E969" s="55"/>
      <c r="F969" s="55"/>
    </row>
    <row r="970" spans="1:6" x14ac:dyDescent="0.3">
      <c r="A970" s="220"/>
      <c r="B970" s="55"/>
      <c r="C970" s="176"/>
      <c r="D970" s="55"/>
      <c r="E970" s="55"/>
      <c r="F970" s="55"/>
    </row>
    <row r="971" spans="1:6" x14ac:dyDescent="0.3">
      <c r="A971" s="220"/>
      <c r="B971" s="55"/>
      <c r="C971" s="176"/>
      <c r="D971" s="55"/>
      <c r="E971" s="55"/>
      <c r="F971" s="55"/>
    </row>
    <row r="972" spans="1:6" x14ac:dyDescent="0.3">
      <c r="A972" s="220"/>
      <c r="B972" s="55"/>
      <c r="C972" s="176"/>
      <c r="D972" s="55"/>
      <c r="E972" s="55"/>
      <c r="F972" s="55"/>
    </row>
    <row r="973" spans="1:6" x14ac:dyDescent="0.3">
      <c r="A973" s="220"/>
      <c r="B973" s="55"/>
      <c r="C973" s="176"/>
      <c r="D973" s="55"/>
      <c r="E973" s="55"/>
      <c r="F973" s="55"/>
    </row>
    <row r="974" spans="1:6" x14ac:dyDescent="0.3">
      <c r="A974" s="220"/>
      <c r="B974" s="55"/>
      <c r="C974" s="176"/>
      <c r="D974" s="55"/>
      <c r="E974" s="55"/>
      <c r="F974" s="55"/>
    </row>
    <row r="975" spans="1:6" x14ac:dyDescent="0.3">
      <c r="A975" s="220"/>
      <c r="B975" s="55"/>
      <c r="C975" s="176"/>
      <c r="D975" s="55"/>
      <c r="E975" s="55"/>
      <c r="F975" s="55"/>
    </row>
    <row r="976" spans="1:6" x14ac:dyDescent="0.3">
      <c r="A976" s="220"/>
      <c r="B976" s="55"/>
      <c r="C976" s="176"/>
      <c r="D976" s="55"/>
      <c r="E976" s="55"/>
      <c r="F976" s="55"/>
    </row>
    <row r="977" spans="1:6" x14ac:dyDescent="0.3">
      <c r="A977" s="220"/>
      <c r="B977" s="55"/>
      <c r="C977" s="176"/>
      <c r="D977" s="55"/>
      <c r="E977" s="55"/>
      <c r="F977" s="55"/>
    </row>
    <row r="978" spans="1:6" x14ac:dyDescent="0.3">
      <c r="A978" s="220"/>
      <c r="B978" s="55"/>
      <c r="C978" s="176"/>
      <c r="D978" s="55"/>
      <c r="E978" s="55"/>
      <c r="F978" s="55"/>
    </row>
    <row r="979" spans="1:6" x14ac:dyDescent="0.3">
      <c r="A979" s="220"/>
      <c r="B979" s="55"/>
      <c r="C979" s="176"/>
      <c r="D979" s="55"/>
      <c r="E979" s="55"/>
      <c r="F979" s="55"/>
    </row>
    <row r="980" spans="1:6" x14ac:dyDescent="0.3">
      <c r="A980" s="220"/>
      <c r="B980" s="55"/>
      <c r="C980" s="176"/>
      <c r="D980" s="55"/>
      <c r="E980" s="55"/>
      <c r="F980" s="55"/>
    </row>
    <row r="981" spans="1:6" x14ac:dyDescent="0.3">
      <c r="A981" s="220"/>
      <c r="B981" s="55"/>
      <c r="C981" s="176"/>
      <c r="D981" s="55"/>
      <c r="E981" s="55"/>
      <c r="F981" s="55"/>
    </row>
    <row r="982" spans="1:6" x14ac:dyDescent="0.3">
      <c r="A982" s="220"/>
      <c r="B982" s="55"/>
      <c r="C982" s="176"/>
      <c r="D982" s="55"/>
      <c r="E982" s="55"/>
      <c r="F982" s="55"/>
    </row>
    <row r="983" spans="1:6" x14ac:dyDescent="0.3">
      <c r="A983" s="220"/>
      <c r="B983" s="55"/>
      <c r="C983" s="176"/>
      <c r="D983" s="55"/>
      <c r="E983" s="55"/>
      <c r="F983" s="55"/>
    </row>
    <row r="984" spans="1:6" x14ac:dyDescent="0.3">
      <c r="A984" s="220"/>
      <c r="B984" s="55"/>
      <c r="C984" s="176"/>
      <c r="D984" s="55"/>
      <c r="E984" s="55"/>
      <c r="F984" s="55"/>
    </row>
    <row r="985" spans="1:6" x14ac:dyDescent="0.3">
      <c r="A985" s="220"/>
      <c r="B985" s="55"/>
      <c r="C985" s="176"/>
      <c r="D985" s="55"/>
      <c r="E985" s="55"/>
      <c r="F985" s="55"/>
    </row>
    <row r="986" spans="1:6" x14ac:dyDescent="0.3">
      <c r="A986" s="220"/>
      <c r="B986" s="55"/>
      <c r="C986" s="176"/>
      <c r="D986" s="55"/>
      <c r="E986" s="55"/>
      <c r="F986" s="55"/>
    </row>
    <row r="987" spans="1:6" x14ac:dyDescent="0.3">
      <c r="A987" s="220"/>
      <c r="B987" s="55"/>
      <c r="C987" s="176"/>
      <c r="D987" s="55"/>
      <c r="E987" s="55"/>
      <c r="F987" s="55"/>
    </row>
    <row r="988" spans="1:6" x14ac:dyDescent="0.3">
      <c r="A988" s="220"/>
      <c r="B988" s="55"/>
      <c r="C988" s="176"/>
      <c r="D988" s="55"/>
      <c r="E988" s="55"/>
      <c r="F988" s="55"/>
    </row>
    <row r="989" spans="1:6" x14ac:dyDescent="0.3">
      <c r="A989" s="220"/>
      <c r="B989" s="55"/>
      <c r="C989" s="176"/>
      <c r="D989" s="55"/>
      <c r="E989" s="55"/>
      <c r="F989" s="55"/>
    </row>
    <row r="990" spans="1:6" x14ac:dyDescent="0.3">
      <c r="A990" s="220"/>
      <c r="B990" s="55"/>
      <c r="C990" s="176"/>
      <c r="D990" s="55"/>
      <c r="E990" s="55"/>
      <c r="F990" s="55"/>
    </row>
    <row r="991" spans="1:6" x14ac:dyDescent="0.3">
      <c r="A991" s="220"/>
      <c r="B991" s="55"/>
      <c r="C991" s="176"/>
      <c r="D991" s="55"/>
      <c r="E991" s="55"/>
      <c r="F991" s="55"/>
    </row>
    <row r="992" spans="1:6" x14ac:dyDescent="0.3">
      <c r="A992" s="220"/>
      <c r="B992" s="55"/>
      <c r="C992" s="176"/>
      <c r="D992" s="55"/>
      <c r="E992" s="55"/>
      <c r="F992" s="55"/>
    </row>
    <row r="993" spans="1:6" x14ac:dyDescent="0.3">
      <c r="A993" s="220"/>
      <c r="B993" s="55"/>
      <c r="C993" s="176"/>
      <c r="D993" s="55"/>
      <c r="E993" s="55"/>
      <c r="F993" s="55"/>
    </row>
    <row r="994" spans="1:6" x14ac:dyDescent="0.3">
      <c r="A994" s="220"/>
      <c r="B994" s="55"/>
      <c r="C994" s="176"/>
      <c r="D994" s="55"/>
      <c r="E994" s="55"/>
      <c r="F994" s="55"/>
    </row>
    <row r="995" spans="1:6" x14ac:dyDescent="0.3">
      <c r="A995" s="220"/>
      <c r="B995" s="55"/>
      <c r="C995" s="176"/>
      <c r="D995" s="55"/>
      <c r="E995" s="55"/>
      <c r="F995" s="55"/>
    </row>
    <row r="996" spans="1:6" x14ac:dyDescent="0.3">
      <c r="A996" s="220"/>
      <c r="B996" s="55"/>
      <c r="C996" s="176"/>
      <c r="D996" s="55"/>
      <c r="E996" s="55"/>
      <c r="F996" s="55"/>
    </row>
    <row r="997" spans="1:6" x14ac:dyDescent="0.3">
      <c r="A997" s="220"/>
      <c r="B997" s="55"/>
      <c r="C997" s="176"/>
      <c r="D997" s="55"/>
      <c r="E997" s="55"/>
      <c r="F997" s="55"/>
    </row>
    <row r="998" spans="1:6" x14ac:dyDescent="0.3">
      <c r="A998" s="220"/>
      <c r="B998" s="55"/>
      <c r="C998" s="176"/>
      <c r="D998" s="55"/>
      <c r="E998" s="55"/>
      <c r="F998" s="55"/>
    </row>
    <row r="999" spans="1:6" x14ac:dyDescent="0.3">
      <c r="A999" s="220"/>
      <c r="B999" s="55"/>
      <c r="C999" s="176"/>
      <c r="D999" s="55"/>
      <c r="E999" s="55"/>
      <c r="F999" s="55"/>
    </row>
    <row r="1000" spans="1:6" x14ac:dyDescent="0.3">
      <c r="A1000" s="220"/>
      <c r="B1000" s="55"/>
      <c r="C1000" s="176"/>
      <c r="D1000" s="55"/>
      <c r="E1000" s="55"/>
      <c r="F1000" s="55"/>
    </row>
    <row r="1001" spans="1:6" x14ac:dyDescent="0.3">
      <c r="A1001" s="220"/>
      <c r="B1001" s="55"/>
      <c r="C1001" s="176"/>
      <c r="D1001" s="55"/>
      <c r="E1001" s="55"/>
      <c r="F1001" s="55"/>
    </row>
    <row r="1002" spans="1:6" x14ac:dyDescent="0.3">
      <c r="A1002" s="220"/>
      <c r="B1002" s="55"/>
      <c r="C1002" s="176"/>
      <c r="D1002" s="55"/>
      <c r="E1002" s="55"/>
      <c r="F1002" s="55"/>
    </row>
    <row r="1003" spans="1:6" x14ac:dyDescent="0.3">
      <c r="A1003" s="220"/>
      <c r="B1003" s="55"/>
      <c r="C1003" s="176"/>
      <c r="D1003" s="55"/>
      <c r="E1003" s="55"/>
      <c r="F1003" s="55"/>
    </row>
    <row r="1004" spans="1:6" x14ac:dyDescent="0.3">
      <c r="A1004" s="220"/>
      <c r="B1004" s="55"/>
      <c r="C1004" s="176"/>
      <c r="D1004" s="55"/>
      <c r="E1004" s="55"/>
      <c r="F1004" s="55"/>
    </row>
    <row r="1005" spans="1:6" x14ac:dyDescent="0.3">
      <c r="A1005" s="220"/>
      <c r="B1005" s="55"/>
      <c r="C1005" s="176"/>
      <c r="D1005" s="55"/>
      <c r="E1005" s="55"/>
      <c r="F1005" s="55"/>
    </row>
    <row r="1006" spans="1:6" x14ac:dyDescent="0.3">
      <c r="A1006" s="220"/>
      <c r="B1006" s="55"/>
      <c r="C1006" s="176"/>
      <c r="D1006" s="55"/>
      <c r="E1006" s="55"/>
      <c r="F1006" s="55"/>
    </row>
    <row r="1007" spans="1:6" x14ac:dyDescent="0.3">
      <c r="A1007" s="220"/>
      <c r="B1007" s="55"/>
      <c r="C1007" s="176"/>
      <c r="D1007" s="55"/>
      <c r="E1007" s="55"/>
      <c r="F1007" s="55"/>
    </row>
    <row r="1008" spans="1:6" x14ac:dyDescent="0.3">
      <c r="A1008" s="220"/>
      <c r="B1008" s="55"/>
      <c r="C1008" s="176"/>
      <c r="D1008" s="55"/>
      <c r="E1008" s="55"/>
      <c r="F1008" s="55"/>
    </row>
    <row r="1009" spans="1:6" x14ac:dyDescent="0.3">
      <c r="A1009" s="220"/>
      <c r="B1009" s="55"/>
      <c r="C1009" s="176"/>
      <c r="D1009" s="55"/>
      <c r="E1009" s="55"/>
      <c r="F1009" s="55"/>
    </row>
    <row r="1010" spans="1:6" x14ac:dyDescent="0.3">
      <c r="A1010" s="220"/>
      <c r="B1010" s="55"/>
      <c r="C1010" s="176"/>
      <c r="D1010" s="55"/>
      <c r="E1010" s="55"/>
      <c r="F1010" s="55"/>
    </row>
    <row r="1011" spans="1:6" x14ac:dyDescent="0.3">
      <c r="A1011" s="220"/>
      <c r="B1011" s="55"/>
      <c r="C1011" s="176"/>
      <c r="D1011" s="55"/>
      <c r="E1011" s="55"/>
      <c r="F1011" s="55"/>
    </row>
    <row r="1012" spans="1:6" x14ac:dyDescent="0.3">
      <c r="A1012" s="220"/>
      <c r="B1012" s="55"/>
      <c r="C1012" s="176"/>
      <c r="D1012" s="55"/>
      <c r="E1012" s="55"/>
      <c r="F1012" s="55"/>
    </row>
    <row r="1013" spans="1:6" x14ac:dyDescent="0.3">
      <c r="A1013" s="220"/>
      <c r="B1013" s="55"/>
      <c r="C1013" s="176"/>
      <c r="D1013" s="55"/>
      <c r="E1013" s="55"/>
      <c r="F1013" s="55"/>
    </row>
    <row r="1014" spans="1:6" x14ac:dyDescent="0.3">
      <c r="A1014" s="220"/>
      <c r="B1014" s="55"/>
      <c r="C1014" s="176"/>
      <c r="D1014" s="55"/>
      <c r="E1014" s="55"/>
      <c r="F1014" s="55"/>
    </row>
    <row r="1015" spans="1:6" x14ac:dyDescent="0.3">
      <c r="A1015" s="220"/>
      <c r="B1015" s="55"/>
      <c r="C1015" s="176"/>
      <c r="D1015" s="55"/>
      <c r="E1015" s="55"/>
      <c r="F1015" s="55"/>
    </row>
    <row r="1016" spans="1:6" x14ac:dyDescent="0.3">
      <c r="A1016" s="220"/>
      <c r="B1016" s="55"/>
      <c r="C1016" s="176"/>
      <c r="D1016" s="55"/>
      <c r="E1016" s="55"/>
      <c r="F1016" s="55"/>
    </row>
    <row r="1017" spans="1:6" x14ac:dyDescent="0.3">
      <c r="A1017" s="220"/>
      <c r="B1017" s="55"/>
      <c r="C1017" s="176"/>
      <c r="D1017" s="55"/>
      <c r="E1017" s="55"/>
      <c r="F1017" s="55"/>
    </row>
    <row r="1018" spans="1:6" x14ac:dyDescent="0.3">
      <c r="A1018" s="220"/>
      <c r="B1018" s="55"/>
      <c r="C1018" s="176"/>
      <c r="D1018" s="55"/>
      <c r="E1018" s="55"/>
      <c r="F1018" s="55"/>
    </row>
    <row r="1019" spans="1:6" x14ac:dyDescent="0.3">
      <c r="A1019" s="220"/>
      <c r="B1019" s="55"/>
      <c r="C1019" s="176"/>
      <c r="D1019" s="55"/>
      <c r="E1019" s="55"/>
      <c r="F1019" s="55"/>
    </row>
    <row r="1020" spans="1:6" x14ac:dyDescent="0.3">
      <c r="A1020" s="220"/>
      <c r="B1020" s="55"/>
      <c r="C1020" s="176"/>
      <c r="D1020" s="55"/>
      <c r="E1020" s="55"/>
      <c r="F1020" s="55"/>
    </row>
    <row r="1021" spans="1:6" x14ac:dyDescent="0.3">
      <c r="A1021" s="220"/>
      <c r="B1021" s="55"/>
      <c r="C1021" s="176"/>
      <c r="D1021" s="55"/>
      <c r="E1021" s="55"/>
      <c r="F1021" s="55"/>
    </row>
    <row r="1022" spans="1:6" x14ac:dyDescent="0.3">
      <c r="A1022" s="220"/>
      <c r="B1022" s="55"/>
      <c r="C1022" s="176"/>
      <c r="D1022" s="55"/>
      <c r="E1022" s="55"/>
      <c r="F1022" s="55"/>
    </row>
    <row r="1023" spans="1:6" x14ac:dyDescent="0.3">
      <c r="A1023" s="220"/>
      <c r="B1023" s="55"/>
      <c r="C1023" s="176"/>
      <c r="D1023" s="55"/>
      <c r="E1023" s="55"/>
      <c r="F1023" s="55"/>
    </row>
    <row r="1024" spans="1:6" x14ac:dyDescent="0.3">
      <c r="A1024" s="220"/>
      <c r="B1024" s="55"/>
      <c r="C1024" s="176"/>
      <c r="D1024" s="55"/>
      <c r="E1024" s="55"/>
      <c r="F1024" s="55"/>
    </row>
    <row r="1025" spans="1:6" x14ac:dyDescent="0.3">
      <c r="A1025" s="220"/>
      <c r="B1025" s="55"/>
      <c r="C1025" s="176"/>
      <c r="D1025" s="55"/>
      <c r="E1025" s="55"/>
      <c r="F1025" s="55"/>
    </row>
    <row r="1026" spans="1:6" x14ac:dyDescent="0.3">
      <c r="A1026" s="220"/>
      <c r="B1026" s="55"/>
      <c r="C1026" s="176"/>
      <c r="D1026" s="55"/>
      <c r="E1026" s="55"/>
      <c r="F1026" s="55"/>
    </row>
    <row r="1027" spans="1:6" x14ac:dyDescent="0.3">
      <c r="A1027" s="220"/>
      <c r="B1027" s="55"/>
      <c r="C1027" s="176"/>
      <c r="D1027" s="55"/>
      <c r="E1027" s="55"/>
      <c r="F1027" s="55"/>
    </row>
    <row r="1028" spans="1:6" x14ac:dyDescent="0.3">
      <c r="A1028" s="220"/>
      <c r="B1028" s="55"/>
      <c r="C1028" s="176"/>
      <c r="D1028" s="55"/>
      <c r="E1028" s="55"/>
      <c r="F1028" s="55"/>
    </row>
    <row r="1029" spans="1:6" x14ac:dyDescent="0.3">
      <c r="A1029" s="220"/>
      <c r="B1029" s="55"/>
      <c r="C1029" s="176"/>
      <c r="D1029" s="55"/>
      <c r="E1029" s="55"/>
      <c r="F1029" s="55"/>
    </row>
    <row r="1030" spans="1:6" x14ac:dyDescent="0.3">
      <c r="A1030" s="220"/>
      <c r="B1030" s="55"/>
      <c r="C1030" s="176"/>
      <c r="D1030" s="55"/>
      <c r="E1030" s="55"/>
      <c r="F1030" s="55"/>
    </row>
    <row r="1031" spans="1:6" x14ac:dyDescent="0.3">
      <c r="A1031" s="220"/>
      <c r="B1031" s="55"/>
      <c r="C1031" s="176"/>
      <c r="D1031" s="55"/>
      <c r="E1031" s="55"/>
      <c r="F1031" s="55"/>
    </row>
    <row r="1032" spans="1:6" x14ac:dyDescent="0.3">
      <c r="A1032" s="220"/>
      <c r="B1032" s="55"/>
      <c r="C1032" s="176"/>
      <c r="D1032" s="55"/>
      <c r="E1032" s="55"/>
      <c r="F1032" s="55"/>
    </row>
    <row r="1033" spans="1:6" x14ac:dyDescent="0.3">
      <c r="A1033" s="220"/>
      <c r="B1033" s="55"/>
      <c r="C1033" s="176"/>
      <c r="D1033" s="55"/>
      <c r="E1033" s="55"/>
      <c r="F1033" s="55"/>
    </row>
    <row r="1034" spans="1:6" x14ac:dyDescent="0.3">
      <c r="A1034" s="55"/>
      <c r="B1034" s="55"/>
      <c r="C1034" s="176"/>
      <c r="D1034" s="55"/>
      <c r="E1034" s="55"/>
      <c r="F1034" s="55"/>
    </row>
    <row r="1035" spans="1:6" x14ac:dyDescent="0.3">
      <c r="A1035" s="55"/>
      <c r="B1035" s="55"/>
      <c r="C1035" s="176"/>
      <c r="D1035" s="55"/>
      <c r="E1035" s="55"/>
      <c r="F1035" s="55"/>
    </row>
    <row r="1036" spans="1:6" x14ac:dyDescent="0.3">
      <c r="A1036" s="55"/>
      <c r="B1036" s="55"/>
      <c r="C1036" s="176"/>
      <c r="D1036" s="55"/>
      <c r="E1036" s="55"/>
      <c r="F1036" s="55"/>
    </row>
    <row r="1037" spans="1:6" x14ac:dyDescent="0.3">
      <c r="A1037" s="55"/>
      <c r="B1037" s="55"/>
      <c r="C1037" s="176"/>
      <c r="D1037" s="55"/>
      <c r="E1037" s="55"/>
      <c r="F1037" s="55"/>
    </row>
    <row r="1038" spans="1:6" x14ac:dyDescent="0.3">
      <c r="A1038" s="55"/>
      <c r="B1038" s="55"/>
      <c r="C1038" s="176"/>
      <c r="D1038" s="55"/>
      <c r="E1038" s="55"/>
      <c r="F1038" s="55"/>
    </row>
    <row r="1039" spans="1:6" x14ac:dyDescent="0.3">
      <c r="A1039" s="55"/>
      <c r="B1039" s="55"/>
      <c r="C1039" s="176"/>
      <c r="D1039" s="55"/>
      <c r="E1039" s="55"/>
      <c r="F1039" s="55"/>
    </row>
    <row r="1040" spans="1:6" x14ac:dyDescent="0.3">
      <c r="A1040" s="55"/>
      <c r="B1040" s="55"/>
      <c r="C1040" s="176"/>
      <c r="D1040" s="55"/>
      <c r="E1040" s="55"/>
      <c r="F1040" s="55"/>
    </row>
    <row r="1041" spans="1:6" x14ac:dyDescent="0.3">
      <c r="A1041" s="55"/>
      <c r="B1041" s="55"/>
      <c r="C1041" s="176"/>
      <c r="D1041" s="55"/>
      <c r="E1041" s="55"/>
      <c r="F1041" s="55"/>
    </row>
    <row r="1042" spans="1:6" x14ac:dyDescent="0.3">
      <c r="A1042" s="55"/>
      <c r="B1042" s="55"/>
      <c r="C1042" s="176"/>
      <c r="D1042" s="55"/>
      <c r="E1042" s="55"/>
      <c r="F1042" s="55"/>
    </row>
    <row r="1043" spans="1:6" x14ac:dyDescent="0.3">
      <c r="A1043" s="55"/>
      <c r="B1043" s="55"/>
      <c r="C1043" s="176"/>
      <c r="D1043" s="55"/>
      <c r="E1043" s="55"/>
      <c r="F1043" s="55"/>
    </row>
    <row r="1044" spans="1:6" x14ac:dyDescent="0.3">
      <c r="A1044" s="55"/>
      <c r="B1044" s="55"/>
      <c r="C1044" s="176"/>
      <c r="D1044" s="55"/>
      <c r="E1044" s="55"/>
      <c r="F1044" s="55"/>
    </row>
    <row r="1045" spans="1:6" x14ac:dyDescent="0.3">
      <c r="A1045" s="55"/>
      <c r="B1045" s="55"/>
      <c r="C1045" s="176"/>
      <c r="D1045" s="55"/>
      <c r="E1045" s="55"/>
      <c r="F1045" s="55"/>
    </row>
    <row r="1046" spans="1:6" x14ac:dyDescent="0.3">
      <c r="A1046" s="55"/>
      <c r="B1046" s="55"/>
      <c r="C1046" s="176"/>
      <c r="D1046" s="55"/>
      <c r="E1046" s="55"/>
      <c r="F1046" s="55"/>
    </row>
    <row r="1047" spans="1:6" x14ac:dyDescent="0.3">
      <c r="A1047" s="55"/>
      <c r="B1047" s="55"/>
      <c r="C1047" s="176"/>
      <c r="D1047" s="55"/>
      <c r="E1047" s="55"/>
      <c r="F1047" s="55"/>
    </row>
    <row r="1048" spans="1:6" x14ac:dyDescent="0.3">
      <c r="A1048" s="55"/>
      <c r="B1048" s="55"/>
      <c r="C1048" s="176"/>
      <c r="D1048" s="55"/>
      <c r="E1048" s="55"/>
      <c r="F1048" s="55"/>
    </row>
    <row r="1049" spans="1:6" x14ac:dyDescent="0.3">
      <c r="A1049" s="55"/>
      <c r="B1049" s="55"/>
      <c r="C1049" s="176"/>
      <c r="D1049" s="55"/>
      <c r="E1049" s="55"/>
      <c r="F1049" s="55"/>
    </row>
    <row r="1050" spans="1:6" x14ac:dyDescent="0.3">
      <c r="A1050" s="55"/>
      <c r="B1050" s="55"/>
      <c r="C1050" s="176"/>
      <c r="D1050" s="55"/>
      <c r="E1050" s="55"/>
      <c r="F1050" s="55"/>
    </row>
    <row r="1051" spans="1:6" x14ac:dyDescent="0.3">
      <c r="A1051" s="55"/>
      <c r="B1051" s="55"/>
      <c r="C1051" s="176"/>
      <c r="D1051" s="55"/>
      <c r="E1051" s="55"/>
      <c r="F1051" s="55"/>
    </row>
    <row r="1052" spans="1:6" x14ac:dyDescent="0.3">
      <c r="A1052" s="55"/>
      <c r="B1052" s="55"/>
      <c r="C1052" s="176"/>
      <c r="D1052" s="55"/>
      <c r="E1052" s="55"/>
      <c r="F1052" s="55"/>
    </row>
    <row r="1053" spans="1:6" x14ac:dyDescent="0.3">
      <c r="A1053" s="55"/>
      <c r="B1053" s="55"/>
      <c r="C1053" s="176"/>
      <c r="D1053" s="55"/>
      <c r="E1053" s="55"/>
      <c r="F1053" s="55"/>
    </row>
    <row r="1054" spans="1:6" x14ac:dyDescent="0.3">
      <c r="A1054" s="55"/>
      <c r="B1054" s="55"/>
      <c r="C1054" s="176"/>
      <c r="D1054" s="55"/>
      <c r="E1054" s="55"/>
      <c r="F1054" s="55"/>
    </row>
    <row r="1055" spans="1:6" x14ac:dyDescent="0.3">
      <c r="A1055" s="55"/>
      <c r="B1055" s="55"/>
      <c r="C1055" s="176"/>
      <c r="D1055" s="55"/>
      <c r="E1055" s="55"/>
      <c r="F1055" s="55"/>
    </row>
    <row r="1056" spans="1:6" x14ac:dyDescent="0.3">
      <c r="A1056" s="55"/>
      <c r="B1056" s="55"/>
      <c r="C1056" s="176"/>
      <c r="D1056" s="55"/>
      <c r="E1056" s="55"/>
      <c r="F1056" s="55"/>
    </row>
    <row r="1057" spans="1:6" x14ac:dyDescent="0.3">
      <c r="A1057" s="55"/>
      <c r="B1057" s="55"/>
      <c r="C1057" s="176"/>
      <c r="D1057" s="55"/>
      <c r="E1057" s="55"/>
      <c r="F1057" s="55"/>
    </row>
    <row r="1058" spans="1:6" x14ac:dyDescent="0.3">
      <c r="A1058" s="55"/>
      <c r="B1058" s="55"/>
      <c r="C1058" s="176"/>
      <c r="D1058" s="55"/>
      <c r="E1058" s="55"/>
      <c r="F1058" s="55"/>
    </row>
    <row r="1059" spans="1:6" x14ac:dyDescent="0.3">
      <c r="A1059" s="55"/>
      <c r="B1059" s="55"/>
      <c r="C1059" s="176"/>
      <c r="D1059" s="55"/>
      <c r="E1059" s="55"/>
      <c r="F1059" s="55"/>
    </row>
    <row r="1060" spans="1:6" x14ac:dyDescent="0.3">
      <c r="A1060" s="55"/>
      <c r="B1060" s="55"/>
      <c r="C1060" s="176"/>
      <c r="D1060" s="55"/>
      <c r="E1060" s="55"/>
      <c r="F1060" s="55"/>
    </row>
    <row r="1061" spans="1:6" x14ac:dyDescent="0.3">
      <c r="A1061" s="55"/>
      <c r="B1061" s="55"/>
      <c r="C1061" s="176"/>
      <c r="D1061" s="55"/>
      <c r="E1061" s="55"/>
      <c r="F1061" s="55"/>
    </row>
    <row r="1062" spans="1:6" x14ac:dyDescent="0.3">
      <c r="A1062" s="55"/>
      <c r="B1062" s="55"/>
      <c r="C1062" s="176"/>
      <c r="D1062" s="55"/>
      <c r="E1062" s="55"/>
      <c r="F1062" s="55"/>
    </row>
    <row r="1063" spans="1:6" x14ac:dyDescent="0.3">
      <c r="A1063" s="55"/>
      <c r="B1063" s="55"/>
      <c r="C1063" s="176"/>
      <c r="D1063" s="55"/>
      <c r="E1063" s="55"/>
      <c r="F1063" s="55"/>
    </row>
    <row r="1064" spans="1:6" x14ac:dyDescent="0.3">
      <c r="A1064" s="55"/>
      <c r="B1064" s="55"/>
      <c r="C1064" s="176"/>
      <c r="D1064" s="55"/>
      <c r="E1064" s="55"/>
      <c r="F1064" s="55"/>
    </row>
    <row r="1065" spans="1:6" x14ac:dyDescent="0.3">
      <c r="A1065" s="55"/>
      <c r="B1065" s="55"/>
      <c r="C1065" s="176"/>
      <c r="D1065" s="55"/>
      <c r="E1065" s="55"/>
      <c r="F1065" s="55"/>
    </row>
    <row r="1066" spans="1:6" x14ac:dyDescent="0.3">
      <c r="A1066" s="55"/>
      <c r="B1066" s="55"/>
      <c r="C1066" s="176"/>
      <c r="D1066" s="55"/>
      <c r="E1066" s="55"/>
      <c r="F1066" s="55"/>
    </row>
    <row r="1067" spans="1:6" x14ac:dyDescent="0.3">
      <c r="A1067" s="55"/>
      <c r="B1067" s="55"/>
      <c r="C1067" s="176"/>
      <c r="D1067" s="55"/>
      <c r="E1067" s="55"/>
      <c r="F1067" s="55"/>
    </row>
    <row r="1068" spans="1:6" x14ac:dyDescent="0.3">
      <c r="A1068" s="55"/>
      <c r="B1068" s="55"/>
      <c r="C1068" s="176"/>
      <c r="D1068" s="55"/>
      <c r="E1068" s="55"/>
      <c r="F1068" s="55"/>
    </row>
    <row r="1069" spans="1:6" x14ac:dyDescent="0.3">
      <c r="A1069" s="55"/>
      <c r="B1069" s="55"/>
      <c r="C1069" s="176"/>
      <c r="D1069" s="55"/>
      <c r="E1069" s="55"/>
      <c r="F1069" s="55"/>
    </row>
    <row r="1070" spans="1:6" x14ac:dyDescent="0.3">
      <c r="A1070" s="55"/>
      <c r="B1070" s="55"/>
      <c r="C1070" s="176"/>
      <c r="D1070" s="55"/>
      <c r="E1070" s="55"/>
      <c r="F1070" s="55"/>
    </row>
    <row r="1071" spans="1:6" x14ac:dyDescent="0.3">
      <c r="A1071" s="55"/>
      <c r="B1071" s="55"/>
      <c r="C1071" s="176"/>
      <c r="D1071" s="55"/>
      <c r="E1071" s="55"/>
      <c r="F1071" s="55"/>
    </row>
    <row r="1072" spans="1:6" x14ac:dyDescent="0.3">
      <c r="A1072" s="55"/>
      <c r="B1072" s="55"/>
      <c r="C1072" s="176"/>
      <c r="D1072" s="55"/>
      <c r="E1072" s="55"/>
      <c r="F1072" s="55"/>
    </row>
    <row r="1073" spans="1:6" x14ac:dyDescent="0.3">
      <c r="A1073" s="55"/>
      <c r="B1073" s="55"/>
      <c r="C1073" s="176"/>
      <c r="D1073" s="55"/>
      <c r="E1073" s="55"/>
      <c r="F1073" s="55"/>
    </row>
    <row r="1074" spans="1:6" x14ac:dyDescent="0.3">
      <c r="A1074" s="55"/>
      <c r="B1074" s="55"/>
      <c r="C1074" s="176"/>
      <c r="D1074" s="55"/>
      <c r="E1074" s="55"/>
      <c r="F1074" s="55"/>
    </row>
    <row r="1075" spans="1:6" x14ac:dyDescent="0.3">
      <c r="A1075" s="55"/>
      <c r="B1075" s="55"/>
      <c r="C1075" s="176"/>
      <c r="D1075" s="55"/>
      <c r="E1075" s="55"/>
      <c r="F1075" s="55"/>
    </row>
    <row r="1076" spans="1:6" x14ac:dyDescent="0.3">
      <c r="A1076" s="55"/>
      <c r="B1076" s="55"/>
      <c r="C1076" s="176"/>
      <c r="D1076" s="55"/>
      <c r="E1076" s="55"/>
      <c r="F1076" s="55"/>
    </row>
    <row r="1077" spans="1:6" x14ac:dyDescent="0.3">
      <c r="C1077" s="235"/>
    </row>
    <row r="1078" spans="1:6" x14ac:dyDescent="0.3">
      <c r="C1078" s="235"/>
    </row>
    <row r="1079" spans="1:6" x14ac:dyDescent="0.3">
      <c r="C1079" s="235"/>
    </row>
    <row r="1080" spans="1:6" x14ac:dyDescent="0.3">
      <c r="C1080" s="235"/>
    </row>
    <row r="1081" spans="1:6" x14ac:dyDescent="0.3">
      <c r="C1081" s="235"/>
    </row>
    <row r="1082" spans="1:6" x14ac:dyDescent="0.3">
      <c r="C1082" s="235"/>
    </row>
    <row r="1083" spans="1:6" x14ac:dyDescent="0.3">
      <c r="C1083" s="235"/>
    </row>
    <row r="1084" spans="1:6" x14ac:dyDescent="0.3">
      <c r="C1084" s="235"/>
    </row>
    <row r="1085" spans="1:6" x14ac:dyDescent="0.3">
      <c r="C1085" s="235"/>
    </row>
    <row r="1086" spans="1:6" x14ac:dyDescent="0.3">
      <c r="C1086" s="235"/>
    </row>
    <row r="1087" spans="1:6" x14ac:dyDescent="0.3">
      <c r="C1087" s="235"/>
    </row>
    <row r="1088" spans="1:6" x14ac:dyDescent="0.3">
      <c r="C1088" s="235"/>
    </row>
    <row r="1089" spans="3:3" x14ac:dyDescent="0.3">
      <c r="C1089" s="235"/>
    </row>
    <row r="1090" spans="3:3" x14ac:dyDescent="0.3">
      <c r="C1090" s="235"/>
    </row>
    <row r="1091" spans="3:3" x14ac:dyDescent="0.3">
      <c r="C1091" s="235"/>
    </row>
    <row r="1092" spans="3:3" x14ac:dyDescent="0.3">
      <c r="C1092" s="235"/>
    </row>
    <row r="1093" spans="3:3" x14ac:dyDescent="0.3">
      <c r="C1093" s="235"/>
    </row>
    <row r="1094" spans="3:3" x14ac:dyDescent="0.3">
      <c r="C1094" s="235"/>
    </row>
    <row r="1095" spans="3:3" x14ac:dyDescent="0.3">
      <c r="C1095" s="235"/>
    </row>
    <row r="1096" spans="3:3" x14ac:dyDescent="0.3">
      <c r="C1096" s="235"/>
    </row>
    <row r="1097" spans="3:3" x14ac:dyDescent="0.3">
      <c r="C1097" s="235"/>
    </row>
    <row r="1098" spans="3:3" x14ac:dyDescent="0.3">
      <c r="C1098" s="235"/>
    </row>
    <row r="1099" spans="3:3" x14ac:dyDescent="0.3">
      <c r="C1099" s="235"/>
    </row>
    <row r="1100" spans="3:3" x14ac:dyDescent="0.3">
      <c r="C1100" s="235"/>
    </row>
    <row r="1101" spans="3:3" x14ac:dyDescent="0.3">
      <c r="C1101" s="235"/>
    </row>
    <row r="1102" spans="3:3" x14ac:dyDescent="0.3">
      <c r="C1102" s="235"/>
    </row>
    <row r="1103" spans="3:3" x14ac:dyDescent="0.3">
      <c r="C1103" s="235"/>
    </row>
    <row r="1104" spans="3:3" x14ac:dyDescent="0.3">
      <c r="C1104" s="235"/>
    </row>
    <row r="1105" spans="3:3" x14ac:dyDescent="0.3">
      <c r="C1105" s="235"/>
    </row>
    <row r="1106" spans="3:3" x14ac:dyDescent="0.3">
      <c r="C1106" s="235"/>
    </row>
    <row r="1107" spans="3:3" x14ac:dyDescent="0.3">
      <c r="C1107" s="235"/>
    </row>
    <row r="1108" spans="3:3" x14ac:dyDescent="0.3">
      <c r="C1108" s="235"/>
    </row>
    <row r="1109" spans="3:3" x14ac:dyDescent="0.3">
      <c r="C1109" s="235"/>
    </row>
    <row r="1110" spans="3:3" x14ac:dyDescent="0.3">
      <c r="C1110" s="235"/>
    </row>
    <row r="1111" spans="3:3" x14ac:dyDescent="0.3">
      <c r="C1111" s="235"/>
    </row>
    <row r="1112" spans="3:3" x14ac:dyDescent="0.3">
      <c r="C1112" s="235"/>
    </row>
    <row r="1113" spans="3:3" x14ac:dyDescent="0.3">
      <c r="C1113" s="235"/>
    </row>
    <row r="1114" spans="3:3" x14ac:dyDescent="0.3">
      <c r="C1114" s="235"/>
    </row>
    <row r="1115" spans="3:3" x14ac:dyDescent="0.3">
      <c r="C1115" s="235"/>
    </row>
    <row r="1116" spans="3:3" x14ac:dyDescent="0.3">
      <c r="C1116" s="235"/>
    </row>
    <row r="1117" spans="3:3" x14ac:dyDescent="0.3">
      <c r="C1117" s="235"/>
    </row>
    <row r="1118" spans="3:3" x14ac:dyDescent="0.3">
      <c r="C1118" s="235"/>
    </row>
    <row r="1119" spans="3:3" x14ac:dyDescent="0.3">
      <c r="C1119" s="235"/>
    </row>
    <row r="1120" spans="3:3" x14ac:dyDescent="0.3">
      <c r="C1120" s="235"/>
    </row>
    <row r="1121" spans="3:3" x14ac:dyDescent="0.3">
      <c r="C1121" s="235"/>
    </row>
    <row r="1122" spans="3:3" x14ac:dyDescent="0.3">
      <c r="C1122" s="235"/>
    </row>
    <row r="1123" spans="3:3" x14ac:dyDescent="0.3">
      <c r="C1123" s="235"/>
    </row>
    <row r="1124" spans="3:3" x14ac:dyDescent="0.3">
      <c r="C1124" s="235"/>
    </row>
    <row r="1125" spans="3:3" x14ac:dyDescent="0.3">
      <c r="C1125" s="235"/>
    </row>
    <row r="1126" spans="3:3" x14ac:dyDescent="0.3">
      <c r="C1126" s="235"/>
    </row>
    <row r="1127" spans="3:3" x14ac:dyDescent="0.3">
      <c r="C1127" s="235"/>
    </row>
    <row r="1128" spans="3:3" x14ac:dyDescent="0.3">
      <c r="C1128" s="235"/>
    </row>
    <row r="1129" spans="3:3" x14ac:dyDescent="0.3">
      <c r="C1129" s="235"/>
    </row>
    <row r="1130" spans="3:3" x14ac:dyDescent="0.3">
      <c r="C1130" s="235"/>
    </row>
    <row r="1131" spans="3:3" x14ac:dyDescent="0.3">
      <c r="C1131" s="235"/>
    </row>
    <row r="1132" spans="3:3" x14ac:dyDescent="0.3">
      <c r="C1132" s="235"/>
    </row>
    <row r="1133" spans="3:3" x14ac:dyDescent="0.3">
      <c r="C1133" s="235"/>
    </row>
    <row r="1134" spans="3:3" x14ac:dyDescent="0.3">
      <c r="C1134" s="235"/>
    </row>
    <row r="1135" spans="3:3" x14ac:dyDescent="0.3">
      <c r="C1135" s="235"/>
    </row>
    <row r="1136" spans="3:3" x14ac:dyDescent="0.3">
      <c r="C1136" s="235"/>
    </row>
    <row r="1137" spans="3:3" x14ac:dyDescent="0.3">
      <c r="C1137" s="235"/>
    </row>
    <row r="1138" spans="3:3" x14ac:dyDescent="0.3">
      <c r="C1138" s="235"/>
    </row>
    <row r="1139" spans="3:3" x14ac:dyDescent="0.3">
      <c r="C1139" s="235"/>
    </row>
    <row r="1140" spans="3:3" x14ac:dyDescent="0.3">
      <c r="C1140" s="235"/>
    </row>
    <row r="1141" spans="3:3" x14ac:dyDescent="0.3">
      <c r="C1141" s="235"/>
    </row>
    <row r="1142" spans="3:3" x14ac:dyDescent="0.3">
      <c r="C1142" s="235"/>
    </row>
    <row r="1143" spans="3:3" x14ac:dyDescent="0.3">
      <c r="C1143" s="235"/>
    </row>
    <row r="1144" spans="3:3" x14ac:dyDescent="0.3">
      <c r="C1144" s="235"/>
    </row>
    <row r="1145" spans="3:3" x14ac:dyDescent="0.3">
      <c r="C1145" s="235"/>
    </row>
    <row r="1146" spans="3:3" x14ac:dyDescent="0.3">
      <c r="C1146" s="235"/>
    </row>
    <row r="1147" spans="3:3" x14ac:dyDescent="0.3">
      <c r="C1147" s="235"/>
    </row>
    <row r="1148" spans="3:3" x14ac:dyDescent="0.3">
      <c r="C1148" s="235"/>
    </row>
    <row r="1149" spans="3:3" x14ac:dyDescent="0.3">
      <c r="C1149" s="235"/>
    </row>
    <row r="1150" spans="3:3" x14ac:dyDescent="0.3">
      <c r="C1150" s="235"/>
    </row>
    <row r="1151" spans="3:3" x14ac:dyDescent="0.3">
      <c r="C1151" s="235"/>
    </row>
    <row r="1152" spans="3:3" x14ac:dyDescent="0.3">
      <c r="C1152" s="235"/>
    </row>
    <row r="1153" spans="3:3" x14ac:dyDescent="0.3">
      <c r="C1153" s="235"/>
    </row>
    <row r="1154" spans="3:3" x14ac:dyDescent="0.3">
      <c r="C1154" s="235"/>
    </row>
    <row r="1155" spans="3:3" x14ac:dyDescent="0.3">
      <c r="C1155" s="235"/>
    </row>
    <row r="1156" spans="3:3" x14ac:dyDescent="0.3">
      <c r="C1156" s="235"/>
    </row>
    <row r="1157" spans="3:3" x14ac:dyDescent="0.3">
      <c r="C1157" s="235"/>
    </row>
    <row r="1158" spans="3:3" x14ac:dyDescent="0.3">
      <c r="C1158" s="235"/>
    </row>
    <row r="1159" spans="3:3" x14ac:dyDescent="0.3">
      <c r="C1159" s="235"/>
    </row>
    <row r="1160" spans="3:3" x14ac:dyDescent="0.3">
      <c r="C1160" s="235"/>
    </row>
    <row r="1161" spans="3:3" x14ac:dyDescent="0.3">
      <c r="C1161" s="235"/>
    </row>
    <row r="1162" spans="3:3" x14ac:dyDescent="0.3">
      <c r="C1162" s="235"/>
    </row>
    <row r="1163" spans="3:3" x14ac:dyDescent="0.3">
      <c r="C1163" s="235"/>
    </row>
    <row r="1164" spans="3:3" x14ac:dyDescent="0.3">
      <c r="C1164" s="235"/>
    </row>
    <row r="1165" spans="3:3" x14ac:dyDescent="0.3">
      <c r="C1165" s="235"/>
    </row>
    <row r="1166" spans="3:3" x14ac:dyDescent="0.3">
      <c r="C1166" s="235"/>
    </row>
    <row r="1167" spans="3:3" x14ac:dyDescent="0.3">
      <c r="C1167" s="235"/>
    </row>
    <row r="1168" spans="3:3" x14ac:dyDescent="0.3">
      <c r="C1168" s="235"/>
    </row>
    <row r="1169" spans="3:3" x14ac:dyDescent="0.3">
      <c r="C1169" s="235"/>
    </row>
    <row r="1170" spans="3:3" x14ac:dyDescent="0.3">
      <c r="C1170" s="235"/>
    </row>
    <row r="1171" spans="3:3" x14ac:dyDescent="0.3">
      <c r="C1171" s="235"/>
    </row>
    <row r="1172" spans="3:3" x14ac:dyDescent="0.3">
      <c r="C1172" s="235"/>
    </row>
    <row r="1173" spans="3:3" x14ac:dyDescent="0.3">
      <c r="C1173" s="235"/>
    </row>
    <row r="1174" spans="3:3" x14ac:dyDescent="0.3">
      <c r="C1174" s="235"/>
    </row>
    <row r="1175" spans="3:3" x14ac:dyDescent="0.3">
      <c r="C1175" s="235"/>
    </row>
    <row r="1176" spans="3:3" x14ac:dyDescent="0.3">
      <c r="C1176" s="235"/>
    </row>
    <row r="1177" spans="3:3" x14ac:dyDescent="0.3">
      <c r="C1177" s="235"/>
    </row>
    <row r="1178" spans="3:3" x14ac:dyDescent="0.3">
      <c r="C1178" s="235"/>
    </row>
    <row r="1179" spans="3:3" x14ac:dyDescent="0.3">
      <c r="C1179" s="235"/>
    </row>
    <row r="1180" spans="3:3" x14ac:dyDescent="0.3">
      <c r="C1180" s="235"/>
    </row>
    <row r="1181" spans="3:3" x14ac:dyDescent="0.3">
      <c r="C1181" s="235"/>
    </row>
    <row r="1182" spans="3:3" x14ac:dyDescent="0.3">
      <c r="C1182" s="235"/>
    </row>
    <row r="1183" spans="3:3" x14ac:dyDescent="0.3">
      <c r="C1183" s="235"/>
    </row>
    <row r="1184" spans="3:3" x14ac:dyDescent="0.3">
      <c r="C1184" s="235"/>
    </row>
    <row r="1185" spans="3:3" x14ac:dyDescent="0.3">
      <c r="C1185" s="235"/>
    </row>
    <row r="1186" spans="3:3" x14ac:dyDescent="0.3">
      <c r="C1186" s="235"/>
    </row>
    <row r="1187" spans="3:3" x14ac:dyDescent="0.3">
      <c r="C1187" s="235"/>
    </row>
    <row r="1188" spans="3:3" x14ac:dyDescent="0.3">
      <c r="C1188" s="235"/>
    </row>
    <row r="1189" spans="3:3" x14ac:dyDescent="0.3">
      <c r="C1189" s="235"/>
    </row>
    <row r="1190" spans="3:3" x14ac:dyDescent="0.3">
      <c r="C1190" s="235"/>
    </row>
    <row r="1191" spans="3:3" x14ac:dyDescent="0.3">
      <c r="C1191" s="235"/>
    </row>
    <row r="1192" spans="3:3" x14ac:dyDescent="0.3">
      <c r="C1192" s="235"/>
    </row>
    <row r="1193" spans="3:3" x14ac:dyDescent="0.3">
      <c r="C1193" s="235"/>
    </row>
    <row r="1194" spans="3:3" x14ac:dyDescent="0.3">
      <c r="C1194" s="235"/>
    </row>
    <row r="1195" spans="3:3" x14ac:dyDescent="0.3">
      <c r="C1195" s="235"/>
    </row>
    <row r="1196" spans="3:3" x14ac:dyDescent="0.3">
      <c r="C1196" s="235"/>
    </row>
    <row r="1197" spans="3:3" x14ac:dyDescent="0.3">
      <c r="C1197" s="235"/>
    </row>
    <row r="1198" spans="3:3" x14ac:dyDescent="0.3">
      <c r="C1198" s="235"/>
    </row>
    <row r="1199" spans="3:3" x14ac:dyDescent="0.3">
      <c r="C1199" s="235"/>
    </row>
    <row r="1200" spans="3:3" x14ac:dyDescent="0.3">
      <c r="C1200" s="235"/>
    </row>
    <row r="1201" spans="3:3" x14ac:dyDescent="0.3">
      <c r="C1201" s="235"/>
    </row>
    <row r="1202" spans="3:3" x14ac:dyDescent="0.3">
      <c r="C1202" s="235"/>
    </row>
    <row r="1203" spans="3:3" x14ac:dyDescent="0.3">
      <c r="C1203" s="235"/>
    </row>
    <row r="1204" spans="3:3" x14ac:dyDescent="0.3">
      <c r="C1204" s="235"/>
    </row>
    <row r="1205" spans="3:3" x14ac:dyDescent="0.3">
      <c r="C1205" s="235"/>
    </row>
    <row r="1206" spans="3:3" x14ac:dyDescent="0.3">
      <c r="C1206" s="235"/>
    </row>
    <row r="1207" spans="3:3" x14ac:dyDescent="0.3">
      <c r="C1207" s="235"/>
    </row>
    <row r="1208" spans="3:3" x14ac:dyDescent="0.3">
      <c r="C1208" s="235"/>
    </row>
    <row r="1209" spans="3:3" x14ac:dyDescent="0.3">
      <c r="C1209" s="235"/>
    </row>
    <row r="1210" spans="3:3" x14ac:dyDescent="0.3">
      <c r="C1210" s="235"/>
    </row>
    <row r="1211" spans="3:3" x14ac:dyDescent="0.3">
      <c r="C1211" s="235"/>
    </row>
    <row r="1212" spans="3:3" x14ac:dyDescent="0.3">
      <c r="C1212" s="235"/>
    </row>
    <row r="1213" spans="3:3" x14ac:dyDescent="0.3">
      <c r="C1213" s="235"/>
    </row>
    <row r="1214" spans="3:3" x14ac:dyDescent="0.3">
      <c r="C1214" s="235"/>
    </row>
    <row r="1215" spans="3:3" x14ac:dyDescent="0.3">
      <c r="C1215" s="235"/>
    </row>
    <row r="1216" spans="3:3" x14ac:dyDescent="0.3">
      <c r="C1216" s="235"/>
    </row>
    <row r="1217" spans="3:3" x14ac:dyDescent="0.3">
      <c r="C1217" s="235"/>
    </row>
    <row r="1218" spans="3:3" x14ac:dyDescent="0.3">
      <c r="C1218" s="235"/>
    </row>
    <row r="1219" spans="3:3" x14ac:dyDescent="0.3">
      <c r="C1219" s="235"/>
    </row>
    <row r="1220" spans="3:3" x14ac:dyDescent="0.3">
      <c r="C1220" s="235"/>
    </row>
    <row r="1221" spans="3:3" x14ac:dyDescent="0.3">
      <c r="C1221" s="235"/>
    </row>
    <row r="1222" spans="3:3" x14ac:dyDescent="0.3">
      <c r="C1222" s="235"/>
    </row>
    <row r="1223" spans="3:3" x14ac:dyDescent="0.3">
      <c r="C1223" s="235"/>
    </row>
    <row r="1224" spans="3:3" x14ac:dyDescent="0.3">
      <c r="C1224" s="235"/>
    </row>
    <row r="1225" spans="3:3" x14ac:dyDescent="0.3">
      <c r="C1225" s="235"/>
    </row>
    <row r="1226" spans="3:3" x14ac:dyDescent="0.3">
      <c r="C1226" s="235"/>
    </row>
    <row r="1227" spans="3:3" x14ac:dyDescent="0.3">
      <c r="C1227" s="235"/>
    </row>
    <row r="1228" spans="3:3" x14ac:dyDescent="0.3">
      <c r="C1228" s="235"/>
    </row>
    <row r="1229" spans="3:3" x14ac:dyDescent="0.3">
      <c r="C1229" s="235"/>
    </row>
    <row r="1230" spans="3:3" x14ac:dyDescent="0.3">
      <c r="C1230" s="235"/>
    </row>
    <row r="1231" spans="3:3" x14ac:dyDescent="0.3">
      <c r="C1231" s="235"/>
    </row>
    <row r="1232" spans="3:3" x14ac:dyDescent="0.3">
      <c r="C1232" s="235"/>
    </row>
    <row r="1233" spans="3:3" x14ac:dyDescent="0.3">
      <c r="C1233" s="235"/>
    </row>
    <row r="1234" spans="3:3" x14ac:dyDescent="0.3">
      <c r="C1234" s="235"/>
    </row>
    <row r="1235" spans="3:3" x14ac:dyDescent="0.3">
      <c r="C1235" s="235"/>
    </row>
    <row r="1236" spans="3:3" x14ac:dyDescent="0.3">
      <c r="C1236" s="235"/>
    </row>
    <row r="1237" spans="3:3" x14ac:dyDescent="0.3">
      <c r="C1237" s="235"/>
    </row>
    <row r="1238" spans="3:3" x14ac:dyDescent="0.3">
      <c r="C1238" s="235"/>
    </row>
    <row r="1239" spans="3:3" x14ac:dyDescent="0.3">
      <c r="C1239" s="235"/>
    </row>
    <row r="1240" spans="3:3" x14ac:dyDescent="0.3">
      <c r="C1240" s="235"/>
    </row>
    <row r="1241" spans="3:3" x14ac:dyDescent="0.3">
      <c r="C1241" s="235"/>
    </row>
    <row r="1242" spans="3:3" x14ac:dyDescent="0.3">
      <c r="C1242" s="235"/>
    </row>
    <row r="1243" spans="3:3" x14ac:dyDescent="0.3">
      <c r="C1243" s="235"/>
    </row>
    <row r="1244" spans="3:3" x14ac:dyDescent="0.3">
      <c r="C1244" s="235"/>
    </row>
    <row r="1245" spans="3:3" x14ac:dyDescent="0.3">
      <c r="C1245" s="235"/>
    </row>
    <row r="1246" spans="3:3" x14ac:dyDescent="0.3">
      <c r="C1246" s="235"/>
    </row>
    <row r="1247" spans="3:3" x14ac:dyDescent="0.3">
      <c r="C1247" s="235"/>
    </row>
    <row r="1248" spans="3:3" x14ac:dyDescent="0.3">
      <c r="C1248" s="235"/>
    </row>
    <row r="1249" spans="3:3" x14ac:dyDescent="0.3">
      <c r="C1249" s="235"/>
    </row>
    <row r="1250" spans="3:3" x14ac:dyDescent="0.3">
      <c r="C1250" s="235"/>
    </row>
    <row r="1251" spans="3:3" x14ac:dyDescent="0.3">
      <c r="C1251" s="235"/>
    </row>
    <row r="1252" spans="3:3" x14ac:dyDescent="0.3">
      <c r="C1252" s="235"/>
    </row>
    <row r="1253" spans="3:3" x14ac:dyDescent="0.3">
      <c r="C1253" s="235"/>
    </row>
    <row r="1254" spans="3:3" x14ac:dyDescent="0.3">
      <c r="C1254" s="235"/>
    </row>
    <row r="1255" spans="3:3" x14ac:dyDescent="0.3">
      <c r="C1255" s="235"/>
    </row>
    <row r="1256" spans="3:3" x14ac:dyDescent="0.3">
      <c r="C1256" s="235"/>
    </row>
    <row r="1257" spans="3:3" x14ac:dyDescent="0.3">
      <c r="C1257" s="235"/>
    </row>
    <row r="1258" spans="3:3" x14ac:dyDescent="0.3">
      <c r="C1258" s="235"/>
    </row>
    <row r="1259" spans="3:3" x14ac:dyDescent="0.3">
      <c r="C1259" s="235"/>
    </row>
    <row r="1260" spans="3:3" x14ac:dyDescent="0.3">
      <c r="C1260" s="235"/>
    </row>
    <row r="1261" spans="3:3" x14ac:dyDescent="0.3">
      <c r="C1261" s="235"/>
    </row>
    <row r="1262" spans="3:3" x14ac:dyDescent="0.3">
      <c r="C1262" s="235"/>
    </row>
    <row r="1263" spans="3:3" x14ac:dyDescent="0.3">
      <c r="C1263" s="235"/>
    </row>
    <row r="1264" spans="3:3" x14ac:dyDescent="0.3">
      <c r="C1264" s="235"/>
    </row>
    <row r="1265" spans="3:3" x14ac:dyDescent="0.3">
      <c r="C1265" s="235"/>
    </row>
    <row r="1266" spans="3:3" x14ac:dyDescent="0.3">
      <c r="C1266" s="235"/>
    </row>
    <row r="1267" spans="3:3" x14ac:dyDescent="0.3">
      <c r="C1267" s="235"/>
    </row>
    <row r="1268" spans="3:3" x14ac:dyDescent="0.3">
      <c r="C1268" s="235"/>
    </row>
    <row r="1269" spans="3:3" x14ac:dyDescent="0.3">
      <c r="C1269" s="235"/>
    </row>
    <row r="1270" spans="3:3" x14ac:dyDescent="0.3">
      <c r="C1270" s="235"/>
    </row>
    <row r="1271" spans="3:3" x14ac:dyDescent="0.3">
      <c r="C1271" s="235"/>
    </row>
    <row r="1272" spans="3:3" x14ac:dyDescent="0.3">
      <c r="C1272" s="235"/>
    </row>
    <row r="1273" spans="3:3" x14ac:dyDescent="0.3">
      <c r="C1273" s="235"/>
    </row>
    <row r="1274" spans="3:3" x14ac:dyDescent="0.3">
      <c r="C1274" s="235"/>
    </row>
    <row r="1275" spans="3:3" x14ac:dyDescent="0.3">
      <c r="C1275" s="235"/>
    </row>
    <row r="1276" spans="3:3" x14ac:dyDescent="0.3">
      <c r="C1276" s="235"/>
    </row>
    <row r="1277" spans="3:3" x14ac:dyDescent="0.3">
      <c r="C1277" s="235"/>
    </row>
    <row r="1278" spans="3:3" x14ac:dyDescent="0.3">
      <c r="C1278" s="235"/>
    </row>
    <row r="1279" spans="3:3" x14ac:dyDescent="0.3">
      <c r="C1279" s="235"/>
    </row>
    <row r="1280" spans="3:3" x14ac:dyDescent="0.3">
      <c r="C1280" s="235"/>
    </row>
    <row r="1281" spans="3:3" x14ac:dyDescent="0.3">
      <c r="C1281" s="235"/>
    </row>
    <row r="1282" spans="3:3" x14ac:dyDescent="0.3">
      <c r="C1282" s="235"/>
    </row>
    <row r="1283" spans="3:3" x14ac:dyDescent="0.3">
      <c r="C1283" s="235"/>
    </row>
    <row r="1284" spans="3:3" x14ac:dyDescent="0.3">
      <c r="C1284" s="235"/>
    </row>
    <row r="1285" spans="3:3" x14ac:dyDescent="0.3">
      <c r="C1285" s="235"/>
    </row>
    <row r="1286" spans="3:3" x14ac:dyDescent="0.3">
      <c r="C1286" s="235"/>
    </row>
    <row r="1287" spans="3:3" x14ac:dyDescent="0.3">
      <c r="C1287" s="235"/>
    </row>
    <row r="1288" spans="3:3" x14ac:dyDescent="0.3">
      <c r="C1288" s="235"/>
    </row>
    <row r="1289" spans="3:3" x14ac:dyDescent="0.3">
      <c r="C1289" s="235"/>
    </row>
    <row r="1290" spans="3:3" x14ac:dyDescent="0.3">
      <c r="C1290" s="235"/>
    </row>
    <row r="1291" spans="3:3" x14ac:dyDescent="0.3">
      <c r="C1291" s="235"/>
    </row>
    <row r="1292" spans="3:3" x14ac:dyDescent="0.3">
      <c r="C1292" s="235"/>
    </row>
    <row r="1293" spans="3:3" x14ac:dyDescent="0.3">
      <c r="C1293" s="235"/>
    </row>
    <row r="1294" spans="3:3" x14ac:dyDescent="0.3">
      <c r="C1294" s="235"/>
    </row>
    <row r="1295" spans="3:3" x14ac:dyDescent="0.3">
      <c r="C1295" s="235"/>
    </row>
    <row r="1296" spans="3:3" x14ac:dyDescent="0.3">
      <c r="C1296" s="235"/>
    </row>
    <row r="1297" spans="3:3" x14ac:dyDescent="0.3">
      <c r="C1297" s="235"/>
    </row>
    <row r="1298" spans="3:3" x14ac:dyDescent="0.3">
      <c r="C1298" s="235"/>
    </row>
    <row r="1299" spans="3:3" x14ac:dyDescent="0.3">
      <c r="C1299" s="235"/>
    </row>
    <row r="1300" spans="3:3" x14ac:dyDescent="0.3">
      <c r="C1300" s="235"/>
    </row>
    <row r="1301" spans="3:3" x14ac:dyDescent="0.3">
      <c r="C1301" s="235"/>
    </row>
    <row r="1302" spans="3:3" x14ac:dyDescent="0.3">
      <c r="C1302" s="235"/>
    </row>
    <row r="1303" spans="3:3" x14ac:dyDescent="0.3">
      <c r="C1303" s="235"/>
    </row>
    <row r="1304" spans="3:3" x14ac:dyDescent="0.3">
      <c r="C1304" s="235"/>
    </row>
    <row r="1305" spans="3:3" x14ac:dyDescent="0.3">
      <c r="C1305" s="235"/>
    </row>
    <row r="1306" spans="3:3" x14ac:dyDescent="0.3">
      <c r="C1306" s="235"/>
    </row>
    <row r="1307" spans="3:3" x14ac:dyDescent="0.3">
      <c r="C1307" s="235"/>
    </row>
    <row r="1308" spans="3:3" x14ac:dyDescent="0.3">
      <c r="C1308" s="235"/>
    </row>
    <row r="1309" spans="3:3" x14ac:dyDescent="0.3">
      <c r="C1309" s="235"/>
    </row>
    <row r="1310" spans="3:3" x14ac:dyDescent="0.3">
      <c r="C1310" s="235"/>
    </row>
    <row r="1311" spans="3:3" x14ac:dyDescent="0.3">
      <c r="C1311" s="235"/>
    </row>
    <row r="1312" spans="3:3" x14ac:dyDescent="0.3">
      <c r="C1312" s="235"/>
    </row>
    <row r="1313" spans="3:3" x14ac:dyDescent="0.3">
      <c r="C1313" s="235"/>
    </row>
    <row r="1314" spans="3:3" x14ac:dyDescent="0.3">
      <c r="C1314" s="235"/>
    </row>
    <row r="1315" spans="3:3" x14ac:dyDescent="0.3">
      <c r="C1315" s="235"/>
    </row>
    <row r="1316" spans="3:3" x14ac:dyDescent="0.3">
      <c r="C1316" s="235"/>
    </row>
    <row r="1317" spans="3:3" x14ac:dyDescent="0.3">
      <c r="C1317" s="235"/>
    </row>
    <row r="1318" spans="3:3" x14ac:dyDescent="0.3">
      <c r="C1318" s="235"/>
    </row>
    <row r="1319" spans="3:3" x14ac:dyDescent="0.3">
      <c r="C1319" s="235"/>
    </row>
    <row r="1320" spans="3:3" x14ac:dyDescent="0.3">
      <c r="C1320" s="235"/>
    </row>
    <row r="1321" spans="3:3" x14ac:dyDescent="0.3">
      <c r="C1321" s="235"/>
    </row>
    <row r="1322" spans="3:3" x14ac:dyDescent="0.3">
      <c r="C1322" s="235"/>
    </row>
    <row r="1323" spans="3:3" x14ac:dyDescent="0.3">
      <c r="C1323" s="235"/>
    </row>
    <row r="1324" spans="3:3" x14ac:dyDescent="0.3">
      <c r="C1324" s="235"/>
    </row>
    <row r="1325" spans="3:3" x14ac:dyDescent="0.3">
      <c r="C1325" s="235"/>
    </row>
    <row r="1326" spans="3:3" x14ac:dyDescent="0.3">
      <c r="C1326" s="235"/>
    </row>
    <row r="1327" spans="3:3" x14ac:dyDescent="0.3">
      <c r="C1327" s="235"/>
    </row>
    <row r="1328" spans="3:3" x14ac:dyDescent="0.3">
      <c r="C1328" s="235"/>
    </row>
    <row r="1329" spans="3:3" x14ac:dyDescent="0.3">
      <c r="C1329" s="235"/>
    </row>
    <row r="1330" spans="3:3" x14ac:dyDescent="0.3">
      <c r="C1330" s="235"/>
    </row>
    <row r="1331" spans="3:3" x14ac:dyDescent="0.3">
      <c r="C1331" s="235"/>
    </row>
    <row r="1332" spans="3:3" x14ac:dyDescent="0.3">
      <c r="C1332" s="235"/>
    </row>
    <row r="1333" spans="3:3" x14ac:dyDescent="0.3">
      <c r="C1333" s="235"/>
    </row>
    <row r="1334" spans="3:3" x14ac:dyDescent="0.3">
      <c r="C1334" s="235"/>
    </row>
    <row r="1335" spans="3:3" x14ac:dyDescent="0.3">
      <c r="C1335" s="235"/>
    </row>
    <row r="1336" spans="3:3" x14ac:dyDescent="0.3">
      <c r="C1336" s="235"/>
    </row>
    <row r="1337" spans="3:3" x14ac:dyDescent="0.3">
      <c r="C1337" s="235"/>
    </row>
    <row r="1338" spans="3:3" x14ac:dyDescent="0.3">
      <c r="C1338" s="235"/>
    </row>
    <row r="1339" spans="3:3" x14ac:dyDescent="0.3">
      <c r="C1339" s="235"/>
    </row>
    <row r="1340" spans="3:3" x14ac:dyDescent="0.3">
      <c r="C1340" s="235"/>
    </row>
    <row r="1341" spans="3:3" x14ac:dyDescent="0.3">
      <c r="C1341" s="235"/>
    </row>
    <row r="1342" spans="3:3" x14ac:dyDescent="0.3">
      <c r="C1342" s="235"/>
    </row>
    <row r="1343" spans="3:3" x14ac:dyDescent="0.3">
      <c r="C1343" s="235"/>
    </row>
    <row r="1344" spans="3:3" x14ac:dyDescent="0.3">
      <c r="C1344" s="235"/>
    </row>
    <row r="1345" spans="3:3" x14ac:dyDescent="0.3">
      <c r="C1345" s="235"/>
    </row>
    <row r="1346" spans="3:3" x14ac:dyDescent="0.3">
      <c r="C1346" s="235"/>
    </row>
    <row r="1347" spans="3:3" x14ac:dyDescent="0.3">
      <c r="C1347" s="235"/>
    </row>
    <row r="1348" spans="3:3" x14ac:dyDescent="0.3">
      <c r="C1348" s="235"/>
    </row>
    <row r="1349" spans="3:3" x14ac:dyDescent="0.3">
      <c r="C1349" s="235"/>
    </row>
    <row r="1350" spans="3:3" x14ac:dyDescent="0.3">
      <c r="C1350" s="235"/>
    </row>
    <row r="1351" spans="3:3" x14ac:dyDescent="0.3">
      <c r="C1351" s="235"/>
    </row>
    <row r="1352" spans="3:3" x14ac:dyDescent="0.3">
      <c r="C1352" s="235"/>
    </row>
    <row r="1353" spans="3:3" x14ac:dyDescent="0.3">
      <c r="C1353" s="235"/>
    </row>
    <row r="1354" spans="3:3" x14ac:dyDescent="0.3">
      <c r="C1354" s="235"/>
    </row>
    <row r="1355" spans="3:3" x14ac:dyDescent="0.3">
      <c r="C1355" s="235"/>
    </row>
    <row r="1356" spans="3:3" x14ac:dyDescent="0.3">
      <c r="C1356" s="235"/>
    </row>
    <row r="1357" spans="3:3" x14ac:dyDescent="0.3">
      <c r="C1357" s="235"/>
    </row>
    <row r="1358" spans="3:3" x14ac:dyDescent="0.3">
      <c r="C1358" s="235"/>
    </row>
    <row r="1359" spans="3:3" x14ac:dyDescent="0.3">
      <c r="C1359" s="235"/>
    </row>
    <row r="1360" spans="3:3" x14ac:dyDescent="0.3">
      <c r="C1360" s="235"/>
    </row>
    <row r="1361" spans="3:3" x14ac:dyDescent="0.3">
      <c r="C1361" s="235"/>
    </row>
    <row r="1362" spans="3:3" x14ac:dyDescent="0.3">
      <c r="C1362" s="235"/>
    </row>
    <row r="1363" spans="3:3" x14ac:dyDescent="0.3">
      <c r="C1363" s="235"/>
    </row>
    <row r="1364" spans="3:3" x14ac:dyDescent="0.3">
      <c r="C1364" s="235"/>
    </row>
    <row r="1365" spans="3:3" x14ac:dyDescent="0.3">
      <c r="C1365" s="235"/>
    </row>
    <row r="1366" spans="3:3" x14ac:dyDescent="0.3">
      <c r="C1366" s="235"/>
    </row>
    <row r="1367" spans="3:3" x14ac:dyDescent="0.3">
      <c r="C1367" s="235"/>
    </row>
    <row r="1368" spans="3:3" x14ac:dyDescent="0.3">
      <c r="C1368" s="235"/>
    </row>
    <row r="1369" spans="3:3" x14ac:dyDescent="0.3">
      <c r="C1369" s="235"/>
    </row>
    <row r="1370" spans="3:3" x14ac:dyDescent="0.3">
      <c r="C1370" s="235"/>
    </row>
    <row r="1371" spans="3:3" x14ac:dyDescent="0.3">
      <c r="C1371" s="235"/>
    </row>
    <row r="1372" spans="3:3" x14ac:dyDescent="0.3">
      <c r="C1372" s="235"/>
    </row>
    <row r="1373" spans="3:3" x14ac:dyDescent="0.3">
      <c r="C1373" s="235"/>
    </row>
    <row r="1374" spans="3:3" x14ac:dyDescent="0.3">
      <c r="C1374" s="235"/>
    </row>
    <row r="1375" spans="3:3" x14ac:dyDescent="0.3">
      <c r="C1375" s="235"/>
    </row>
    <row r="1376" spans="3:3" x14ac:dyDescent="0.3">
      <c r="C1376" s="235"/>
    </row>
    <row r="1377" spans="3:3" x14ac:dyDescent="0.3">
      <c r="C1377" s="235"/>
    </row>
    <row r="1378" spans="3:3" x14ac:dyDescent="0.3">
      <c r="C1378" s="235"/>
    </row>
    <row r="1379" spans="3:3" x14ac:dyDescent="0.3">
      <c r="C1379" s="235"/>
    </row>
    <row r="1380" spans="3:3" x14ac:dyDescent="0.3">
      <c r="C1380" s="235"/>
    </row>
    <row r="1381" spans="3:3" x14ac:dyDescent="0.3">
      <c r="C1381" s="235"/>
    </row>
    <row r="1382" spans="3:3" x14ac:dyDescent="0.3">
      <c r="C1382" s="235"/>
    </row>
    <row r="1383" spans="3:3" x14ac:dyDescent="0.3">
      <c r="C1383" s="235"/>
    </row>
    <row r="1384" spans="3:3" x14ac:dyDescent="0.3">
      <c r="C1384" s="235"/>
    </row>
    <row r="1385" spans="3:3" x14ac:dyDescent="0.3">
      <c r="C1385" s="235"/>
    </row>
    <row r="1386" spans="3:3" x14ac:dyDescent="0.3">
      <c r="C1386" s="235"/>
    </row>
    <row r="1387" spans="3:3" x14ac:dyDescent="0.3">
      <c r="C1387" s="235"/>
    </row>
    <row r="1388" spans="3:3" x14ac:dyDescent="0.3">
      <c r="C1388" s="235"/>
    </row>
    <row r="1389" spans="3:3" x14ac:dyDescent="0.3">
      <c r="C1389" s="235"/>
    </row>
    <row r="1390" spans="3:3" x14ac:dyDescent="0.3">
      <c r="C1390" s="235"/>
    </row>
    <row r="1391" spans="3:3" x14ac:dyDescent="0.3">
      <c r="C1391" s="235"/>
    </row>
    <row r="1392" spans="3:3" x14ac:dyDescent="0.3">
      <c r="C1392" s="235"/>
    </row>
    <row r="1393" spans="3:3" x14ac:dyDescent="0.3">
      <c r="C1393" s="235"/>
    </row>
    <row r="1394" spans="3:3" x14ac:dyDescent="0.3">
      <c r="C1394" s="235"/>
    </row>
    <row r="1395" spans="3:3" x14ac:dyDescent="0.3">
      <c r="C1395" s="235"/>
    </row>
    <row r="1396" spans="3:3" x14ac:dyDescent="0.3">
      <c r="C1396" s="235"/>
    </row>
    <row r="1397" spans="3:3" x14ac:dyDescent="0.3">
      <c r="C1397" s="235"/>
    </row>
    <row r="1398" spans="3:3" x14ac:dyDescent="0.3">
      <c r="C1398" s="235"/>
    </row>
    <row r="1399" spans="3:3" x14ac:dyDescent="0.3">
      <c r="C1399" s="235"/>
    </row>
    <row r="1400" spans="3:3" x14ac:dyDescent="0.3">
      <c r="C1400" s="235"/>
    </row>
    <row r="1401" spans="3:3" x14ac:dyDescent="0.3">
      <c r="C1401" s="235"/>
    </row>
    <row r="1402" spans="3:3" x14ac:dyDescent="0.3">
      <c r="C1402" s="235"/>
    </row>
    <row r="1403" spans="3:3" x14ac:dyDescent="0.3">
      <c r="C1403" s="235"/>
    </row>
    <row r="1404" spans="3:3" x14ac:dyDescent="0.3">
      <c r="C1404" s="235"/>
    </row>
    <row r="1405" spans="3:3" x14ac:dyDescent="0.3">
      <c r="C1405" s="235"/>
    </row>
    <row r="1406" spans="3:3" x14ac:dyDescent="0.3">
      <c r="C1406" s="235"/>
    </row>
    <row r="1407" spans="3:3" x14ac:dyDescent="0.3">
      <c r="C1407" s="235"/>
    </row>
    <row r="1408" spans="3:3" x14ac:dyDescent="0.3">
      <c r="C1408" s="235"/>
    </row>
    <row r="1409" spans="3:3" x14ac:dyDescent="0.3">
      <c r="C1409" s="235"/>
    </row>
    <row r="1410" spans="3:3" x14ac:dyDescent="0.3">
      <c r="C1410" s="235"/>
    </row>
    <row r="1411" spans="3:3" x14ac:dyDescent="0.3">
      <c r="C1411" s="235"/>
    </row>
    <row r="1412" spans="3:3" x14ac:dyDescent="0.3">
      <c r="C1412" s="235"/>
    </row>
    <row r="1413" spans="3:3" x14ac:dyDescent="0.3">
      <c r="C1413" s="235"/>
    </row>
    <row r="1414" spans="3:3" x14ac:dyDescent="0.3">
      <c r="C1414" s="235"/>
    </row>
    <row r="1415" spans="3:3" x14ac:dyDescent="0.3">
      <c r="C1415" s="235"/>
    </row>
    <row r="1416" spans="3:3" x14ac:dyDescent="0.3">
      <c r="C1416" s="235"/>
    </row>
    <row r="1417" spans="3:3" x14ac:dyDescent="0.3">
      <c r="C1417" s="235"/>
    </row>
    <row r="1418" spans="3:3" x14ac:dyDescent="0.3">
      <c r="C1418" s="235"/>
    </row>
    <row r="1419" spans="3:3" x14ac:dyDescent="0.3">
      <c r="C1419" s="235"/>
    </row>
    <row r="1420" spans="3:3" x14ac:dyDescent="0.3">
      <c r="C1420" s="235"/>
    </row>
    <row r="1421" spans="3:3" x14ac:dyDescent="0.3">
      <c r="C1421" s="235"/>
    </row>
    <row r="1422" spans="3:3" x14ac:dyDescent="0.3">
      <c r="C1422" s="235"/>
    </row>
    <row r="1423" spans="3:3" x14ac:dyDescent="0.3">
      <c r="C1423" s="235"/>
    </row>
    <row r="1424" spans="3:3" x14ac:dyDescent="0.3">
      <c r="C1424" s="235"/>
    </row>
    <row r="1425" spans="3:3" x14ac:dyDescent="0.3">
      <c r="C1425" s="235"/>
    </row>
    <row r="1426" spans="3:3" x14ac:dyDescent="0.3">
      <c r="C1426" s="235"/>
    </row>
    <row r="1427" spans="3:3" x14ac:dyDescent="0.3">
      <c r="C1427" s="235"/>
    </row>
    <row r="1428" spans="3:3" x14ac:dyDescent="0.3">
      <c r="C1428" s="235"/>
    </row>
    <row r="1429" spans="3:3" x14ac:dyDescent="0.3">
      <c r="C1429" s="235"/>
    </row>
    <row r="1430" spans="3:3" x14ac:dyDescent="0.3">
      <c r="C1430" s="235"/>
    </row>
    <row r="1431" spans="3:3" x14ac:dyDescent="0.3">
      <c r="C1431" s="235"/>
    </row>
    <row r="1432" spans="3:3" x14ac:dyDescent="0.3">
      <c r="C1432" s="235"/>
    </row>
    <row r="1433" spans="3:3" x14ac:dyDescent="0.3">
      <c r="C1433" s="235"/>
    </row>
    <row r="1434" spans="3:3" x14ac:dyDescent="0.3">
      <c r="C1434" s="235"/>
    </row>
    <row r="1435" spans="3:3" x14ac:dyDescent="0.3">
      <c r="C1435" s="235"/>
    </row>
    <row r="1436" spans="3:3" x14ac:dyDescent="0.3">
      <c r="C1436" s="235"/>
    </row>
    <row r="1437" spans="3:3" x14ac:dyDescent="0.3">
      <c r="C1437" s="235"/>
    </row>
    <row r="1438" spans="3:3" x14ac:dyDescent="0.3">
      <c r="C1438" s="235"/>
    </row>
    <row r="1439" spans="3:3" x14ac:dyDescent="0.3">
      <c r="C1439" s="235"/>
    </row>
    <row r="1440" spans="3:3" x14ac:dyDescent="0.3">
      <c r="C1440" s="235"/>
    </row>
    <row r="1441" spans="3:3" x14ac:dyDescent="0.3">
      <c r="C1441" s="235"/>
    </row>
    <row r="1442" spans="3:3" x14ac:dyDescent="0.3">
      <c r="C1442" s="235"/>
    </row>
    <row r="1443" spans="3:3" x14ac:dyDescent="0.3">
      <c r="C1443" s="235"/>
    </row>
    <row r="1444" spans="3:3" x14ac:dyDescent="0.3">
      <c r="C1444" s="235"/>
    </row>
    <row r="1445" spans="3:3" x14ac:dyDescent="0.3">
      <c r="C1445" s="235"/>
    </row>
    <row r="1446" spans="3:3" x14ac:dyDescent="0.3">
      <c r="C1446" s="235"/>
    </row>
    <row r="1447" spans="3:3" x14ac:dyDescent="0.3">
      <c r="C1447" s="235"/>
    </row>
    <row r="1448" spans="3:3" x14ac:dyDescent="0.3">
      <c r="C1448" s="235"/>
    </row>
    <row r="1449" spans="3:3" x14ac:dyDescent="0.3">
      <c r="C1449" s="235"/>
    </row>
    <row r="1450" spans="3:3" x14ac:dyDescent="0.3">
      <c r="C1450" s="235"/>
    </row>
    <row r="1451" spans="3:3" x14ac:dyDescent="0.3">
      <c r="C1451" s="235"/>
    </row>
    <row r="1452" spans="3:3" x14ac:dyDescent="0.3">
      <c r="C1452" s="235"/>
    </row>
    <row r="1453" spans="3:3" x14ac:dyDescent="0.3">
      <c r="C1453" s="235"/>
    </row>
    <row r="1454" spans="3:3" x14ac:dyDescent="0.3">
      <c r="C1454" s="235"/>
    </row>
    <row r="1455" spans="3:3" x14ac:dyDescent="0.3">
      <c r="C1455" s="235"/>
    </row>
    <row r="1456" spans="3:3" x14ac:dyDescent="0.3">
      <c r="C1456" s="235"/>
    </row>
    <row r="1457" spans="3:3" x14ac:dyDescent="0.3">
      <c r="C1457" s="235"/>
    </row>
    <row r="1458" spans="3:3" x14ac:dyDescent="0.3">
      <c r="C1458" s="235"/>
    </row>
    <row r="1459" spans="3:3" x14ac:dyDescent="0.3">
      <c r="C1459" s="235"/>
    </row>
    <row r="1460" spans="3:3" x14ac:dyDescent="0.3">
      <c r="C1460" s="235"/>
    </row>
    <row r="1461" spans="3:3" x14ac:dyDescent="0.3">
      <c r="C1461" s="235"/>
    </row>
    <row r="1462" spans="3:3" x14ac:dyDescent="0.3">
      <c r="C1462" s="235"/>
    </row>
    <row r="1463" spans="3:3" x14ac:dyDescent="0.3">
      <c r="C1463" s="235"/>
    </row>
    <row r="1464" spans="3:3" x14ac:dyDescent="0.3">
      <c r="C1464" s="235"/>
    </row>
    <row r="1465" spans="3:3" x14ac:dyDescent="0.3">
      <c r="C1465" s="235"/>
    </row>
    <row r="1466" spans="3:3" x14ac:dyDescent="0.3">
      <c r="C1466" s="235"/>
    </row>
    <row r="1467" spans="3:3" x14ac:dyDescent="0.3">
      <c r="C1467" s="235"/>
    </row>
    <row r="1468" spans="3:3" x14ac:dyDescent="0.3">
      <c r="C1468" s="235"/>
    </row>
    <row r="1469" spans="3:3" x14ac:dyDescent="0.3">
      <c r="C1469" s="235"/>
    </row>
  </sheetData>
  <mergeCells count="3">
    <mergeCell ref="A1:D2"/>
    <mergeCell ref="H10:I10"/>
    <mergeCell ref="J10:K10"/>
  </mergeCells>
  <conditionalFormatting sqref="J12">
    <cfRule type="expression" dxfId="12" priority="1">
      <formula>$J$12&gt;0</formula>
    </cfRule>
  </conditionalFormatting>
  <dataValidations count="1">
    <dataValidation type="list" allowBlank="1" showInputMessage="1" showErrorMessage="1" sqref="C3">
      <formula1>$G$11:$G$22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Botón7_Haga_clic_en">
                <anchor moveWithCells="1" sizeWithCells="1">
                  <from>
                    <xdr:col>4</xdr:col>
                    <xdr:colOff>22860</xdr:colOff>
                    <xdr:row>0</xdr:row>
                    <xdr:rowOff>152400</xdr:rowOff>
                  </from>
                  <to>
                    <xdr:col>4</xdr:col>
                    <xdr:colOff>1059180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Button 8">
              <controlPr defaultSize="0" print="0" autoFill="0" autoPict="0" macro="[0]!Pasar_flujo_cajaF">
                <anchor moveWithCells="1" sizeWithCells="1">
                  <from>
                    <xdr:col>12</xdr:col>
                    <xdr:colOff>68580</xdr:colOff>
                    <xdr:row>9</xdr:row>
                    <xdr:rowOff>137160</xdr:rowOff>
                  </from>
                  <to>
                    <xdr:col>13</xdr:col>
                    <xdr:colOff>746760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6" name="Button 9">
              <controlPr defaultSize="0" print="0" autoFill="0" autoPict="0" macro="[0]!Pasar_flujo_cajaF2">
                <anchor moveWithCells="1" sizeWithCells="1">
                  <from>
                    <xdr:col>12</xdr:col>
                    <xdr:colOff>76200</xdr:colOff>
                    <xdr:row>12</xdr:row>
                    <xdr:rowOff>167640</xdr:rowOff>
                  </from>
                  <to>
                    <xdr:col>13</xdr:col>
                    <xdr:colOff>723900</xdr:colOff>
                    <xdr:row>14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BH1218"/>
  <sheetViews>
    <sheetView workbookViewId="0">
      <selection activeCell="M22" sqref="M22"/>
    </sheetView>
  </sheetViews>
  <sheetFormatPr baseColWidth="10" defaultRowHeight="14.4" x14ac:dyDescent="0.3"/>
  <cols>
    <col min="2" max="2" width="15.109375" bestFit="1" customWidth="1"/>
    <col min="3" max="3" width="14.88671875" customWidth="1"/>
    <col min="4" max="5" width="14.33203125" customWidth="1"/>
    <col min="6" max="6" width="17.33203125" customWidth="1"/>
    <col min="9" max="9" width="20.33203125" customWidth="1"/>
    <col min="10" max="10" width="16.88671875" customWidth="1"/>
  </cols>
  <sheetData>
    <row r="1" spans="1:60" ht="15.6" x14ac:dyDescent="0.3">
      <c r="A1" s="360" t="s">
        <v>163</v>
      </c>
      <c r="B1" s="360"/>
      <c r="C1" s="360"/>
      <c r="D1" s="360"/>
      <c r="E1" s="245"/>
    </row>
    <row r="2" spans="1:60" ht="15.6" x14ac:dyDescent="0.3">
      <c r="A2" s="360"/>
      <c r="B2" s="360"/>
      <c r="C2" s="360"/>
      <c r="D2" s="360"/>
      <c r="E2" s="245"/>
      <c r="H2" s="254"/>
    </row>
    <row r="3" spans="1:60" x14ac:dyDescent="0.3">
      <c r="A3" s="30" t="s">
        <v>47</v>
      </c>
      <c r="B3" s="195">
        <v>750</v>
      </c>
    </row>
    <row r="4" spans="1:60" x14ac:dyDescent="0.3">
      <c r="A4" s="27" t="s">
        <v>140</v>
      </c>
      <c r="B4" s="8">
        <v>12</v>
      </c>
      <c r="C4" s="30" t="s">
        <v>158</v>
      </c>
      <c r="D4" s="270">
        <f>D7/B4</f>
        <v>9</v>
      </c>
    </row>
    <row r="5" spans="1:60" x14ac:dyDescent="0.3">
      <c r="A5" s="27" t="s">
        <v>54</v>
      </c>
      <c r="B5" s="8">
        <v>8</v>
      </c>
      <c r="C5" s="27" t="s">
        <v>153</v>
      </c>
      <c r="D5" s="221">
        <f>(B3/(B5*B4))</f>
        <v>7.8125</v>
      </c>
      <c r="E5" s="205"/>
    </row>
    <row r="6" spans="1:60" x14ac:dyDescent="0.3">
      <c r="A6" s="27" t="s">
        <v>141</v>
      </c>
      <c r="B6" s="8">
        <v>1</v>
      </c>
      <c r="C6" s="27" t="s">
        <v>145</v>
      </c>
      <c r="D6" s="199">
        <f>B7/B4</f>
        <v>6.8333333333333336E-3</v>
      </c>
      <c r="E6" s="257"/>
    </row>
    <row r="7" spans="1:60" x14ac:dyDescent="0.3">
      <c r="A7" s="27" t="s">
        <v>142</v>
      </c>
      <c r="B7" s="255">
        <v>8.2000000000000003E-2</v>
      </c>
      <c r="C7" s="27" t="s">
        <v>144</v>
      </c>
      <c r="D7" s="26">
        <f>(B8+B5)*B4</f>
        <v>108</v>
      </c>
      <c r="E7" s="10"/>
    </row>
    <row r="8" spans="1:60" x14ac:dyDescent="0.3">
      <c r="A8" s="28" t="s">
        <v>28</v>
      </c>
      <c r="B8" s="256">
        <v>1</v>
      </c>
      <c r="C8" s="28" t="s">
        <v>159</v>
      </c>
      <c r="D8" s="29">
        <f>B8*B4</f>
        <v>12</v>
      </c>
      <c r="E8" s="10"/>
      <c r="M8" s="80"/>
      <c r="N8" s="80"/>
      <c r="O8" s="80"/>
      <c r="P8" s="80"/>
      <c r="Q8" s="80"/>
      <c r="R8" s="80"/>
      <c r="S8" s="80"/>
      <c r="T8" s="80"/>
      <c r="U8" s="80"/>
      <c r="V8" s="80"/>
    </row>
    <row r="9" spans="1:60" x14ac:dyDescent="0.3">
      <c r="H9" s="275" t="s">
        <v>162</v>
      </c>
      <c r="I9" s="277">
        <v>254.26</v>
      </c>
      <c r="J9" s="276">
        <v>749.79</v>
      </c>
      <c r="M9" s="205"/>
      <c r="N9" s="205"/>
      <c r="O9" s="205"/>
      <c r="P9" s="205"/>
      <c r="Q9" s="205"/>
      <c r="R9" s="205"/>
      <c r="S9" s="205"/>
      <c r="T9" s="205"/>
      <c r="U9" s="205"/>
      <c r="V9" s="205"/>
      <c r="W9" s="205"/>
      <c r="X9" s="205"/>
      <c r="Y9" s="205"/>
      <c r="Z9" s="205"/>
      <c r="AA9" s="205"/>
      <c r="AB9" s="205"/>
      <c r="AC9" s="205"/>
      <c r="AD9" s="205"/>
      <c r="AE9" s="205"/>
      <c r="AF9" s="205"/>
      <c r="AG9" s="205"/>
      <c r="AH9" s="205"/>
      <c r="AI9" s="205"/>
      <c r="AJ9" s="205"/>
      <c r="AK9" s="205"/>
      <c r="AL9" s="205"/>
      <c r="AM9" s="205"/>
      <c r="AN9" s="205"/>
      <c r="AO9" s="205"/>
      <c r="AP9" s="205"/>
      <c r="AQ9" s="205"/>
      <c r="AR9" s="205"/>
      <c r="AS9" s="205"/>
      <c r="AT9" s="205"/>
      <c r="AU9" s="205"/>
      <c r="AV9" s="205"/>
      <c r="AW9" s="205"/>
      <c r="AX9" s="205"/>
      <c r="AY9" s="205"/>
      <c r="AZ9" s="205"/>
      <c r="BA9" s="205"/>
      <c r="BB9" s="205"/>
      <c r="BC9" s="205"/>
      <c r="BD9" s="205"/>
      <c r="BE9" s="205"/>
      <c r="BF9" s="205"/>
      <c r="BG9" s="205"/>
      <c r="BH9" s="205"/>
    </row>
    <row r="10" spans="1:60" x14ac:dyDescent="0.3">
      <c r="A10" s="30" t="s">
        <v>154</v>
      </c>
      <c r="B10" s="30" t="s">
        <v>151</v>
      </c>
      <c r="C10" s="30" t="s">
        <v>146</v>
      </c>
      <c r="D10" s="30" t="s">
        <v>153</v>
      </c>
      <c r="E10" s="30" t="s">
        <v>160</v>
      </c>
      <c r="F10" s="30" t="s">
        <v>152</v>
      </c>
      <c r="H10" s="244" t="s">
        <v>158</v>
      </c>
      <c r="I10" s="244" t="s">
        <v>157</v>
      </c>
      <c r="J10" s="17" t="s">
        <v>152</v>
      </c>
      <c r="K10" s="27" t="s">
        <v>146</v>
      </c>
      <c r="L10" s="27" t="s">
        <v>203</v>
      </c>
      <c r="O10" s="54" t="s">
        <v>146</v>
      </c>
      <c r="P10" s="321">
        <v>61.5</v>
      </c>
      <c r="Q10" s="342">
        <v>55.11</v>
      </c>
      <c r="R10" s="342">
        <v>44.55</v>
      </c>
      <c r="S10" s="342">
        <v>33.99</v>
      </c>
      <c r="T10" s="342">
        <v>26.3</v>
      </c>
      <c r="U10" s="342">
        <v>18.62</v>
      </c>
      <c r="V10" s="342">
        <v>10.93</v>
      </c>
      <c r="W10" s="342">
        <v>3.27</v>
      </c>
      <c r="X10" s="342">
        <v>0</v>
      </c>
      <c r="Y10" s="343">
        <v>0</v>
      </c>
      <c r="Z10" s="343">
        <v>0</v>
      </c>
      <c r="AA10" s="343">
        <v>0</v>
      </c>
      <c r="AB10" s="343">
        <v>0</v>
      </c>
      <c r="AC10" s="343">
        <v>0</v>
      </c>
      <c r="AD10" s="343">
        <v>0</v>
      </c>
      <c r="AE10" s="343">
        <v>0</v>
      </c>
      <c r="AF10" s="343">
        <v>0</v>
      </c>
      <c r="AG10" s="343">
        <v>0</v>
      </c>
      <c r="AH10" s="343">
        <v>0</v>
      </c>
      <c r="AI10" s="63">
        <v>0</v>
      </c>
    </row>
    <row r="11" spans="1:60" x14ac:dyDescent="0.3">
      <c r="A11" s="200">
        <v>0</v>
      </c>
      <c r="B11" s="253">
        <v>0</v>
      </c>
      <c r="C11" s="253">
        <v>0</v>
      </c>
      <c r="D11" s="253">
        <v>0</v>
      </c>
      <c r="E11" s="253">
        <v>0</v>
      </c>
      <c r="F11" s="248">
        <f>B3</f>
        <v>750</v>
      </c>
      <c r="H11" s="5">
        <v>1</v>
      </c>
      <c r="I11" s="268">
        <v>61.5</v>
      </c>
      <c r="J11" s="271">
        <v>35</v>
      </c>
      <c r="K11" s="243">
        <v>35.875</v>
      </c>
      <c r="O11" s="341" t="s">
        <v>203</v>
      </c>
      <c r="P11" s="50">
        <v>35</v>
      </c>
      <c r="Q11" s="185">
        <v>128.72</v>
      </c>
      <c r="R11" s="185">
        <v>128.72</v>
      </c>
      <c r="S11" s="185">
        <v>93.72</v>
      </c>
      <c r="T11" s="185">
        <v>93.72</v>
      </c>
      <c r="U11" s="185">
        <v>93.72</v>
      </c>
      <c r="V11" s="185">
        <v>93.72</v>
      </c>
      <c r="W11" s="185">
        <v>82.47</v>
      </c>
      <c r="X11" s="185">
        <v>0</v>
      </c>
      <c r="Y11" s="185">
        <v>0</v>
      </c>
      <c r="Z11" s="185">
        <v>0</v>
      </c>
      <c r="AA11" s="185">
        <v>0</v>
      </c>
      <c r="AB11" s="185">
        <v>0</v>
      </c>
      <c r="AC11" s="185">
        <v>0</v>
      </c>
      <c r="AD11" s="185">
        <v>0</v>
      </c>
      <c r="AE11" s="185">
        <v>0</v>
      </c>
      <c r="AF11" s="185">
        <v>0</v>
      </c>
      <c r="AG11" s="185">
        <v>0</v>
      </c>
      <c r="AH11" s="185">
        <v>0</v>
      </c>
      <c r="AI11" s="64">
        <v>0</v>
      </c>
    </row>
    <row r="12" spans="1:60" x14ac:dyDescent="0.3">
      <c r="A12" s="249">
        <v>1</v>
      </c>
      <c r="B12" s="260">
        <v>5.125</v>
      </c>
      <c r="C12" s="247">
        <v>5.125</v>
      </c>
      <c r="D12" s="260">
        <v>0</v>
      </c>
      <c r="E12" s="258"/>
      <c r="F12" s="261">
        <v>750</v>
      </c>
      <c r="H12" s="8">
        <v>2</v>
      </c>
      <c r="I12" s="205">
        <v>55.1066</v>
      </c>
      <c r="J12" s="214">
        <v>128.72</v>
      </c>
      <c r="K12" s="243">
        <v>58.704739583333335</v>
      </c>
    </row>
    <row r="13" spans="1:60" x14ac:dyDescent="0.3">
      <c r="A13" s="249">
        <v>2</v>
      </c>
      <c r="B13" s="260">
        <v>5.125</v>
      </c>
      <c r="C13" s="247">
        <v>5.125</v>
      </c>
      <c r="D13" s="260">
        <v>0</v>
      </c>
      <c r="E13" s="258"/>
      <c r="F13" s="261">
        <v>750</v>
      </c>
      <c r="H13" s="8">
        <v>3</v>
      </c>
      <c r="I13" s="205">
        <v>44.549100000000003</v>
      </c>
      <c r="J13" s="214">
        <v>128.72</v>
      </c>
      <c r="K13" s="243">
        <v>48.948020833333338</v>
      </c>
      <c r="O13" s="147" t="s">
        <v>146</v>
      </c>
      <c r="P13" s="321">
        <v>35.880000000000003</v>
      </c>
      <c r="Q13" s="342">
        <v>58.7</v>
      </c>
      <c r="R13" s="342">
        <v>48.95</v>
      </c>
      <c r="S13" s="342">
        <v>38.39</v>
      </c>
      <c r="T13" s="342">
        <v>29.51</v>
      </c>
      <c r="U13" s="342">
        <v>21.82</v>
      </c>
      <c r="V13" s="342">
        <v>14.13</v>
      </c>
      <c r="W13" s="342">
        <v>6.44</v>
      </c>
      <c r="X13" s="342">
        <v>0.44</v>
      </c>
      <c r="Y13" s="343">
        <v>0</v>
      </c>
      <c r="Z13" s="343">
        <v>0</v>
      </c>
      <c r="AA13" s="343">
        <v>0</v>
      </c>
      <c r="AB13" s="343">
        <v>0</v>
      </c>
      <c r="AC13" s="343">
        <v>0</v>
      </c>
      <c r="AD13" s="343">
        <v>0</v>
      </c>
      <c r="AE13" s="343">
        <v>0</v>
      </c>
      <c r="AF13" s="343">
        <v>0</v>
      </c>
      <c r="AG13" s="343">
        <v>0</v>
      </c>
      <c r="AH13" s="343">
        <v>0</v>
      </c>
      <c r="AI13" s="63">
        <v>0</v>
      </c>
    </row>
    <row r="14" spans="1:60" x14ac:dyDescent="0.3">
      <c r="A14" s="249">
        <v>3</v>
      </c>
      <c r="B14" s="260">
        <v>5.125</v>
      </c>
      <c r="C14" s="247">
        <v>5.125</v>
      </c>
      <c r="D14" s="260">
        <v>0</v>
      </c>
      <c r="E14" s="258"/>
      <c r="F14" s="261">
        <v>750</v>
      </c>
      <c r="H14" s="8">
        <v>4</v>
      </c>
      <c r="I14" s="205">
        <v>33.991700000000002</v>
      </c>
      <c r="J14" s="214">
        <v>93.72</v>
      </c>
      <c r="K14" s="243">
        <v>38.390520833333326</v>
      </c>
      <c r="O14" s="147" t="s">
        <v>203</v>
      </c>
      <c r="P14" s="50">
        <v>0</v>
      </c>
      <c r="Q14" s="185">
        <v>0</v>
      </c>
      <c r="R14" s="185">
        <v>0</v>
      </c>
      <c r="S14" s="185">
        <v>0</v>
      </c>
      <c r="T14" s="185">
        <v>0</v>
      </c>
      <c r="U14" s="185">
        <v>0</v>
      </c>
      <c r="V14" s="185">
        <v>0</v>
      </c>
      <c r="W14" s="185">
        <v>0</v>
      </c>
      <c r="X14" s="185">
        <v>0</v>
      </c>
      <c r="Y14" s="185">
        <v>0</v>
      </c>
      <c r="Z14" s="185">
        <v>0</v>
      </c>
      <c r="AA14" s="185">
        <v>0</v>
      </c>
      <c r="AB14" s="185">
        <v>0</v>
      </c>
      <c r="AC14" s="185">
        <v>0</v>
      </c>
      <c r="AD14" s="185">
        <v>0</v>
      </c>
      <c r="AE14" s="185">
        <v>0</v>
      </c>
      <c r="AF14" s="185">
        <v>0</v>
      </c>
      <c r="AG14" s="185">
        <v>0</v>
      </c>
      <c r="AH14" s="185">
        <v>0</v>
      </c>
      <c r="AI14" s="64">
        <v>0</v>
      </c>
    </row>
    <row r="15" spans="1:60" x14ac:dyDescent="0.3">
      <c r="A15" s="249">
        <v>4</v>
      </c>
      <c r="B15" s="260">
        <v>5.125</v>
      </c>
      <c r="C15" s="247">
        <v>5.125</v>
      </c>
      <c r="D15" s="260">
        <v>0</v>
      </c>
      <c r="E15" s="258"/>
      <c r="F15" s="261">
        <v>750</v>
      </c>
      <c r="H15" s="8">
        <v>5</v>
      </c>
      <c r="I15" s="205">
        <v>26.304099999999998</v>
      </c>
      <c r="J15" s="214">
        <v>93.72</v>
      </c>
      <c r="K15" s="243">
        <v>29.507187500000001</v>
      </c>
    </row>
    <row r="16" spans="1:60" x14ac:dyDescent="0.3">
      <c r="A16" s="249">
        <v>5</v>
      </c>
      <c r="B16" s="260">
        <v>5.125</v>
      </c>
      <c r="C16" s="247">
        <v>5.125</v>
      </c>
      <c r="D16" s="260">
        <v>0</v>
      </c>
      <c r="E16" s="258"/>
      <c r="F16" s="261">
        <v>750</v>
      </c>
      <c r="H16" s="8">
        <v>6</v>
      </c>
      <c r="I16" s="205">
        <v>18.616499999999998</v>
      </c>
      <c r="J16" s="214">
        <v>93.72</v>
      </c>
      <c r="K16" s="243">
        <v>21.819687500000001</v>
      </c>
    </row>
    <row r="17" spans="1:11" x14ac:dyDescent="0.3">
      <c r="A17" s="249">
        <v>6</v>
      </c>
      <c r="B17" s="260">
        <v>5.125</v>
      </c>
      <c r="C17" s="247">
        <v>5.125</v>
      </c>
      <c r="D17" s="260">
        <v>0</v>
      </c>
      <c r="E17" s="258"/>
      <c r="F17" s="261">
        <v>750</v>
      </c>
      <c r="H17" s="8">
        <v>7</v>
      </c>
      <c r="I17" s="205">
        <v>10.929</v>
      </c>
      <c r="J17" s="214">
        <v>93.72</v>
      </c>
      <c r="K17" s="243">
        <v>14.132187500000001</v>
      </c>
    </row>
    <row r="18" spans="1:11" x14ac:dyDescent="0.3">
      <c r="A18" s="249">
        <v>7</v>
      </c>
      <c r="B18" s="260">
        <v>5.125</v>
      </c>
      <c r="C18" s="247">
        <v>5.125</v>
      </c>
      <c r="D18" s="260">
        <v>0</v>
      </c>
      <c r="E18" s="258"/>
      <c r="F18" s="261">
        <v>750</v>
      </c>
      <c r="H18" s="8">
        <v>8</v>
      </c>
      <c r="I18" s="205">
        <v>3.2650999999999999</v>
      </c>
      <c r="J18" s="214">
        <v>82.47</v>
      </c>
      <c r="K18" s="235">
        <v>6.4446875000000006</v>
      </c>
    </row>
    <row r="19" spans="1:11" x14ac:dyDescent="0.3">
      <c r="A19" s="249">
        <v>8</v>
      </c>
      <c r="B19" s="260">
        <v>5.125</v>
      </c>
      <c r="C19" s="247">
        <v>5.125</v>
      </c>
      <c r="D19" s="260">
        <v>0</v>
      </c>
      <c r="E19" s="258"/>
      <c r="F19" s="261">
        <v>750</v>
      </c>
      <c r="H19" s="8">
        <v>9</v>
      </c>
      <c r="I19" s="205">
        <v>0</v>
      </c>
      <c r="J19" s="214">
        <v>0</v>
      </c>
      <c r="K19" s="235">
        <v>0.43989583333333299</v>
      </c>
    </row>
    <row r="20" spans="1:11" x14ac:dyDescent="0.3">
      <c r="A20" s="249">
        <v>9</v>
      </c>
      <c r="B20" s="260">
        <v>5.125</v>
      </c>
      <c r="C20" s="247">
        <v>5.125</v>
      </c>
      <c r="D20" s="260">
        <v>0</v>
      </c>
      <c r="E20" s="258"/>
      <c r="F20" s="261">
        <v>750</v>
      </c>
      <c r="H20" s="8"/>
      <c r="I20" s="205"/>
      <c r="J20" s="214"/>
    </row>
    <row r="21" spans="1:11" x14ac:dyDescent="0.3">
      <c r="A21" s="249">
        <v>10</v>
      </c>
      <c r="B21" s="260">
        <v>5.125</v>
      </c>
      <c r="C21" s="247">
        <v>5.125</v>
      </c>
      <c r="D21" s="260">
        <v>0</v>
      </c>
      <c r="E21" s="258"/>
      <c r="F21" s="261">
        <v>750</v>
      </c>
      <c r="H21" s="8"/>
      <c r="I21" s="205"/>
      <c r="J21" s="214"/>
    </row>
    <row r="22" spans="1:11" x14ac:dyDescent="0.3">
      <c r="A22" s="249">
        <v>11</v>
      </c>
      <c r="B22" s="260">
        <v>5.125</v>
      </c>
      <c r="C22" s="247">
        <v>5.125</v>
      </c>
      <c r="D22" s="260">
        <v>0</v>
      </c>
      <c r="E22" s="258"/>
      <c r="F22" s="261">
        <v>750</v>
      </c>
      <c r="H22" s="8"/>
      <c r="I22" s="205"/>
      <c r="J22" s="214"/>
    </row>
    <row r="23" spans="1:11" x14ac:dyDescent="0.3">
      <c r="A23" s="249">
        <v>12</v>
      </c>
      <c r="B23" s="260">
        <v>5.125</v>
      </c>
      <c r="C23" s="247">
        <v>5.125</v>
      </c>
      <c r="D23" s="260">
        <v>0</v>
      </c>
      <c r="E23" s="258">
        <v>35</v>
      </c>
      <c r="F23" s="261">
        <v>715</v>
      </c>
      <c r="H23" s="8"/>
      <c r="I23" s="205"/>
      <c r="J23" s="214"/>
    </row>
    <row r="24" spans="1:11" x14ac:dyDescent="0.3">
      <c r="A24" s="249">
        <v>13</v>
      </c>
      <c r="B24" s="260">
        <v>12.7</v>
      </c>
      <c r="C24" s="247">
        <v>4.8858333333333333</v>
      </c>
      <c r="D24" s="260">
        <v>7.81</v>
      </c>
      <c r="E24" s="258"/>
      <c r="F24" s="261">
        <v>707.19</v>
      </c>
      <c r="H24" s="8"/>
      <c r="I24" s="205"/>
      <c r="J24" s="214"/>
    </row>
    <row r="25" spans="1:11" x14ac:dyDescent="0.3">
      <c r="A25" s="249">
        <v>14</v>
      </c>
      <c r="B25" s="260">
        <v>12.64</v>
      </c>
      <c r="C25" s="247">
        <v>4.8324479166666672</v>
      </c>
      <c r="D25" s="260">
        <v>7.81</v>
      </c>
      <c r="E25" s="258"/>
      <c r="F25" s="261">
        <v>699.38</v>
      </c>
      <c r="H25" s="8"/>
      <c r="I25" s="205"/>
      <c r="J25" s="214"/>
    </row>
    <row r="26" spans="1:11" x14ac:dyDescent="0.3">
      <c r="A26" s="249">
        <v>15</v>
      </c>
      <c r="B26" s="260">
        <v>12.59</v>
      </c>
      <c r="C26" s="247">
        <v>4.7790625000000002</v>
      </c>
      <c r="D26" s="260">
        <v>7.81</v>
      </c>
      <c r="E26" s="258"/>
      <c r="F26" s="261">
        <v>691.56</v>
      </c>
      <c r="H26" s="8"/>
      <c r="I26" s="205"/>
      <c r="J26" s="214"/>
    </row>
    <row r="27" spans="1:11" x14ac:dyDescent="0.3">
      <c r="A27" s="249">
        <v>16</v>
      </c>
      <c r="B27" s="260">
        <v>12.54</v>
      </c>
      <c r="C27" s="247">
        <v>4.7256770833333333</v>
      </c>
      <c r="D27" s="260">
        <v>7.81</v>
      </c>
      <c r="E27" s="258"/>
      <c r="F27" s="261">
        <v>683.75</v>
      </c>
      <c r="H27" s="8"/>
      <c r="I27" s="205"/>
      <c r="J27" s="214"/>
    </row>
    <row r="28" spans="1:11" x14ac:dyDescent="0.3">
      <c r="A28" s="249">
        <v>17</v>
      </c>
      <c r="B28" s="260">
        <v>12.48</v>
      </c>
      <c r="C28" s="247">
        <v>4.6722916666666672</v>
      </c>
      <c r="D28" s="260">
        <v>7.81</v>
      </c>
      <c r="E28" s="258"/>
      <c r="F28" s="261">
        <v>675.94</v>
      </c>
      <c r="H28" s="8"/>
      <c r="I28" s="205"/>
      <c r="J28" s="214"/>
    </row>
    <row r="29" spans="1:11" x14ac:dyDescent="0.3">
      <c r="A29" s="249">
        <v>18</v>
      </c>
      <c r="B29" s="260">
        <v>12.43</v>
      </c>
      <c r="C29" s="247">
        <v>4.6189062500000002</v>
      </c>
      <c r="D29" s="260">
        <v>7.81</v>
      </c>
      <c r="E29" s="258"/>
      <c r="F29" s="261">
        <v>668.13</v>
      </c>
      <c r="H29" s="8"/>
      <c r="I29" s="205"/>
      <c r="J29" s="201"/>
    </row>
    <row r="30" spans="1:11" x14ac:dyDescent="0.3">
      <c r="A30" s="249">
        <v>19</v>
      </c>
      <c r="B30" s="260">
        <v>12.38</v>
      </c>
      <c r="C30" s="247">
        <v>4.5655208333333333</v>
      </c>
      <c r="D30" s="260">
        <v>7.81</v>
      </c>
      <c r="E30" s="258"/>
      <c r="F30" s="261">
        <v>660.31</v>
      </c>
      <c r="H30" s="8"/>
      <c r="I30" s="205"/>
      <c r="J30" s="201"/>
    </row>
    <row r="31" spans="1:11" x14ac:dyDescent="0.3">
      <c r="A31" s="249">
        <v>20</v>
      </c>
      <c r="B31" s="260">
        <v>12.32</v>
      </c>
      <c r="C31" s="247">
        <v>4.5121354166666672</v>
      </c>
      <c r="D31" s="260">
        <v>7.81</v>
      </c>
      <c r="E31" s="258"/>
      <c r="F31" s="261">
        <v>652.5</v>
      </c>
      <c r="H31" s="8"/>
      <c r="I31" s="205"/>
      <c r="J31" s="201"/>
    </row>
    <row r="32" spans="1:11" x14ac:dyDescent="0.3">
      <c r="A32" s="249">
        <v>21</v>
      </c>
      <c r="B32" s="260">
        <v>12.27</v>
      </c>
      <c r="C32" s="247">
        <v>4.4587500000000002</v>
      </c>
      <c r="D32" s="260">
        <v>7.81</v>
      </c>
      <c r="E32" s="258"/>
      <c r="F32" s="261">
        <v>644.69000000000005</v>
      </c>
      <c r="H32" s="8"/>
      <c r="I32" s="205"/>
      <c r="J32" s="201"/>
    </row>
    <row r="33" spans="1:10" x14ac:dyDescent="0.3">
      <c r="A33" s="249">
        <v>22</v>
      </c>
      <c r="B33" s="260">
        <v>12.22</v>
      </c>
      <c r="C33" s="247">
        <v>4.4053645833333333</v>
      </c>
      <c r="D33" s="260">
        <v>7.81</v>
      </c>
      <c r="E33" s="258"/>
      <c r="F33" s="261">
        <v>636.88</v>
      </c>
      <c r="H33" s="8"/>
      <c r="I33" s="205"/>
      <c r="J33" s="201"/>
    </row>
    <row r="34" spans="1:10" x14ac:dyDescent="0.3">
      <c r="A34" s="249">
        <v>23</v>
      </c>
      <c r="B34" s="260">
        <v>12.16</v>
      </c>
      <c r="C34" s="247">
        <v>4.3519791666666672</v>
      </c>
      <c r="D34" s="260">
        <v>7.81</v>
      </c>
      <c r="E34" s="258"/>
      <c r="F34" s="261">
        <v>629.05999999999995</v>
      </c>
      <c r="H34" s="8"/>
      <c r="I34" s="205"/>
      <c r="J34" s="201"/>
    </row>
    <row r="35" spans="1:10" x14ac:dyDescent="0.3">
      <c r="A35" s="249">
        <v>24</v>
      </c>
      <c r="B35" s="260">
        <v>12.11</v>
      </c>
      <c r="C35" s="247">
        <v>4.2985937500000002</v>
      </c>
      <c r="D35" s="260">
        <v>7.81</v>
      </c>
      <c r="E35" s="258">
        <v>35</v>
      </c>
      <c r="F35" s="261">
        <v>586.25</v>
      </c>
      <c r="H35" s="8"/>
      <c r="I35" s="205"/>
      <c r="J35" s="201"/>
    </row>
    <row r="36" spans="1:10" x14ac:dyDescent="0.3">
      <c r="A36" s="249">
        <v>25</v>
      </c>
      <c r="B36" s="260">
        <v>11.82</v>
      </c>
      <c r="C36" s="247">
        <v>4.0060416666666665</v>
      </c>
      <c r="D36" s="260">
        <v>7.81</v>
      </c>
      <c r="E36" s="258"/>
      <c r="F36" s="261">
        <v>578.44000000000005</v>
      </c>
      <c r="H36" s="8"/>
      <c r="I36" s="205"/>
      <c r="J36" s="201"/>
    </row>
    <row r="37" spans="1:10" x14ac:dyDescent="0.3">
      <c r="A37" s="249">
        <v>26</v>
      </c>
      <c r="B37" s="260">
        <v>11.77</v>
      </c>
      <c r="C37" s="247">
        <v>3.95265625</v>
      </c>
      <c r="D37" s="260">
        <v>7.81</v>
      </c>
      <c r="E37" s="258"/>
      <c r="F37" s="261">
        <v>570.63</v>
      </c>
      <c r="H37" s="8"/>
      <c r="I37" s="205"/>
      <c r="J37" s="201"/>
    </row>
    <row r="38" spans="1:10" x14ac:dyDescent="0.3">
      <c r="A38" s="249">
        <v>27</v>
      </c>
      <c r="B38" s="260">
        <v>11.71</v>
      </c>
      <c r="C38" s="247">
        <v>3.8992708333333335</v>
      </c>
      <c r="D38" s="260">
        <v>7.81</v>
      </c>
      <c r="E38" s="258"/>
      <c r="F38" s="261">
        <v>562.80999999999995</v>
      </c>
      <c r="H38" s="8"/>
      <c r="I38" s="205"/>
      <c r="J38" s="201"/>
    </row>
    <row r="39" spans="1:10" x14ac:dyDescent="0.3">
      <c r="A39" s="249">
        <v>28</v>
      </c>
      <c r="B39" s="260">
        <v>11.66</v>
      </c>
      <c r="C39" s="247">
        <v>3.8458854166666669</v>
      </c>
      <c r="D39" s="260">
        <v>7.81</v>
      </c>
      <c r="E39" s="258"/>
      <c r="F39" s="261">
        <v>555</v>
      </c>
      <c r="H39" s="8"/>
      <c r="I39" s="205"/>
      <c r="J39" s="201"/>
    </row>
    <row r="40" spans="1:10" x14ac:dyDescent="0.3">
      <c r="A40" s="249">
        <v>29</v>
      </c>
      <c r="B40" s="260">
        <v>11.61</v>
      </c>
      <c r="C40" s="247">
        <v>3.7925</v>
      </c>
      <c r="D40" s="260">
        <v>7.81</v>
      </c>
      <c r="E40" s="258"/>
      <c r="F40" s="261">
        <v>547.19000000000005</v>
      </c>
      <c r="H40" s="8"/>
      <c r="I40" s="205"/>
      <c r="J40" s="201"/>
    </row>
    <row r="41" spans="1:10" x14ac:dyDescent="0.3">
      <c r="A41" s="249">
        <v>30</v>
      </c>
      <c r="B41" s="260">
        <v>11.55</v>
      </c>
      <c r="C41" s="247">
        <v>3.7391145833333335</v>
      </c>
      <c r="D41" s="260">
        <v>7.81</v>
      </c>
      <c r="E41" s="258"/>
      <c r="F41" s="261">
        <v>539.38</v>
      </c>
      <c r="H41" s="8"/>
      <c r="I41" s="205"/>
      <c r="J41" s="201"/>
    </row>
    <row r="42" spans="1:10" x14ac:dyDescent="0.3">
      <c r="A42" s="249">
        <v>31</v>
      </c>
      <c r="B42" s="260">
        <v>11.5</v>
      </c>
      <c r="C42" s="247">
        <v>3.6857291666666669</v>
      </c>
      <c r="D42" s="260">
        <v>7.81</v>
      </c>
      <c r="E42" s="258"/>
      <c r="F42" s="261">
        <v>531.55999999999995</v>
      </c>
      <c r="H42" s="8"/>
      <c r="I42" s="205"/>
      <c r="J42" s="201"/>
    </row>
    <row r="43" spans="1:10" x14ac:dyDescent="0.3">
      <c r="A43" s="249">
        <v>32</v>
      </c>
      <c r="B43" s="260">
        <v>11.44</v>
      </c>
      <c r="C43" s="247">
        <v>3.63234375</v>
      </c>
      <c r="D43" s="260">
        <v>7.81</v>
      </c>
      <c r="E43" s="258"/>
      <c r="F43" s="261">
        <v>523.75</v>
      </c>
      <c r="H43" s="8"/>
      <c r="I43" s="205"/>
      <c r="J43" s="201"/>
    </row>
    <row r="44" spans="1:10" x14ac:dyDescent="0.3">
      <c r="A44" s="249">
        <v>33</v>
      </c>
      <c r="B44" s="260">
        <v>11.39</v>
      </c>
      <c r="C44" s="247">
        <v>3.5789583333333335</v>
      </c>
      <c r="D44" s="260">
        <v>7.81</v>
      </c>
      <c r="E44" s="258"/>
      <c r="F44" s="261">
        <v>515.94000000000005</v>
      </c>
      <c r="H44" s="8"/>
      <c r="I44" s="205"/>
      <c r="J44" s="201"/>
    </row>
    <row r="45" spans="1:10" x14ac:dyDescent="0.3">
      <c r="A45" s="249">
        <v>34</v>
      </c>
      <c r="B45" s="260">
        <v>11.34</v>
      </c>
      <c r="C45" s="247">
        <v>3.5255729166666669</v>
      </c>
      <c r="D45" s="260">
        <v>7.81</v>
      </c>
      <c r="E45" s="258"/>
      <c r="F45" s="261">
        <v>508.13</v>
      </c>
      <c r="H45" s="8"/>
      <c r="I45" s="205"/>
      <c r="J45" s="201"/>
    </row>
    <row r="46" spans="1:10" x14ac:dyDescent="0.3">
      <c r="A46" s="249">
        <v>35</v>
      </c>
      <c r="B46" s="260">
        <v>11.28</v>
      </c>
      <c r="C46" s="247">
        <v>3.4721875</v>
      </c>
      <c r="D46" s="260">
        <v>7.81</v>
      </c>
      <c r="E46" s="258"/>
      <c r="F46" s="261">
        <v>500.31</v>
      </c>
      <c r="H46" s="8"/>
      <c r="I46" s="205"/>
      <c r="J46" s="201"/>
    </row>
    <row r="47" spans="1:10" x14ac:dyDescent="0.3">
      <c r="A47" s="249">
        <v>36</v>
      </c>
      <c r="B47" s="260">
        <v>11.23</v>
      </c>
      <c r="C47" s="247">
        <v>3.4188020833333335</v>
      </c>
      <c r="D47" s="260">
        <v>7.81</v>
      </c>
      <c r="E47" s="258">
        <v>35</v>
      </c>
      <c r="F47" s="261">
        <v>457.5</v>
      </c>
      <c r="H47" s="8"/>
      <c r="I47" s="205"/>
      <c r="J47" s="201"/>
    </row>
    <row r="48" spans="1:10" x14ac:dyDescent="0.3">
      <c r="A48" s="249">
        <v>37</v>
      </c>
      <c r="B48" s="260">
        <v>10.94</v>
      </c>
      <c r="C48" s="247">
        <v>3.1262500000000002</v>
      </c>
      <c r="D48" s="260">
        <v>7.81</v>
      </c>
      <c r="E48" s="258"/>
      <c r="F48" s="261">
        <v>449.69</v>
      </c>
      <c r="H48" s="8"/>
      <c r="I48" s="205"/>
      <c r="J48" s="201"/>
    </row>
    <row r="49" spans="1:10" x14ac:dyDescent="0.3">
      <c r="A49" s="249">
        <v>38</v>
      </c>
      <c r="B49" s="260">
        <v>10.89</v>
      </c>
      <c r="C49" s="247">
        <v>3.0728645833333337</v>
      </c>
      <c r="D49" s="260">
        <v>7.81</v>
      </c>
      <c r="E49" s="258"/>
      <c r="F49" s="261">
        <v>441.88</v>
      </c>
      <c r="H49" s="8"/>
      <c r="I49" s="205"/>
      <c r="J49" s="201"/>
    </row>
    <row r="50" spans="1:10" x14ac:dyDescent="0.3">
      <c r="A50" s="249">
        <v>39</v>
      </c>
      <c r="B50" s="260">
        <v>10.83</v>
      </c>
      <c r="C50" s="247">
        <v>3.0194791666666667</v>
      </c>
      <c r="D50" s="260">
        <v>7.81</v>
      </c>
      <c r="E50" s="258"/>
      <c r="F50" s="261">
        <v>434.06</v>
      </c>
      <c r="H50" s="8"/>
      <c r="I50" s="205"/>
      <c r="J50" s="201"/>
    </row>
    <row r="51" spans="1:10" x14ac:dyDescent="0.3">
      <c r="A51" s="249">
        <v>40</v>
      </c>
      <c r="B51" s="260">
        <v>10.78</v>
      </c>
      <c r="C51" s="247">
        <v>2.9660937500000002</v>
      </c>
      <c r="D51" s="260">
        <v>7.81</v>
      </c>
      <c r="E51" s="258"/>
      <c r="F51" s="261">
        <v>426.25</v>
      </c>
      <c r="H51" s="8"/>
      <c r="I51" s="205"/>
      <c r="J51" s="201"/>
    </row>
    <row r="52" spans="1:10" x14ac:dyDescent="0.3">
      <c r="A52" s="249">
        <v>41</v>
      </c>
      <c r="B52" s="260">
        <v>10.73</v>
      </c>
      <c r="C52" s="247">
        <v>2.9127083333333337</v>
      </c>
      <c r="D52" s="260">
        <v>7.81</v>
      </c>
      <c r="E52" s="258"/>
      <c r="F52" s="261">
        <v>418.44</v>
      </c>
      <c r="H52" s="8"/>
      <c r="I52" s="205"/>
      <c r="J52" s="201"/>
    </row>
    <row r="53" spans="1:10" x14ac:dyDescent="0.3">
      <c r="A53" s="249">
        <v>42</v>
      </c>
      <c r="B53" s="260">
        <v>10.67</v>
      </c>
      <c r="C53" s="247">
        <v>2.8593229166666667</v>
      </c>
      <c r="D53" s="260">
        <v>7.81</v>
      </c>
      <c r="E53" s="258"/>
      <c r="F53" s="261">
        <v>410.63</v>
      </c>
      <c r="G53" s="229"/>
      <c r="H53" s="8"/>
      <c r="I53" s="205"/>
      <c r="J53" s="201"/>
    </row>
    <row r="54" spans="1:10" x14ac:dyDescent="0.3">
      <c r="A54" s="249">
        <v>43</v>
      </c>
      <c r="B54" s="260">
        <v>10.62</v>
      </c>
      <c r="C54" s="247">
        <v>2.8059375000000002</v>
      </c>
      <c r="D54" s="260">
        <v>7.81</v>
      </c>
      <c r="E54" s="258"/>
      <c r="F54" s="261">
        <v>402.81</v>
      </c>
      <c r="G54" s="229"/>
      <c r="H54" s="8"/>
      <c r="I54" s="205"/>
      <c r="J54" s="201"/>
    </row>
    <row r="55" spans="1:10" x14ac:dyDescent="0.3">
      <c r="A55" s="249">
        <v>44</v>
      </c>
      <c r="B55" s="260">
        <v>10.57</v>
      </c>
      <c r="C55" s="247">
        <v>2.7525520833333332</v>
      </c>
      <c r="D55" s="260">
        <v>7.81</v>
      </c>
      <c r="E55" s="258"/>
      <c r="F55" s="261">
        <v>395</v>
      </c>
      <c r="H55" s="8"/>
      <c r="I55" s="205"/>
      <c r="J55" s="201"/>
    </row>
    <row r="56" spans="1:10" x14ac:dyDescent="0.3">
      <c r="A56" s="249">
        <v>45</v>
      </c>
      <c r="B56" s="260">
        <v>10.51</v>
      </c>
      <c r="C56" s="247">
        <v>2.6991666666666667</v>
      </c>
      <c r="D56" s="260">
        <v>7.81</v>
      </c>
      <c r="E56" s="258"/>
      <c r="F56" s="261">
        <v>387.19</v>
      </c>
      <c r="H56" s="8"/>
      <c r="I56" s="205"/>
      <c r="J56" s="201"/>
    </row>
    <row r="57" spans="1:10" x14ac:dyDescent="0.3">
      <c r="A57" s="249">
        <v>46</v>
      </c>
      <c r="B57" s="260">
        <v>10.46</v>
      </c>
      <c r="C57" s="247">
        <v>2.6457812500000002</v>
      </c>
      <c r="D57" s="260">
        <v>7.81</v>
      </c>
      <c r="E57" s="258"/>
      <c r="F57" s="261">
        <v>379.38</v>
      </c>
      <c r="H57" s="8"/>
      <c r="I57" s="205"/>
      <c r="J57" s="201"/>
    </row>
    <row r="58" spans="1:10" x14ac:dyDescent="0.3">
      <c r="A58" s="249">
        <v>47</v>
      </c>
      <c r="B58" s="260">
        <v>10.4</v>
      </c>
      <c r="C58" s="247">
        <v>2.5923958333333332</v>
      </c>
      <c r="D58" s="260">
        <v>7.81</v>
      </c>
      <c r="E58" s="258"/>
      <c r="F58" s="261">
        <v>371.56</v>
      </c>
      <c r="H58" s="8"/>
      <c r="I58" s="205"/>
      <c r="J58" s="201"/>
    </row>
    <row r="59" spans="1:10" x14ac:dyDescent="0.3">
      <c r="A59" s="249">
        <v>48</v>
      </c>
      <c r="B59" s="260">
        <v>10.35</v>
      </c>
      <c r="C59" s="247">
        <v>2.5390104166666667</v>
      </c>
      <c r="D59" s="260">
        <v>7.81</v>
      </c>
      <c r="E59" s="258"/>
      <c r="F59" s="261">
        <v>363.75</v>
      </c>
      <c r="H59" s="8"/>
      <c r="I59" s="205"/>
      <c r="J59" s="201"/>
    </row>
    <row r="60" spans="1:10" x14ac:dyDescent="0.3">
      <c r="A60" s="249">
        <v>49</v>
      </c>
      <c r="B60" s="260">
        <v>10.3</v>
      </c>
      <c r="C60" s="247">
        <v>2.4856250000000002</v>
      </c>
      <c r="D60" s="260">
        <v>7.81</v>
      </c>
      <c r="E60" s="258"/>
      <c r="F60" s="261">
        <v>355.94</v>
      </c>
      <c r="H60" s="8"/>
      <c r="I60" s="205"/>
      <c r="J60" s="201"/>
    </row>
    <row r="61" spans="1:10" x14ac:dyDescent="0.3">
      <c r="A61" s="249">
        <v>50</v>
      </c>
      <c r="B61" s="260">
        <v>10.24</v>
      </c>
      <c r="C61" s="247">
        <v>2.4322395833333332</v>
      </c>
      <c r="D61" s="260">
        <v>7.81</v>
      </c>
      <c r="E61" s="258"/>
      <c r="F61" s="261">
        <v>348.13</v>
      </c>
      <c r="H61" s="8"/>
      <c r="I61" s="205"/>
      <c r="J61" s="201"/>
    </row>
    <row r="62" spans="1:10" x14ac:dyDescent="0.3">
      <c r="A62" s="249">
        <v>51</v>
      </c>
      <c r="B62" s="260">
        <v>10.19</v>
      </c>
      <c r="C62" s="247">
        <v>2.3788541666666667</v>
      </c>
      <c r="D62" s="260">
        <v>7.81</v>
      </c>
      <c r="E62" s="258"/>
      <c r="F62" s="261">
        <v>340.31</v>
      </c>
      <c r="H62" s="8"/>
      <c r="I62" s="205"/>
      <c r="J62" s="201"/>
    </row>
    <row r="63" spans="1:10" x14ac:dyDescent="0.3">
      <c r="A63" s="249">
        <v>52</v>
      </c>
      <c r="B63" s="260">
        <v>10.14</v>
      </c>
      <c r="C63" s="247">
        <v>2.3254687500000002</v>
      </c>
      <c r="D63" s="260">
        <v>7.81</v>
      </c>
      <c r="E63" s="258"/>
      <c r="F63" s="261">
        <v>332.5</v>
      </c>
      <c r="H63" s="8"/>
      <c r="I63" s="205"/>
      <c r="J63" s="201"/>
    </row>
    <row r="64" spans="1:10" x14ac:dyDescent="0.3">
      <c r="A64" s="249">
        <v>53</v>
      </c>
      <c r="B64" s="260">
        <v>10.08</v>
      </c>
      <c r="C64" s="247">
        <v>2.2720833333333332</v>
      </c>
      <c r="D64" s="260">
        <v>7.81</v>
      </c>
      <c r="E64" s="258"/>
      <c r="F64" s="261">
        <v>324.69</v>
      </c>
      <c r="H64" s="8"/>
      <c r="I64" s="205"/>
      <c r="J64" s="201"/>
    </row>
    <row r="65" spans="1:10" x14ac:dyDescent="0.3">
      <c r="A65" s="249">
        <v>54</v>
      </c>
      <c r="B65" s="260">
        <v>10.029999999999999</v>
      </c>
      <c r="C65" s="247">
        <v>2.2186979166666667</v>
      </c>
      <c r="D65" s="260">
        <v>7.81</v>
      </c>
      <c r="E65" s="258"/>
      <c r="F65" s="261">
        <v>316.88</v>
      </c>
      <c r="H65" s="8"/>
      <c r="I65" s="205"/>
      <c r="J65" s="201"/>
    </row>
    <row r="66" spans="1:10" x14ac:dyDescent="0.3">
      <c r="A66" s="249">
        <v>55</v>
      </c>
      <c r="B66" s="260">
        <v>9.98</v>
      </c>
      <c r="C66" s="247">
        <v>2.1653125000000002</v>
      </c>
      <c r="D66" s="260">
        <v>7.81</v>
      </c>
      <c r="E66" s="258"/>
      <c r="F66" s="261">
        <v>309.06</v>
      </c>
      <c r="H66" s="8"/>
      <c r="I66" s="205"/>
      <c r="J66" s="201"/>
    </row>
    <row r="67" spans="1:10" x14ac:dyDescent="0.3">
      <c r="A67" s="249">
        <v>56</v>
      </c>
      <c r="B67" s="260">
        <v>9.92</v>
      </c>
      <c r="C67" s="247">
        <v>2.1119270833333332</v>
      </c>
      <c r="D67" s="260">
        <v>7.81</v>
      </c>
      <c r="E67" s="258"/>
      <c r="F67" s="261">
        <v>301.25</v>
      </c>
      <c r="H67" s="8"/>
      <c r="I67" s="205"/>
      <c r="J67" s="201"/>
    </row>
    <row r="68" spans="1:10" x14ac:dyDescent="0.3">
      <c r="A68" s="249">
        <v>57</v>
      </c>
      <c r="B68" s="260">
        <v>9.8699999999999992</v>
      </c>
      <c r="C68" s="247">
        <v>2.0585416666666667</v>
      </c>
      <c r="D68" s="260">
        <v>7.81</v>
      </c>
      <c r="E68" s="258"/>
      <c r="F68" s="261">
        <v>293.44</v>
      </c>
      <c r="H68" s="8"/>
      <c r="I68" s="205"/>
      <c r="J68" s="201"/>
    </row>
    <row r="69" spans="1:10" x14ac:dyDescent="0.3">
      <c r="A69" s="249">
        <v>58</v>
      </c>
      <c r="B69" s="260">
        <v>9.82</v>
      </c>
      <c r="C69" s="247">
        <v>2.0051562500000002</v>
      </c>
      <c r="D69" s="260">
        <v>7.81</v>
      </c>
      <c r="E69" s="258"/>
      <c r="F69" s="261">
        <v>285.63</v>
      </c>
      <c r="H69" s="8"/>
      <c r="I69" s="205"/>
      <c r="J69" s="201"/>
    </row>
    <row r="70" spans="1:10" x14ac:dyDescent="0.3">
      <c r="A70" s="249">
        <v>59</v>
      </c>
      <c r="B70" s="260">
        <v>9.76</v>
      </c>
      <c r="C70" s="247">
        <v>1.9517708333333335</v>
      </c>
      <c r="D70" s="260">
        <v>7.81</v>
      </c>
      <c r="E70" s="258"/>
      <c r="F70" s="261">
        <v>277.81</v>
      </c>
      <c r="H70" s="8"/>
      <c r="I70" s="205"/>
      <c r="J70" s="201"/>
    </row>
    <row r="71" spans="1:10" x14ac:dyDescent="0.3">
      <c r="A71" s="249">
        <v>60</v>
      </c>
      <c r="B71" s="260">
        <v>9.7100000000000009</v>
      </c>
      <c r="C71" s="247">
        <v>1.8983854166666667</v>
      </c>
      <c r="D71" s="260">
        <v>7.81</v>
      </c>
      <c r="E71" s="258"/>
      <c r="F71" s="261">
        <v>270</v>
      </c>
      <c r="H71" s="8"/>
      <c r="I71" s="205"/>
      <c r="J71" s="201"/>
    </row>
    <row r="72" spans="1:10" x14ac:dyDescent="0.3">
      <c r="A72" s="249">
        <v>61</v>
      </c>
      <c r="B72" s="260">
        <v>9.66</v>
      </c>
      <c r="C72" s="247">
        <v>1.845</v>
      </c>
      <c r="D72" s="260">
        <v>7.81</v>
      </c>
      <c r="E72" s="258"/>
      <c r="F72" s="261">
        <v>262.19</v>
      </c>
      <c r="H72" s="8"/>
      <c r="I72" s="205"/>
      <c r="J72" s="201"/>
    </row>
    <row r="73" spans="1:10" x14ac:dyDescent="0.3">
      <c r="A73" s="249">
        <v>62</v>
      </c>
      <c r="B73" s="260">
        <v>9.6</v>
      </c>
      <c r="C73" s="247">
        <v>1.7916145833333335</v>
      </c>
      <c r="D73" s="260">
        <v>7.81</v>
      </c>
      <c r="E73" s="258"/>
      <c r="F73" s="261">
        <v>254.38</v>
      </c>
      <c r="H73" s="8"/>
      <c r="I73" s="205"/>
      <c r="J73" s="201"/>
    </row>
    <row r="74" spans="1:10" x14ac:dyDescent="0.3">
      <c r="A74" s="249">
        <v>63</v>
      </c>
      <c r="B74" s="260">
        <v>9.5500000000000007</v>
      </c>
      <c r="C74" s="247">
        <v>1.7382291666666667</v>
      </c>
      <c r="D74" s="260">
        <v>7.81</v>
      </c>
      <c r="E74" s="258"/>
      <c r="F74" s="261">
        <v>246.56</v>
      </c>
      <c r="H74" s="8"/>
      <c r="I74" s="205"/>
      <c r="J74" s="201"/>
    </row>
    <row r="75" spans="1:10" x14ac:dyDescent="0.3">
      <c r="A75" s="249">
        <v>64</v>
      </c>
      <c r="B75" s="260">
        <v>9.5</v>
      </c>
      <c r="C75" s="247">
        <v>1.68484375</v>
      </c>
      <c r="D75" s="260">
        <v>7.81</v>
      </c>
      <c r="E75" s="258"/>
      <c r="F75" s="261">
        <v>238.75</v>
      </c>
      <c r="H75" s="8"/>
      <c r="I75" s="205"/>
      <c r="J75" s="201"/>
    </row>
    <row r="76" spans="1:10" x14ac:dyDescent="0.3">
      <c r="A76" s="249">
        <v>65</v>
      </c>
      <c r="B76" s="260">
        <v>9.44</v>
      </c>
      <c r="C76" s="247">
        <v>1.6314583333333335</v>
      </c>
      <c r="D76" s="260">
        <v>7.81</v>
      </c>
      <c r="E76" s="258"/>
      <c r="F76" s="261">
        <v>230.94</v>
      </c>
      <c r="H76" s="8"/>
      <c r="I76" s="205"/>
      <c r="J76" s="201"/>
    </row>
    <row r="77" spans="1:10" x14ac:dyDescent="0.3">
      <c r="A77" s="249">
        <v>66</v>
      </c>
      <c r="B77" s="260">
        <v>9.39</v>
      </c>
      <c r="C77" s="247">
        <v>1.5780729166666667</v>
      </c>
      <c r="D77" s="260">
        <v>7.81</v>
      </c>
      <c r="E77" s="258"/>
      <c r="F77" s="261">
        <v>223.13</v>
      </c>
      <c r="H77" s="8"/>
      <c r="I77" s="205"/>
      <c r="J77" s="201"/>
    </row>
    <row r="78" spans="1:10" x14ac:dyDescent="0.3">
      <c r="A78" s="249">
        <v>67</v>
      </c>
      <c r="B78" s="260">
        <v>9.34</v>
      </c>
      <c r="C78" s="247">
        <v>1.5246875</v>
      </c>
      <c r="D78" s="260">
        <v>7.81</v>
      </c>
      <c r="E78" s="258"/>
      <c r="F78" s="261">
        <v>215.31</v>
      </c>
      <c r="H78" s="8"/>
      <c r="I78" s="205"/>
      <c r="J78" s="201"/>
    </row>
    <row r="79" spans="1:10" x14ac:dyDescent="0.3">
      <c r="A79" s="249">
        <v>68</v>
      </c>
      <c r="B79" s="260">
        <v>9.2799999999999994</v>
      </c>
      <c r="C79" s="247">
        <v>1.4713020833333335</v>
      </c>
      <c r="D79" s="260">
        <v>7.81</v>
      </c>
      <c r="E79" s="258"/>
      <c r="F79" s="261">
        <v>207.5</v>
      </c>
      <c r="H79" s="8"/>
      <c r="I79" s="205"/>
      <c r="J79" s="201"/>
    </row>
    <row r="80" spans="1:10" x14ac:dyDescent="0.3">
      <c r="A80" s="249">
        <v>69</v>
      </c>
      <c r="B80" s="260">
        <v>9.23</v>
      </c>
      <c r="C80" s="247">
        <v>1.4179166666666667</v>
      </c>
      <c r="D80" s="260">
        <v>7.81</v>
      </c>
      <c r="E80" s="258"/>
      <c r="F80" s="261">
        <v>199.69</v>
      </c>
      <c r="H80" s="8"/>
      <c r="I80" s="205"/>
      <c r="J80" s="201"/>
    </row>
    <row r="81" spans="1:10" x14ac:dyDescent="0.3">
      <c r="A81" s="249">
        <v>70</v>
      </c>
      <c r="B81" s="260">
        <v>9.18</v>
      </c>
      <c r="C81" s="247">
        <v>1.36453125</v>
      </c>
      <c r="D81" s="260">
        <v>7.81</v>
      </c>
      <c r="E81" s="258"/>
      <c r="F81" s="261">
        <v>191.88</v>
      </c>
      <c r="H81" s="8"/>
      <c r="I81" s="205"/>
      <c r="J81" s="201"/>
    </row>
    <row r="82" spans="1:10" x14ac:dyDescent="0.3">
      <c r="A82" s="249">
        <v>71</v>
      </c>
      <c r="B82" s="260">
        <v>9.1199999999999992</v>
      </c>
      <c r="C82" s="247">
        <v>1.3111458333333335</v>
      </c>
      <c r="D82" s="260">
        <v>7.81</v>
      </c>
      <c r="E82" s="258"/>
      <c r="F82" s="261">
        <v>184.06</v>
      </c>
      <c r="H82" s="8"/>
      <c r="I82" s="205"/>
      <c r="J82" s="201"/>
    </row>
    <row r="83" spans="1:10" x14ac:dyDescent="0.3">
      <c r="A83" s="249">
        <v>72</v>
      </c>
      <c r="B83" s="260">
        <v>9.07</v>
      </c>
      <c r="C83" s="247">
        <v>1.2577604166666667</v>
      </c>
      <c r="D83" s="260">
        <v>7.81</v>
      </c>
      <c r="E83" s="258"/>
      <c r="F83" s="261">
        <v>176.25</v>
      </c>
      <c r="H83" s="8"/>
      <c r="I83" s="205"/>
      <c r="J83" s="201"/>
    </row>
    <row r="84" spans="1:10" x14ac:dyDescent="0.3">
      <c r="A84" s="249">
        <v>73</v>
      </c>
      <c r="B84" s="260">
        <v>9.02</v>
      </c>
      <c r="C84" s="247">
        <v>1.204375</v>
      </c>
      <c r="D84" s="260">
        <v>7.81</v>
      </c>
      <c r="E84" s="258"/>
      <c r="F84" s="261">
        <v>168.44</v>
      </c>
      <c r="H84" s="8"/>
      <c r="I84" s="205"/>
      <c r="J84" s="201"/>
    </row>
    <row r="85" spans="1:10" x14ac:dyDescent="0.3">
      <c r="A85" s="249">
        <v>74</v>
      </c>
      <c r="B85" s="260">
        <v>8.9600000000000009</v>
      </c>
      <c r="C85" s="247">
        <v>1.1509895833333335</v>
      </c>
      <c r="D85" s="260">
        <v>7.81</v>
      </c>
      <c r="E85" s="258"/>
      <c r="F85" s="261">
        <v>160.63</v>
      </c>
      <c r="H85" s="8"/>
      <c r="I85" s="205"/>
      <c r="J85" s="201"/>
    </row>
    <row r="86" spans="1:10" x14ac:dyDescent="0.3">
      <c r="A86" s="249">
        <v>75</v>
      </c>
      <c r="B86" s="260">
        <v>8.91</v>
      </c>
      <c r="C86" s="247">
        <v>1.0976041666666667</v>
      </c>
      <c r="D86" s="260">
        <v>7.81</v>
      </c>
      <c r="E86" s="258"/>
      <c r="F86" s="261">
        <v>152.81</v>
      </c>
      <c r="H86" s="8"/>
      <c r="I86" s="205"/>
      <c r="J86" s="201"/>
    </row>
    <row r="87" spans="1:10" x14ac:dyDescent="0.3">
      <c r="A87" s="249">
        <v>76</v>
      </c>
      <c r="B87" s="260">
        <v>8.86</v>
      </c>
      <c r="C87" s="247">
        <v>1.04421875</v>
      </c>
      <c r="D87" s="260">
        <v>7.81</v>
      </c>
      <c r="E87" s="258"/>
      <c r="F87" s="261">
        <v>145</v>
      </c>
      <c r="H87" s="8"/>
      <c r="I87" s="205"/>
      <c r="J87" s="201"/>
    </row>
    <row r="88" spans="1:10" x14ac:dyDescent="0.3">
      <c r="A88" s="249">
        <v>77</v>
      </c>
      <c r="B88" s="260">
        <v>8.8000000000000007</v>
      </c>
      <c r="C88" s="247">
        <v>0.99083333333333334</v>
      </c>
      <c r="D88" s="260">
        <v>7.81</v>
      </c>
      <c r="E88" s="258"/>
      <c r="F88" s="261">
        <v>137.19</v>
      </c>
      <c r="H88" s="8"/>
      <c r="I88" s="205"/>
      <c r="J88" s="201"/>
    </row>
    <row r="89" spans="1:10" x14ac:dyDescent="0.3">
      <c r="A89" s="249">
        <v>78</v>
      </c>
      <c r="B89" s="260">
        <v>8.75</v>
      </c>
      <c r="C89" s="247">
        <v>0.93744791666666671</v>
      </c>
      <c r="D89" s="260">
        <v>7.81</v>
      </c>
      <c r="E89" s="258"/>
      <c r="F89" s="261">
        <v>129.38</v>
      </c>
      <c r="H89" s="8"/>
      <c r="I89" s="205"/>
      <c r="J89" s="201"/>
    </row>
    <row r="90" spans="1:10" x14ac:dyDescent="0.3">
      <c r="A90" s="249">
        <v>79</v>
      </c>
      <c r="B90" s="260">
        <v>8.6999999999999993</v>
      </c>
      <c r="C90" s="247">
        <v>0.88406250000000008</v>
      </c>
      <c r="D90" s="260">
        <v>7.81</v>
      </c>
      <c r="E90" s="258"/>
      <c r="F90" s="261">
        <v>121.56</v>
      </c>
      <c r="H90" s="8"/>
      <c r="I90" s="205"/>
      <c r="J90" s="201"/>
    </row>
    <row r="91" spans="1:10" x14ac:dyDescent="0.3">
      <c r="A91" s="249">
        <v>80</v>
      </c>
      <c r="B91" s="260">
        <v>8.64</v>
      </c>
      <c r="C91" s="247">
        <v>0.83067708333333334</v>
      </c>
      <c r="D91" s="260">
        <v>7.81</v>
      </c>
      <c r="E91" s="258"/>
      <c r="F91" s="261">
        <v>113.75</v>
      </c>
      <c r="H91" s="8"/>
      <c r="I91" s="205"/>
      <c r="J91" s="201"/>
    </row>
    <row r="92" spans="1:10" x14ac:dyDescent="0.3">
      <c r="A92" s="249">
        <v>81</v>
      </c>
      <c r="B92" s="260">
        <v>8.59</v>
      </c>
      <c r="C92" s="247">
        <v>0.77729166666666671</v>
      </c>
      <c r="D92" s="260">
        <v>7.81</v>
      </c>
      <c r="E92" s="258"/>
      <c r="F92" s="261">
        <v>105.94</v>
      </c>
      <c r="H92" s="8"/>
      <c r="I92" s="205"/>
      <c r="J92" s="201"/>
    </row>
    <row r="93" spans="1:10" x14ac:dyDescent="0.3">
      <c r="A93" s="249">
        <v>82</v>
      </c>
      <c r="B93" s="260">
        <v>8.5399999999999991</v>
      </c>
      <c r="C93" s="247">
        <v>0.72390625000000008</v>
      </c>
      <c r="D93" s="260">
        <v>7.81</v>
      </c>
      <c r="E93" s="258"/>
      <c r="F93" s="261">
        <v>98.13</v>
      </c>
      <c r="H93" s="8"/>
      <c r="I93" s="205"/>
      <c r="J93" s="201"/>
    </row>
    <row r="94" spans="1:10" x14ac:dyDescent="0.3">
      <c r="A94" s="249">
        <v>83</v>
      </c>
      <c r="B94" s="260">
        <v>8.48</v>
      </c>
      <c r="C94" s="247">
        <v>0.67052083333333334</v>
      </c>
      <c r="D94" s="260">
        <v>7.81</v>
      </c>
      <c r="E94" s="258"/>
      <c r="F94" s="261">
        <v>90.31</v>
      </c>
      <c r="H94" s="8"/>
      <c r="I94" s="205"/>
      <c r="J94" s="201"/>
    </row>
    <row r="95" spans="1:10" x14ac:dyDescent="0.3">
      <c r="A95" s="249">
        <v>84</v>
      </c>
      <c r="B95" s="260">
        <v>8.43</v>
      </c>
      <c r="C95" s="247">
        <v>0.61713541666666671</v>
      </c>
      <c r="D95" s="260">
        <v>7.81</v>
      </c>
      <c r="E95" s="258"/>
      <c r="F95" s="261">
        <v>82.5</v>
      </c>
      <c r="H95" s="8"/>
      <c r="I95" s="205"/>
      <c r="J95" s="201"/>
    </row>
    <row r="96" spans="1:10" x14ac:dyDescent="0.3">
      <c r="A96" s="249">
        <v>85</v>
      </c>
      <c r="B96" s="260">
        <v>8.3800000000000008</v>
      </c>
      <c r="C96" s="247">
        <v>0.56374999999999997</v>
      </c>
      <c r="D96" s="260">
        <v>7.81</v>
      </c>
      <c r="E96" s="258"/>
      <c r="F96" s="261">
        <v>74.69</v>
      </c>
      <c r="H96" s="8"/>
      <c r="I96" s="205"/>
      <c r="J96" s="201"/>
    </row>
    <row r="97" spans="1:10" x14ac:dyDescent="0.3">
      <c r="A97" s="249">
        <v>86</v>
      </c>
      <c r="B97" s="260">
        <v>8.32</v>
      </c>
      <c r="C97" s="247">
        <v>0.51036458333333334</v>
      </c>
      <c r="D97" s="260">
        <v>7.81</v>
      </c>
      <c r="E97" s="258"/>
      <c r="F97" s="261">
        <v>66.88</v>
      </c>
      <c r="H97" s="8"/>
      <c r="I97" s="205"/>
      <c r="J97" s="201"/>
    </row>
    <row r="98" spans="1:10" x14ac:dyDescent="0.3">
      <c r="A98" s="249">
        <v>87</v>
      </c>
      <c r="B98" s="260">
        <v>8.27</v>
      </c>
      <c r="C98" s="247">
        <v>0.45697916666666666</v>
      </c>
      <c r="D98" s="260">
        <v>7.81</v>
      </c>
      <c r="E98" s="258"/>
      <c r="F98" s="261">
        <v>59.06</v>
      </c>
      <c r="H98" s="8"/>
      <c r="I98" s="205"/>
      <c r="J98" s="201"/>
    </row>
    <row r="99" spans="1:10" x14ac:dyDescent="0.3">
      <c r="A99" s="249">
        <v>88</v>
      </c>
      <c r="B99" s="260">
        <v>8.2200000000000006</v>
      </c>
      <c r="C99" s="247">
        <v>0.40359375000000003</v>
      </c>
      <c r="D99" s="260">
        <v>7.81</v>
      </c>
      <c r="E99" s="258"/>
      <c r="F99" s="261">
        <v>51.25</v>
      </c>
      <c r="H99" s="8"/>
      <c r="I99" s="205"/>
      <c r="J99" s="201"/>
    </row>
    <row r="100" spans="1:10" x14ac:dyDescent="0.3">
      <c r="A100" s="249">
        <v>89</v>
      </c>
      <c r="B100" s="260">
        <v>8.16</v>
      </c>
      <c r="C100" s="247">
        <v>0.35020833333333334</v>
      </c>
      <c r="D100" s="260">
        <v>7.81</v>
      </c>
      <c r="E100" s="258"/>
      <c r="F100" s="261">
        <v>43.44</v>
      </c>
      <c r="H100" s="8"/>
      <c r="I100" s="205"/>
      <c r="J100" s="201"/>
    </row>
    <row r="101" spans="1:10" x14ac:dyDescent="0.3">
      <c r="A101" s="249">
        <v>90</v>
      </c>
      <c r="B101" s="260">
        <v>8.11</v>
      </c>
      <c r="C101" s="247">
        <v>0.29682291666666666</v>
      </c>
      <c r="D101" s="260">
        <v>7.81</v>
      </c>
      <c r="E101" s="258"/>
      <c r="F101" s="261">
        <v>35.630000000000003</v>
      </c>
      <c r="H101" s="8"/>
      <c r="I101" s="205"/>
      <c r="J101" s="201"/>
    </row>
    <row r="102" spans="1:10" x14ac:dyDescent="0.3">
      <c r="A102" s="249">
        <v>91</v>
      </c>
      <c r="B102" s="260">
        <v>8.06</v>
      </c>
      <c r="C102" s="247">
        <v>0.2434375</v>
      </c>
      <c r="D102" s="260">
        <v>7.81</v>
      </c>
      <c r="E102" s="258"/>
      <c r="F102" s="261">
        <v>27.81</v>
      </c>
      <c r="H102" s="8"/>
      <c r="I102" s="205"/>
      <c r="J102" s="201"/>
    </row>
    <row r="103" spans="1:10" x14ac:dyDescent="0.3">
      <c r="A103" s="249">
        <v>92</v>
      </c>
      <c r="B103" s="260">
        <v>8</v>
      </c>
      <c r="C103" s="247">
        <v>0.19005208333333334</v>
      </c>
      <c r="D103" s="260">
        <v>7.81</v>
      </c>
      <c r="E103" s="258"/>
      <c r="F103" s="261">
        <v>20</v>
      </c>
      <c r="H103" s="8"/>
      <c r="I103" s="205"/>
      <c r="J103" s="201"/>
    </row>
    <row r="104" spans="1:10" x14ac:dyDescent="0.3">
      <c r="A104" s="249">
        <v>93</v>
      </c>
      <c r="B104" s="260">
        <v>7.95</v>
      </c>
      <c r="C104" s="247">
        <v>0.13666666666666666</v>
      </c>
      <c r="D104" s="260">
        <v>7.81</v>
      </c>
      <c r="E104" s="258"/>
      <c r="F104" s="261">
        <v>12.19</v>
      </c>
      <c r="H104" s="8"/>
      <c r="I104" s="205"/>
      <c r="J104" s="201"/>
    </row>
    <row r="105" spans="1:10" x14ac:dyDescent="0.3">
      <c r="A105" s="249">
        <v>94</v>
      </c>
      <c r="B105" s="260">
        <v>7.9</v>
      </c>
      <c r="C105" s="247">
        <v>8.3281250000000001E-2</v>
      </c>
      <c r="D105" s="260">
        <v>7.81</v>
      </c>
      <c r="E105" s="258"/>
      <c r="F105" s="261">
        <v>4.38</v>
      </c>
      <c r="H105" s="8"/>
      <c r="I105" s="205"/>
      <c r="J105" s="201"/>
    </row>
    <row r="106" spans="1:10" x14ac:dyDescent="0.3">
      <c r="A106" s="249">
        <v>95</v>
      </c>
      <c r="B106" s="260">
        <v>4.4000000000000004</v>
      </c>
      <c r="C106" s="247">
        <v>2.9895833333333333E-2</v>
      </c>
      <c r="D106" s="260">
        <v>4.37</v>
      </c>
      <c r="E106" s="258"/>
      <c r="F106" s="261">
        <v>0</v>
      </c>
      <c r="H106" s="8"/>
      <c r="I106" s="205"/>
      <c r="J106" s="201"/>
    </row>
    <row r="107" spans="1:10" x14ac:dyDescent="0.3">
      <c r="A107" s="249"/>
      <c r="B107" s="260"/>
      <c r="C107" s="247"/>
      <c r="D107" s="260"/>
      <c r="E107" s="258"/>
      <c r="F107" s="261"/>
      <c r="H107" s="8"/>
      <c r="I107" s="205"/>
      <c r="J107" s="201"/>
    </row>
    <row r="108" spans="1:10" x14ac:dyDescent="0.3">
      <c r="A108" s="249"/>
      <c r="B108" s="260"/>
      <c r="C108" s="247"/>
      <c r="D108" s="260"/>
      <c r="E108" s="258"/>
      <c r="F108" s="261"/>
      <c r="H108" s="8"/>
      <c r="I108" s="205"/>
      <c r="J108" s="201"/>
    </row>
    <row r="109" spans="1:10" x14ac:dyDescent="0.3">
      <c r="A109" s="249"/>
      <c r="B109" s="260"/>
      <c r="C109" s="247"/>
      <c r="D109" s="260"/>
      <c r="E109" s="258"/>
      <c r="F109" s="261"/>
      <c r="H109" s="8"/>
      <c r="I109" s="205"/>
      <c r="J109" s="201"/>
    </row>
    <row r="110" spans="1:10" x14ac:dyDescent="0.3">
      <c r="A110" s="249"/>
      <c r="B110" s="260"/>
      <c r="C110" s="247"/>
      <c r="D110" s="260"/>
      <c r="E110" s="258"/>
      <c r="F110" s="261"/>
      <c r="H110" s="8"/>
      <c r="I110" s="205"/>
      <c r="J110" s="201"/>
    </row>
    <row r="111" spans="1:10" x14ac:dyDescent="0.3">
      <c r="A111" s="249"/>
      <c r="B111" s="260"/>
      <c r="C111" s="247"/>
      <c r="D111" s="260"/>
      <c r="E111" s="258"/>
      <c r="F111" s="261"/>
      <c r="H111" s="8"/>
      <c r="I111" s="205"/>
      <c r="J111" s="201"/>
    </row>
    <row r="112" spans="1:10" x14ac:dyDescent="0.3">
      <c r="A112" s="249"/>
      <c r="B112" s="260"/>
      <c r="C112" s="247"/>
      <c r="D112" s="260"/>
      <c r="E112" s="258"/>
      <c r="F112" s="261"/>
      <c r="H112" s="8"/>
      <c r="I112" s="205"/>
      <c r="J112" s="201"/>
    </row>
    <row r="113" spans="1:10" x14ac:dyDescent="0.3">
      <c r="A113" s="249"/>
      <c r="B113" s="260"/>
      <c r="C113" s="247"/>
      <c r="D113" s="260"/>
      <c r="E113" s="258"/>
      <c r="F113" s="261"/>
      <c r="H113" s="8"/>
      <c r="I113" s="205"/>
      <c r="J113" s="201"/>
    </row>
    <row r="114" spans="1:10" x14ac:dyDescent="0.3">
      <c r="A114" s="249"/>
      <c r="B114" s="260"/>
      <c r="C114" s="247"/>
      <c r="D114" s="260"/>
      <c r="E114" s="258"/>
      <c r="F114" s="261"/>
      <c r="H114" s="8"/>
      <c r="I114" s="205"/>
      <c r="J114" s="201"/>
    </row>
    <row r="115" spans="1:10" x14ac:dyDescent="0.3">
      <c r="A115" s="249"/>
      <c r="B115" s="260"/>
      <c r="C115" s="247"/>
      <c r="D115" s="260"/>
      <c r="E115" s="258"/>
      <c r="F115" s="261"/>
      <c r="H115" s="8"/>
      <c r="I115" s="205"/>
      <c r="J115" s="201"/>
    </row>
    <row r="116" spans="1:10" x14ac:dyDescent="0.3">
      <c r="A116" s="249"/>
      <c r="B116" s="260"/>
      <c r="C116" s="247"/>
      <c r="D116" s="260"/>
      <c r="E116" s="258"/>
      <c r="F116" s="261"/>
      <c r="H116" s="8"/>
      <c r="I116" s="205"/>
      <c r="J116" s="201"/>
    </row>
    <row r="117" spans="1:10" x14ac:dyDescent="0.3">
      <c r="A117" s="249"/>
      <c r="B117" s="260"/>
      <c r="C117" s="247"/>
      <c r="D117" s="260"/>
      <c r="E117" s="258"/>
      <c r="F117" s="261"/>
      <c r="H117" s="8"/>
      <c r="I117" s="205"/>
      <c r="J117" s="201"/>
    </row>
    <row r="118" spans="1:10" x14ac:dyDescent="0.3">
      <c r="A118" s="249"/>
      <c r="B118" s="260"/>
      <c r="C118" s="247"/>
      <c r="D118" s="260"/>
      <c r="E118" s="258"/>
      <c r="F118" s="261"/>
      <c r="H118" s="8"/>
      <c r="I118" s="205"/>
      <c r="J118" s="201"/>
    </row>
    <row r="119" spans="1:10" x14ac:dyDescent="0.3">
      <c r="A119" s="249"/>
      <c r="B119" s="260"/>
      <c r="C119" s="247"/>
      <c r="D119" s="260"/>
      <c r="E119" s="258"/>
      <c r="F119" s="261"/>
      <c r="H119" s="8"/>
      <c r="I119" s="205"/>
      <c r="J119" s="201"/>
    </row>
    <row r="120" spans="1:10" x14ac:dyDescent="0.3">
      <c r="A120" s="249"/>
      <c r="B120" s="260"/>
      <c r="C120" s="247"/>
      <c r="D120" s="260"/>
      <c r="E120" s="258"/>
      <c r="F120" s="261"/>
      <c r="H120" s="8"/>
      <c r="I120" s="205"/>
      <c r="J120" s="201"/>
    </row>
    <row r="121" spans="1:10" x14ac:dyDescent="0.3">
      <c r="A121" s="249"/>
      <c r="B121" s="260"/>
      <c r="C121" s="247"/>
      <c r="D121" s="260"/>
      <c r="E121" s="258"/>
      <c r="F121" s="261"/>
      <c r="H121" s="8"/>
      <c r="I121" s="205"/>
      <c r="J121" s="201"/>
    </row>
    <row r="122" spans="1:10" x14ac:dyDescent="0.3">
      <c r="A122" s="249"/>
      <c r="B122" s="260"/>
      <c r="C122" s="247"/>
      <c r="D122" s="260"/>
      <c r="E122" s="258"/>
      <c r="F122" s="261"/>
      <c r="H122" s="8"/>
      <c r="I122" s="205"/>
      <c r="J122" s="201"/>
    </row>
    <row r="123" spans="1:10" x14ac:dyDescent="0.3">
      <c r="A123" s="249"/>
      <c r="B123" s="260"/>
      <c r="C123" s="247"/>
      <c r="D123" s="260"/>
      <c r="E123" s="258"/>
      <c r="F123" s="261"/>
      <c r="H123" s="8"/>
      <c r="I123" s="205"/>
      <c r="J123" s="201"/>
    </row>
    <row r="124" spans="1:10" x14ac:dyDescent="0.3">
      <c r="A124" s="249"/>
      <c r="B124" s="260"/>
      <c r="C124" s="247"/>
      <c r="D124" s="260"/>
      <c r="E124" s="258"/>
      <c r="F124" s="261"/>
      <c r="H124" s="8"/>
      <c r="I124" s="205"/>
      <c r="J124" s="201"/>
    </row>
    <row r="125" spans="1:10" x14ac:dyDescent="0.3">
      <c r="A125" s="249"/>
      <c r="B125" s="260"/>
      <c r="C125" s="247"/>
      <c r="D125" s="260"/>
      <c r="E125" s="258"/>
      <c r="F125" s="261"/>
      <c r="H125" s="8"/>
      <c r="I125" s="205"/>
      <c r="J125" s="201"/>
    </row>
    <row r="126" spans="1:10" x14ac:dyDescent="0.3">
      <c r="A126" s="249"/>
      <c r="B126" s="260"/>
      <c r="C126" s="247"/>
      <c r="D126" s="260"/>
      <c r="E126" s="258"/>
      <c r="F126" s="261"/>
      <c r="H126" s="8"/>
      <c r="I126" s="205"/>
      <c r="J126" s="201"/>
    </row>
    <row r="127" spans="1:10" x14ac:dyDescent="0.3">
      <c r="A127" s="249"/>
      <c r="B127" s="260"/>
      <c r="C127" s="247"/>
      <c r="D127" s="260"/>
      <c r="E127" s="258"/>
      <c r="F127" s="261"/>
      <c r="H127" s="8"/>
      <c r="I127" s="205"/>
      <c r="J127" s="201"/>
    </row>
    <row r="128" spans="1:10" x14ac:dyDescent="0.3">
      <c r="A128" s="249"/>
      <c r="B128" s="260"/>
      <c r="C128" s="247"/>
      <c r="D128" s="260"/>
      <c r="E128" s="258"/>
      <c r="F128" s="261"/>
      <c r="H128" s="8"/>
      <c r="I128" s="205"/>
      <c r="J128" s="201"/>
    </row>
    <row r="129" spans="1:10" x14ac:dyDescent="0.3">
      <c r="A129" s="249"/>
      <c r="B129" s="260"/>
      <c r="C129" s="247"/>
      <c r="D129" s="260"/>
      <c r="E129" s="258"/>
      <c r="F129" s="261"/>
      <c r="H129" s="8"/>
      <c r="I129" s="205"/>
      <c r="J129" s="201"/>
    </row>
    <row r="130" spans="1:10" x14ac:dyDescent="0.3">
      <c r="A130" s="249"/>
      <c r="B130" s="260"/>
      <c r="C130" s="247"/>
      <c r="D130" s="260"/>
      <c r="E130" s="258"/>
      <c r="F130" s="261"/>
      <c r="H130" s="8"/>
      <c r="I130" s="205"/>
      <c r="J130" s="201"/>
    </row>
    <row r="131" spans="1:10" x14ac:dyDescent="0.3">
      <c r="A131" s="249"/>
      <c r="B131" s="260"/>
      <c r="C131" s="247"/>
      <c r="D131" s="260"/>
      <c r="E131" s="258"/>
      <c r="F131" s="261"/>
      <c r="H131" s="8"/>
      <c r="I131" s="205"/>
      <c r="J131" s="201"/>
    </row>
    <row r="132" spans="1:10" x14ac:dyDescent="0.3">
      <c r="A132" s="8"/>
      <c r="B132" s="262"/>
      <c r="C132" s="10"/>
      <c r="D132" s="262"/>
      <c r="E132" s="205"/>
      <c r="F132" s="263"/>
      <c r="H132" s="8"/>
      <c r="I132" s="205"/>
      <c r="J132" s="201"/>
    </row>
    <row r="133" spans="1:10" x14ac:dyDescent="0.3">
      <c r="A133" s="8"/>
      <c r="B133" s="262"/>
      <c r="C133" s="10"/>
      <c r="D133" s="262"/>
      <c r="E133" s="205"/>
      <c r="F133" s="263"/>
      <c r="H133" s="8"/>
      <c r="I133" s="205"/>
      <c r="J133" s="201"/>
    </row>
    <row r="134" spans="1:10" x14ac:dyDescent="0.3">
      <c r="A134" s="8"/>
      <c r="B134" s="262"/>
      <c r="C134" s="10"/>
      <c r="D134" s="262"/>
      <c r="E134" s="205"/>
      <c r="F134" s="263"/>
      <c r="H134" s="8"/>
      <c r="I134" s="205"/>
      <c r="J134" s="201"/>
    </row>
    <row r="135" spans="1:10" x14ac:dyDescent="0.3">
      <c r="A135" s="8"/>
      <c r="B135" s="262"/>
      <c r="C135" s="10"/>
      <c r="D135" s="262"/>
      <c r="E135" s="205"/>
      <c r="F135" s="263"/>
      <c r="H135" s="8"/>
      <c r="I135" s="205"/>
      <c r="J135" s="201"/>
    </row>
    <row r="136" spans="1:10" x14ac:dyDescent="0.3">
      <c r="A136" s="8"/>
      <c r="B136" s="262"/>
      <c r="C136" s="10"/>
      <c r="D136" s="262"/>
      <c r="E136" s="205"/>
      <c r="F136" s="263"/>
      <c r="H136" s="8"/>
      <c r="I136" s="205"/>
      <c r="J136" s="201"/>
    </row>
    <row r="137" spans="1:10" x14ac:dyDescent="0.3">
      <c r="A137" s="8"/>
      <c r="B137" s="262"/>
      <c r="C137" s="10"/>
      <c r="D137" s="262"/>
      <c r="E137" s="205"/>
      <c r="F137" s="263"/>
      <c r="H137" s="8"/>
      <c r="I137" s="205"/>
      <c r="J137" s="201"/>
    </row>
    <row r="138" spans="1:10" x14ac:dyDescent="0.3">
      <c r="A138" s="8"/>
      <c r="B138" s="262"/>
      <c r="C138" s="10"/>
      <c r="D138" s="262"/>
      <c r="E138" s="205"/>
      <c r="F138" s="263"/>
      <c r="H138" s="8"/>
      <c r="I138" s="205"/>
      <c r="J138" s="201"/>
    </row>
    <row r="139" spans="1:10" x14ac:dyDescent="0.3">
      <c r="A139" s="8"/>
      <c r="B139" s="262"/>
      <c r="C139" s="10"/>
      <c r="D139" s="262"/>
      <c r="E139" s="205"/>
      <c r="F139" s="263"/>
      <c r="H139" s="8"/>
      <c r="I139" s="205"/>
      <c r="J139" s="201"/>
    </row>
    <row r="140" spans="1:10" x14ac:dyDescent="0.3">
      <c r="A140" s="8"/>
      <c r="B140" s="262"/>
      <c r="C140" s="10"/>
      <c r="D140" s="262"/>
      <c r="E140" s="205"/>
      <c r="F140" s="263"/>
      <c r="H140" s="8"/>
      <c r="I140" s="205"/>
      <c r="J140" s="201"/>
    </row>
    <row r="141" spans="1:10" x14ac:dyDescent="0.3">
      <c r="A141" s="8"/>
      <c r="B141" s="262"/>
      <c r="C141" s="10"/>
      <c r="D141" s="262"/>
      <c r="E141" s="205"/>
      <c r="F141" s="263"/>
      <c r="H141" s="8"/>
      <c r="I141" s="205"/>
      <c r="J141" s="201"/>
    </row>
    <row r="142" spans="1:10" x14ac:dyDescent="0.3">
      <c r="A142" s="8"/>
      <c r="B142" s="262"/>
      <c r="C142" s="10"/>
      <c r="D142" s="262"/>
      <c r="E142" s="205"/>
      <c r="F142" s="263"/>
      <c r="H142" s="8"/>
      <c r="I142" s="205"/>
      <c r="J142" s="201"/>
    </row>
    <row r="143" spans="1:10" x14ac:dyDescent="0.3">
      <c r="A143" s="8"/>
      <c r="B143" s="262"/>
      <c r="C143" s="10"/>
      <c r="D143" s="262"/>
      <c r="E143" s="205"/>
      <c r="F143" s="263"/>
      <c r="H143" s="8"/>
      <c r="I143" s="205"/>
      <c r="J143" s="201"/>
    </row>
    <row r="144" spans="1:10" x14ac:dyDescent="0.3">
      <c r="A144" s="8"/>
      <c r="B144" s="262"/>
      <c r="C144" s="10"/>
      <c r="D144" s="262"/>
      <c r="E144" s="205"/>
      <c r="F144" s="263"/>
      <c r="H144" s="8"/>
      <c r="I144" s="205"/>
      <c r="J144" s="201"/>
    </row>
    <row r="145" spans="1:10" x14ac:dyDescent="0.3">
      <c r="A145" s="8"/>
      <c r="B145" s="262"/>
      <c r="C145" s="10"/>
      <c r="D145" s="262"/>
      <c r="E145" s="205"/>
      <c r="F145" s="263"/>
      <c r="H145" s="8"/>
      <c r="I145" s="205"/>
      <c r="J145" s="201"/>
    </row>
    <row r="146" spans="1:10" x14ac:dyDescent="0.3">
      <c r="A146" s="8"/>
      <c r="B146" s="262"/>
      <c r="C146" s="10"/>
      <c r="D146" s="262"/>
      <c r="E146" s="205"/>
      <c r="F146" s="263"/>
      <c r="H146" s="8"/>
      <c r="I146" s="205"/>
      <c r="J146" s="201"/>
    </row>
    <row r="147" spans="1:10" x14ac:dyDescent="0.3">
      <c r="A147" s="8"/>
      <c r="B147" s="262"/>
      <c r="C147" s="10"/>
      <c r="D147" s="262"/>
      <c r="E147" s="205"/>
      <c r="F147" s="263"/>
      <c r="H147" s="8"/>
      <c r="I147" s="205"/>
      <c r="J147" s="201"/>
    </row>
    <row r="148" spans="1:10" x14ac:dyDescent="0.3">
      <c r="A148" s="8"/>
      <c r="B148" s="262"/>
      <c r="C148" s="10"/>
      <c r="D148" s="262"/>
      <c r="E148" s="205"/>
      <c r="F148" s="263"/>
      <c r="H148" s="8"/>
      <c r="I148" s="205"/>
      <c r="J148" s="201"/>
    </row>
    <row r="149" spans="1:10" x14ac:dyDescent="0.3">
      <c r="A149" s="8"/>
      <c r="B149" s="262"/>
      <c r="C149" s="10"/>
      <c r="D149" s="262"/>
      <c r="E149" s="205"/>
      <c r="F149" s="263"/>
      <c r="H149" s="8"/>
      <c r="I149" s="205"/>
      <c r="J149" s="201"/>
    </row>
    <row r="150" spans="1:10" x14ac:dyDescent="0.3">
      <c r="A150" s="8"/>
      <c r="B150" s="262"/>
      <c r="C150" s="10"/>
      <c r="D150" s="262"/>
      <c r="E150" s="205"/>
      <c r="F150" s="263"/>
      <c r="H150" s="8"/>
      <c r="I150" s="205"/>
      <c r="J150" s="201"/>
    </row>
    <row r="151" spans="1:10" x14ac:dyDescent="0.3">
      <c r="A151" s="8"/>
      <c r="B151" s="262"/>
      <c r="C151" s="10"/>
      <c r="D151" s="262"/>
      <c r="E151" s="205"/>
      <c r="F151" s="263"/>
      <c r="H151" s="8"/>
      <c r="I151" s="205"/>
      <c r="J151" s="201"/>
    </row>
    <row r="152" spans="1:10" x14ac:dyDescent="0.3">
      <c r="A152" s="8"/>
      <c r="B152" s="262"/>
      <c r="C152" s="10"/>
      <c r="D152" s="262"/>
      <c r="E152" s="205"/>
      <c r="F152" s="263"/>
      <c r="H152" s="8"/>
      <c r="I152" s="205"/>
      <c r="J152" s="201"/>
    </row>
    <row r="153" spans="1:10" x14ac:dyDescent="0.3">
      <c r="A153" s="8"/>
      <c r="B153" s="262"/>
      <c r="C153" s="10"/>
      <c r="D153" s="262"/>
      <c r="E153" s="205"/>
      <c r="F153" s="263"/>
      <c r="H153" s="8"/>
      <c r="I153" s="205"/>
      <c r="J153" s="201"/>
    </row>
    <row r="154" spans="1:10" x14ac:dyDescent="0.3">
      <c r="A154" s="8"/>
      <c r="B154" s="262"/>
      <c r="C154" s="10"/>
      <c r="D154" s="262"/>
      <c r="E154" s="205"/>
      <c r="F154" s="263"/>
      <c r="H154" s="8"/>
      <c r="I154" s="205"/>
      <c r="J154" s="201"/>
    </row>
    <row r="155" spans="1:10" x14ac:dyDescent="0.3">
      <c r="A155" s="8"/>
      <c r="B155" s="262"/>
      <c r="C155" s="10"/>
      <c r="D155" s="262"/>
      <c r="E155" s="205"/>
      <c r="F155" s="263"/>
      <c r="H155" s="8"/>
      <c r="I155" s="205"/>
      <c r="J155" s="201"/>
    </row>
    <row r="156" spans="1:10" x14ac:dyDescent="0.3">
      <c r="A156" s="8"/>
      <c r="B156" s="262"/>
      <c r="C156" s="10"/>
      <c r="D156" s="262"/>
      <c r="E156" s="205"/>
      <c r="F156" s="263"/>
      <c r="H156" s="8"/>
      <c r="I156" s="205"/>
      <c r="J156" s="201"/>
    </row>
    <row r="157" spans="1:10" x14ac:dyDescent="0.3">
      <c r="A157" s="8"/>
      <c r="B157" s="262"/>
      <c r="C157" s="10"/>
      <c r="D157" s="262"/>
      <c r="E157" s="205"/>
      <c r="F157" s="263"/>
      <c r="H157" s="8"/>
      <c r="I157" s="205"/>
      <c r="J157" s="201"/>
    </row>
    <row r="158" spans="1:10" x14ac:dyDescent="0.3">
      <c r="A158" s="8"/>
      <c r="B158" s="262"/>
      <c r="C158" s="10"/>
      <c r="D158" s="262"/>
      <c r="E158" s="205"/>
      <c r="F158" s="263"/>
      <c r="H158" s="8"/>
      <c r="I158" s="205"/>
      <c r="J158" s="201"/>
    </row>
    <row r="159" spans="1:10" x14ac:dyDescent="0.3">
      <c r="A159" s="8"/>
      <c r="B159" s="262"/>
      <c r="C159" s="10"/>
      <c r="D159" s="262"/>
      <c r="E159" s="205"/>
      <c r="F159" s="263"/>
      <c r="H159" s="8"/>
      <c r="I159" s="205"/>
      <c r="J159" s="201"/>
    </row>
    <row r="160" spans="1:10" x14ac:dyDescent="0.3">
      <c r="A160" s="8"/>
      <c r="B160" s="262"/>
      <c r="C160" s="10"/>
      <c r="D160" s="262"/>
      <c r="E160" s="205"/>
      <c r="F160" s="263"/>
      <c r="H160" s="8"/>
      <c r="I160" s="205"/>
      <c r="J160" s="201"/>
    </row>
    <row r="161" spans="1:10" x14ac:dyDescent="0.3">
      <c r="A161" s="8"/>
      <c r="B161" s="262"/>
      <c r="C161" s="10"/>
      <c r="D161" s="262"/>
      <c r="E161" s="205"/>
      <c r="F161" s="263"/>
      <c r="H161" s="8"/>
      <c r="I161" s="205"/>
      <c r="J161" s="201"/>
    </row>
    <row r="162" spans="1:10" x14ac:dyDescent="0.3">
      <c r="A162" s="8"/>
      <c r="B162" s="262"/>
      <c r="C162" s="10"/>
      <c r="D162" s="262"/>
      <c r="E162" s="205"/>
      <c r="F162" s="263"/>
      <c r="H162" s="8"/>
      <c r="I162" s="205"/>
      <c r="J162" s="201"/>
    </row>
    <row r="163" spans="1:10" x14ac:dyDescent="0.3">
      <c r="A163" s="8"/>
      <c r="B163" s="262"/>
      <c r="C163" s="10"/>
      <c r="D163" s="262"/>
      <c r="E163" s="205"/>
      <c r="F163" s="263"/>
      <c r="H163" s="8"/>
      <c r="I163" s="205"/>
      <c r="J163" s="201"/>
    </row>
    <row r="164" spans="1:10" x14ac:dyDescent="0.3">
      <c r="A164" s="8"/>
      <c r="B164" s="262"/>
      <c r="C164" s="10"/>
      <c r="D164" s="262"/>
      <c r="E164" s="205"/>
      <c r="F164" s="263"/>
      <c r="H164" s="8"/>
      <c r="I164" s="205"/>
      <c r="J164" s="201"/>
    </row>
    <row r="165" spans="1:10" x14ac:dyDescent="0.3">
      <c r="A165" s="8"/>
      <c r="B165" s="262"/>
      <c r="C165" s="10"/>
      <c r="D165" s="262"/>
      <c r="E165" s="205"/>
      <c r="F165" s="263"/>
      <c r="H165" s="8"/>
      <c r="I165" s="205"/>
      <c r="J165" s="201"/>
    </row>
    <row r="166" spans="1:10" x14ac:dyDescent="0.3">
      <c r="A166" s="8"/>
      <c r="B166" s="262"/>
      <c r="C166" s="10"/>
      <c r="D166" s="262"/>
      <c r="E166" s="205"/>
      <c r="F166" s="263"/>
      <c r="H166" s="8"/>
      <c r="I166" s="205"/>
      <c r="J166" s="201"/>
    </row>
    <row r="167" spans="1:10" x14ac:dyDescent="0.3">
      <c r="A167" s="8"/>
      <c r="B167" s="262"/>
      <c r="C167" s="10"/>
      <c r="D167" s="262"/>
      <c r="E167" s="205"/>
      <c r="F167" s="263"/>
      <c r="H167" s="8"/>
      <c r="I167" s="205"/>
      <c r="J167" s="201"/>
    </row>
    <row r="168" spans="1:10" x14ac:dyDescent="0.3">
      <c r="A168" s="8"/>
      <c r="B168" s="262"/>
      <c r="C168" s="10"/>
      <c r="D168" s="262"/>
      <c r="E168" s="205"/>
      <c r="F168" s="263"/>
      <c r="H168" s="8"/>
      <c r="I168" s="205"/>
      <c r="J168" s="201"/>
    </row>
    <row r="169" spans="1:10" x14ac:dyDescent="0.3">
      <c r="A169" s="8"/>
      <c r="B169" s="262"/>
      <c r="C169" s="10"/>
      <c r="D169" s="262"/>
      <c r="E169" s="205"/>
      <c r="F169" s="263"/>
      <c r="H169" s="8"/>
      <c r="I169" s="205"/>
      <c r="J169" s="201"/>
    </row>
    <row r="170" spans="1:10" x14ac:dyDescent="0.3">
      <c r="A170" s="8"/>
      <c r="B170" s="262"/>
      <c r="C170" s="10"/>
      <c r="D170" s="262"/>
      <c r="E170" s="205"/>
      <c r="F170" s="263"/>
      <c r="H170" s="8"/>
      <c r="I170" s="205"/>
      <c r="J170" s="201"/>
    </row>
    <row r="171" spans="1:10" x14ac:dyDescent="0.3">
      <c r="A171" s="8"/>
      <c r="B171" s="262"/>
      <c r="C171" s="10"/>
      <c r="D171" s="262"/>
      <c r="E171" s="205"/>
      <c r="F171" s="263"/>
      <c r="H171" s="8"/>
      <c r="I171" s="205"/>
      <c r="J171" s="201"/>
    </row>
    <row r="172" spans="1:10" x14ac:dyDescent="0.3">
      <c r="A172" s="8"/>
      <c r="B172" s="262"/>
      <c r="C172" s="10"/>
      <c r="D172" s="262"/>
      <c r="E172" s="205"/>
      <c r="F172" s="263"/>
      <c r="H172" s="8"/>
      <c r="I172" s="205"/>
      <c r="J172" s="201"/>
    </row>
    <row r="173" spans="1:10" x14ac:dyDescent="0.3">
      <c r="A173" s="8"/>
      <c r="B173" s="262"/>
      <c r="C173" s="10"/>
      <c r="D173" s="262"/>
      <c r="E173" s="205"/>
      <c r="F173" s="263"/>
      <c r="H173" s="8"/>
      <c r="I173" s="205"/>
      <c r="J173" s="201"/>
    </row>
    <row r="174" spans="1:10" x14ac:dyDescent="0.3">
      <c r="A174" s="8"/>
      <c r="B174" s="262"/>
      <c r="C174" s="10"/>
      <c r="D174" s="262"/>
      <c r="E174" s="205"/>
      <c r="F174" s="263"/>
      <c r="H174" s="8"/>
      <c r="I174" s="205"/>
      <c r="J174" s="201"/>
    </row>
    <row r="175" spans="1:10" x14ac:dyDescent="0.3">
      <c r="A175" s="8"/>
      <c r="B175" s="262"/>
      <c r="C175" s="10"/>
      <c r="D175" s="262"/>
      <c r="E175" s="205"/>
      <c r="F175" s="263"/>
      <c r="H175" s="8"/>
      <c r="I175" s="205"/>
      <c r="J175" s="201"/>
    </row>
    <row r="176" spans="1:10" x14ac:dyDescent="0.3">
      <c r="A176" s="8"/>
      <c r="B176" s="262"/>
      <c r="C176" s="10"/>
      <c r="D176" s="262"/>
      <c r="E176" s="205"/>
      <c r="F176" s="263"/>
      <c r="H176" s="8"/>
      <c r="I176" s="205"/>
      <c r="J176" s="201"/>
    </row>
    <row r="177" spans="1:10" x14ac:dyDescent="0.3">
      <c r="A177" s="8"/>
      <c r="B177" s="262"/>
      <c r="C177" s="10"/>
      <c r="D177" s="262"/>
      <c r="E177" s="205"/>
      <c r="F177" s="263"/>
      <c r="H177" s="8"/>
      <c r="I177" s="205"/>
      <c r="J177" s="201"/>
    </row>
    <row r="178" spans="1:10" x14ac:dyDescent="0.3">
      <c r="A178" s="8"/>
      <c r="B178" s="262"/>
      <c r="C178" s="10"/>
      <c r="D178" s="262"/>
      <c r="E178" s="205"/>
      <c r="F178" s="263"/>
      <c r="H178" s="8"/>
      <c r="I178" s="205"/>
      <c r="J178" s="201"/>
    </row>
    <row r="179" spans="1:10" x14ac:dyDescent="0.3">
      <c r="A179" s="8"/>
      <c r="B179" s="262"/>
      <c r="C179" s="10"/>
      <c r="D179" s="262"/>
      <c r="E179" s="205"/>
      <c r="F179" s="263"/>
      <c r="H179" s="8"/>
      <c r="I179" s="205"/>
      <c r="J179" s="201"/>
    </row>
    <row r="180" spans="1:10" x14ac:dyDescent="0.3">
      <c r="A180" s="8"/>
      <c r="B180" s="262"/>
      <c r="C180" s="10"/>
      <c r="D180" s="262"/>
      <c r="E180" s="205"/>
      <c r="F180" s="263"/>
      <c r="H180" s="8"/>
      <c r="I180" s="205"/>
      <c r="J180" s="201"/>
    </row>
    <row r="181" spans="1:10" x14ac:dyDescent="0.3">
      <c r="A181" s="8"/>
      <c r="B181" s="262"/>
      <c r="C181" s="10"/>
      <c r="D181" s="262"/>
      <c r="E181" s="205"/>
      <c r="F181" s="263"/>
      <c r="H181" s="8"/>
      <c r="I181" s="205"/>
      <c r="J181" s="201"/>
    </row>
    <row r="182" spans="1:10" x14ac:dyDescent="0.3">
      <c r="A182" s="8"/>
      <c r="B182" s="262"/>
      <c r="C182" s="10"/>
      <c r="D182" s="262"/>
      <c r="E182" s="205"/>
      <c r="F182" s="263"/>
      <c r="H182" s="8"/>
      <c r="I182" s="205"/>
      <c r="J182" s="201"/>
    </row>
    <row r="183" spans="1:10" x14ac:dyDescent="0.3">
      <c r="A183" s="8"/>
      <c r="B183" s="262"/>
      <c r="C183" s="10"/>
      <c r="D183" s="262"/>
      <c r="E183" s="205"/>
      <c r="F183" s="263"/>
      <c r="H183" s="8"/>
      <c r="I183" s="205"/>
      <c r="J183" s="201"/>
    </row>
    <row r="184" spans="1:10" x14ac:dyDescent="0.3">
      <c r="A184" s="8"/>
      <c r="B184" s="262"/>
      <c r="C184" s="10"/>
      <c r="D184" s="262"/>
      <c r="E184" s="205"/>
      <c r="F184" s="263"/>
      <c r="H184" s="8"/>
      <c r="I184" s="205"/>
      <c r="J184" s="201"/>
    </row>
    <row r="185" spans="1:10" x14ac:dyDescent="0.3">
      <c r="A185" s="8"/>
      <c r="B185" s="262"/>
      <c r="C185" s="10"/>
      <c r="D185" s="262"/>
      <c r="E185" s="205"/>
      <c r="F185" s="263"/>
      <c r="H185" s="8"/>
      <c r="I185" s="205"/>
      <c r="J185" s="201"/>
    </row>
    <row r="186" spans="1:10" x14ac:dyDescent="0.3">
      <c r="A186" s="8"/>
      <c r="B186" s="262"/>
      <c r="C186" s="10"/>
      <c r="D186" s="262"/>
      <c r="E186" s="205"/>
      <c r="F186" s="263"/>
      <c r="H186" s="8"/>
      <c r="I186" s="205"/>
      <c r="J186" s="201"/>
    </row>
    <row r="187" spans="1:10" x14ac:dyDescent="0.3">
      <c r="A187" s="8"/>
      <c r="B187" s="262"/>
      <c r="C187" s="10"/>
      <c r="D187" s="262"/>
      <c r="E187" s="205"/>
      <c r="F187" s="263"/>
      <c r="H187" s="8"/>
      <c r="I187" s="205"/>
      <c r="J187" s="201"/>
    </row>
    <row r="188" spans="1:10" x14ac:dyDescent="0.3">
      <c r="A188" s="8"/>
      <c r="B188" s="262"/>
      <c r="C188" s="10"/>
      <c r="D188" s="262"/>
      <c r="E188" s="205"/>
      <c r="F188" s="263"/>
      <c r="H188" s="8"/>
      <c r="I188" s="205"/>
      <c r="J188" s="201"/>
    </row>
    <row r="189" spans="1:10" x14ac:dyDescent="0.3">
      <c r="A189" s="8"/>
      <c r="B189" s="262"/>
      <c r="C189" s="10"/>
      <c r="D189" s="262"/>
      <c r="E189" s="205"/>
      <c r="F189" s="263"/>
      <c r="H189" s="8"/>
      <c r="I189" s="205"/>
      <c r="J189" s="201"/>
    </row>
    <row r="190" spans="1:10" x14ac:dyDescent="0.3">
      <c r="A190" s="8"/>
      <c r="B190" s="262"/>
      <c r="C190" s="10"/>
      <c r="D190" s="262"/>
      <c r="E190" s="205"/>
      <c r="F190" s="263"/>
      <c r="H190" s="8"/>
      <c r="I190" s="205"/>
      <c r="J190" s="201"/>
    </row>
    <row r="191" spans="1:10" x14ac:dyDescent="0.3">
      <c r="A191" s="8"/>
      <c r="B191" s="262"/>
      <c r="C191" s="10"/>
      <c r="D191" s="262"/>
      <c r="E191" s="205"/>
      <c r="F191" s="263"/>
      <c r="H191" s="8"/>
      <c r="I191" s="205"/>
      <c r="J191" s="201"/>
    </row>
    <row r="192" spans="1:10" x14ac:dyDescent="0.3">
      <c r="A192" s="8"/>
      <c r="B192" s="262"/>
      <c r="C192" s="10"/>
      <c r="D192" s="262"/>
      <c r="E192" s="205"/>
      <c r="F192" s="263"/>
      <c r="H192" s="8"/>
      <c r="I192" s="205"/>
      <c r="J192" s="201"/>
    </row>
    <row r="193" spans="1:10" x14ac:dyDescent="0.3">
      <c r="A193" s="8"/>
      <c r="B193" s="262"/>
      <c r="C193" s="10"/>
      <c r="D193" s="262"/>
      <c r="E193" s="205"/>
      <c r="F193" s="263"/>
      <c r="H193" s="8"/>
      <c r="I193" s="205"/>
      <c r="J193" s="201"/>
    </row>
    <row r="194" spans="1:10" x14ac:dyDescent="0.3">
      <c r="A194" s="8"/>
      <c r="B194" s="262"/>
      <c r="C194" s="10"/>
      <c r="D194" s="262"/>
      <c r="E194" s="205"/>
      <c r="F194" s="263"/>
      <c r="H194" s="8"/>
      <c r="I194" s="205"/>
      <c r="J194" s="201"/>
    </row>
    <row r="195" spans="1:10" x14ac:dyDescent="0.3">
      <c r="A195" s="8"/>
      <c r="B195" s="262"/>
      <c r="C195" s="10"/>
      <c r="D195" s="262"/>
      <c r="E195" s="205"/>
      <c r="F195" s="263"/>
      <c r="H195" s="8"/>
      <c r="I195" s="205"/>
      <c r="J195" s="201"/>
    </row>
    <row r="196" spans="1:10" x14ac:dyDescent="0.3">
      <c r="A196" s="8"/>
      <c r="B196" s="262"/>
      <c r="C196" s="10"/>
      <c r="D196" s="262"/>
      <c r="E196" s="205"/>
      <c r="F196" s="263"/>
      <c r="H196" s="8"/>
      <c r="I196" s="205"/>
      <c r="J196" s="201"/>
    </row>
    <row r="197" spans="1:10" x14ac:dyDescent="0.3">
      <c r="A197" s="8"/>
      <c r="B197" s="262"/>
      <c r="C197" s="10"/>
      <c r="D197" s="262"/>
      <c r="E197" s="205"/>
      <c r="F197" s="263"/>
      <c r="H197" s="8"/>
      <c r="I197" s="205"/>
      <c r="J197" s="201"/>
    </row>
    <row r="198" spans="1:10" x14ac:dyDescent="0.3">
      <c r="A198" s="8"/>
      <c r="B198" s="262"/>
      <c r="C198" s="10"/>
      <c r="D198" s="262"/>
      <c r="E198" s="205"/>
      <c r="F198" s="263"/>
      <c r="H198" s="8"/>
      <c r="I198" s="205"/>
      <c r="J198" s="201"/>
    </row>
    <row r="199" spans="1:10" x14ac:dyDescent="0.3">
      <c r="A199" s="8"/>
      <c r="B199" s="262"/>
      <c r="C199" s="10"/>
      <c r="D199" s="262"/>
      <c r="E199" s="205"/>
      <c r="F199" s="263"/>
      <c r="H199" s="8"/>
      <c r="I199" s="205"/>
      <c r="J199" s="201"/>
    </row>
    <row r="200" spans="1:10" x14ac:dyDescent="0.3">
      <c r="A200" s="8"/>
      <c r="B200" s="262"/>
      <c r="C200" s="10"/>
      <c r="D200" s="262"/>
      <c r="E200" s="205"/>
      <c r="F200" s="263"/>
      <c r="H200" s="8"/>
      <c r="I200" s="205"/>
      <c r="J200" s="201"/>
    </row>
    <row r="201" spans="1:10" x14ac:dyDescent="0.3">
      <c r="A201" s="8"/>
      <c r="B201" s="262"/>
      <c r="C201" s="10"/>
      <c r="D201" s="262"/>
      <c r="E201" s="205"/>
      <c r="F201" s="263"/>
      <c r="H201" s="8"/>
      <c r="I201" s="205"/>
      <c r="J201" s="201"/>
    </row>
    <row r="202" spans="1:10" x14ac:dyDescent="0.3">
      <c r="A202" s="8"/>
      <c r="B202" s="262"/>
      <c r="C202" s="10"/>
      <c r="D202" s="262"/>
      <c r="E202" s="205"/>
      <c r="F202" s="263"/>
      <c r="H202" s="8"/>
      <c r="I202" s="205"/>
      <c r="J202" s="201"/>
    </row>
    <row r="203" spans="1:10" x14ac:dyDescent="0.3">
      <c r="A203" s="8"/>
      <c r="B203" s="262"/>
      <c r="C203" s="10"/>
      <c r="D203" s="262"/>
      <c r="E203" s="205"/>
      <c r="F203" s="263"/>
      <c r="H203" s="8"/>
      <c r="I203" s="205"/>
      <c r="J203" s="201"/>
    </row>
    <row r="204" spans="1:10" x14ac:dyDescent="0.3">
      <c r="A204" s="8"/>
      <c r="B204" s="262"/>
      <c r="C204" s="10"/>
      <c r="D204" s="262"/>
      <c r="E204" s="205"/>
      <c r="F204" s="263"/>
      <c r="H204" s="8"/>
      <c r="I204" s="205"/>
      <c r="J204" s="201"/>
    </row>
    <row r="205" spans="1:10" x14ac:dyDescent="0.3">
      <c r="A205" s="8"/>
      <c r="B205" s="262"/>
      <c r="C205" s="10"/>
      <c r="D205" s="262"/>
      <c r="E205" s="205"/>
      <c r="F205" s="263"/>
      <c r="H205" s="8"/>
      <c r="I205" s="205"/>
      <c r="J205" s="201"/>
    </row>
    <row r="206" spans="1:10" x14ac:dyDescent="0.3">
      <c r="A206" s="8"/>
      <c r="B206" s="262"/>
      <c r="C206" s="10"/>
      <c r="D206" s="262"/>
      <c r="E206" s="205"/>
      <c r="F206" s="263"/>
      <c r="H206" s="8"/>
      <c r="I206" s="205"/>
      <c r="J206" s="201"/>
    </row>
    <row r="207" spans="1:10" x14ac:dyDescent="0.3">
      <c r="A207" s="8"/>
      <c r="B207" s="262"/>
      <c r="C207" s="10"/>
      <c r="D207" s="262"/>
      <c r="E207" s="205"/>
      <c r="F207" s="263"/>
      <c r="H207" s="8"/>
      <c r="I207" s="205"/>
      <c r="J207" s="201"/>
    </row>
    <row r="208" spans="1:10" x14ac:dyDescent="0.3">
      <c r="A208" s="8"/>
      <c r="B208" s="262"/>
      <c r="C208" s="10"/>
      <c r="D208" s="262"/>
      <c r="E208" s="205"/>
      <c r="F208" s="263"/>
      <c r="H208" s="8"/>
      <c r="I208" s="205"/>
      <c r="J208" s="201"/>
    </row>
    <row r="209" spans="1:10" x14ac:dyDescent="0.3">
      <c r="A209" s="8"/>
      <c r="B209" s="262"/>
      <c r="C209" s="10"/>
      <c r="D209" s="262"/>
      <c r="E209" s="205"/>
      <c r="F209" s="263"/>
      <c r="H209" s="8"/>
      <c r="I209" s="205"/>
      <c r="J209" s="201"/>
    </row>
    <row r="210" spans="1:10" x14ac:dyDescent="0.3">
      <c r="A210" s="8"/>
      <c r="B210" s="262"/>
      <c r="C210" s="10"/>
      <c r="D210" s="262"/>
      <c r="E210" s="205"/>
      <c r="F210" s="263"/>
      <c r="H210" s="8"/>
      <c r="I210" s="205"/>
      <c r="J210" s="201"/>
    </row>
    <row r="211" spans="1:10" x14ac:dyDescent="0.3">
      <c r="A211" s="8"/>
      <c r="B211" s="262"/>
      <c r="C211" s="10"/>
      <c r="D211" s="262"/>
      <c r="E211" s="205"/>
      <c r="F211" s="263"/>
      <c r="H211" s="8"/>
      <c r="I211" s="205"/>
      <c r="J211" s="201"/>
    </row>
    <row r="212" spans="1:10" x14ac:dyDescent="0.3">
      <c r="A212" s="8"/>
      <c r="B212" s="262"/>
      <c r="C212" s="10"/>
      <c r="D212" s="262"/>
      <c r="E212" s="205"/>
      <c r="F212" s="263"/>
      <c r="H212" s="8"/>
      <c r="I212" s="205"/>
      <c r="J212" s="201"/>
    </row>
    <row r="213" spans="1:10" x14ac:dyDescent="0.3">
      <c r="A213" s="8"/>
      <c r="B213" s="262"/>
      <c r="C213" s="10"/>
      <c r="D213" s="262"/>
      <c r="E213" s="205"/>
      <c r="F213" s="263"/>
      <c r="H213" s="8"/>
      <c r="I213" s="205"/>
      <c r="J213" s="201"/>
    </row>
    <row r="214" spans="1:10" x14ac:dyDescent="0.3">
      <c r="A214" s="8"/>
      <c r="B214" s="262"/>
      <c r="C214" s="10"/>
      <c r="D214" s="262"/>
      <c r="E214" s="205"/>
      <c r="F214" s="263"/>
      <c r="H214" s="8"/>
      <c r="I214" s="205"/>
      <c r="J214" s="201"/>
    </row>
    <row r="215" spans="1:10" x14ac:dyDescent="0.3">
      <c r="A215" s="8"/>
      <c r="B215" s="262"/>
      <c r="C215" s="10"/>
      <c r="D215" s="262"/>
      <c r="E215" s="205"/>
      <c r="F215" s="263"/>
      <c r="H215" s="8"/>
      <c r="I215" s="205"/>
      <c r="J215" s="201"/>
    </row>
    <row r="216" spans="1:10" x14ac:dyDescent="0.3">
      <c r="A216" s="8"/>
      <c r="B216" s="262"/>
      <c r="C216" s="10"/>
      <c r="D216" s="262"/>
      <c r="E216" s="205"/>
      <c r="F216" s="263"/>
      <c r="H216" s="8"/>
      <c r="I216" s="205"/>
      <c r="J216" s="201"/>
    </row>
    <row r="217" spans="1:10" x14ac:dyDescent="0.3">
      <c r="A217" s="8"/>
      <c r="B217" s="262"/>
      <c r="C217" s="10"/>
      <c r="D217" s="262"/>
      <c r="E217" s="205"/>
      <c r="F217" s="263"/>
      <c r="H217" s="8"/>
      <c r="I217" s="205"/>
      <c r="J217" s="201"/>
    </row>
    <row r="218" spans="1:10" x14ac:dyDescent="0.3">
      <c r="A218" s="8"/>
      <c r="B218" s="262"/>
      <c r="C218" s="10"/>
      <c r="D218" s="262"/>
      <c r="E218" s="205"/>
      <c r="F218" s="263"/>
      <c r="H218" s="8"/>
      <c r="I218" s="205"/>
      <c r="J218" s="201"/>
    </row>
    <row r="219" spans="1:10" x14ac:dyDescent="0.3">
      <c r="A219" s="8"/>
      <c r="B219" s="262"/>
      <c r="C219" s="10"/>
      <c r="D219" s="262"/>
      <c r="E219" s="205"/>
      <c r="F219" s="263"/>
      <c r="H219" s="8"/>
      <c r="I219" s="205"/>
      <c r="J219" s="201"/>
    </row>
    <row r="220" spans="1:10" x14ac:dyDescent="0.3">
      <c r="A220" s="8"/>
      <c r="B220" s="262"/>
      <c r="C220" s="10"/>
      <c r="D220" s="262"/>
      <c r="E220" s="205"/>
      <c r="F220" s="263"/>
      <c r="H220" s="8"/>
      <c r="I220" s="205"/>
      <c r="J220" s="201"/>
    </row>
    <row r="221" spans="1:10" x14ac:dyDescent="0.3">
      <c r="A221" s="8"/>
      <c r="B221" s="262"/>
      <c r="C221" s="10"/>
      <c r="D221" s="262"/>
      <c r="E221" s="205"/>
      <c r="F221" s="263"/>
      <c r="H221" s="8"/>
      <c r="I221" s="205"/>
      <c r="J221" s="201"/>
    </row>
    <row r="222" spans="1:10" x14ac:dyDescent="0.3">
      <c r="A222" s="8"/>
      <c r="B222" s="262"/>
      <c r="C222" s="10"/>
      <c r="D222" s="262"/>
      <c r="E222" s="205"/>
      <c r="F222" s="263"/>
      <c r="H222" s="8"/>
      <c r="I222" s="205"/>
      <c r="J222" s="201"/>
    </row>
    <row r="223" spans="1:10" x14ac:dyDescent="0.3">
      <c r="A223" s="8"/>
      <c r="B223" s="262"/>
      <c r="C223" s="10"/>
      <c r="D223" s="262"/>
      <c r="E223" s="205"/>
      <c r="F223" s="263"/>
      <c r="H223" s="8"/>
      <c r="I223" s="205"/>
      <c r="J223" s="201"/>
    </row>
    <row r="224" spans="1:10" x14ac:dyDescent="0.3">
      <c r="A224" s="8"/>
      <c r="B224" s="262"/>
      <c r="C224" s="10"/>
      <c r="D224" s="262"/>
      <c r="E224" s="205"/>
      <c r="F224" s="263"/>
      <c r="H224" s="8"/>
      <c r="I224" s="205"/>
      <c r="J224" s="201"/>
    </row>
    <row r="225" spans="1:10" x14ac:dyDescent="0.3">
      <c r="A225" s="8"/>
      <c r="B225" s="262"/>
      <c r="C225" s="10"/>
      <c r="D225" s="262"/>
      <c r="E225" s="205"/>
      <c r="F225" s="263"/>
      <c r="H225" s="8"/>
      <c r="I225" s="205"/>
      <c r="J225" s="201"/>
    </row>
    <row r="226" spans="1:10" x14ac:dyDescent="0.3">
      <c r="A226" s="8"/>
      <c r="B226" s="262"/>
      <c r="C226" s="10"/>
      <c r="D226" s="262"/>
      <c r="E226" s="205"/>
      <c r="F226" s="263"/>
      <c r="H226" s="8"/>
      <c r="I226" s="205"/>
      <c r="J226" s="201"/>
    </row>
    <row r="227" spans="1:10" x14ac:dyDescent="0.3">
      <c r="A227" s="8"/>
      <c r="B227" s="262"/>
      <c r="C227" s="10"/>
      <c r="D227" s="262"/>
      <c r="E227" s="205"/>
      <c r="F227" s="263"/>
      <c r="H227" s="8"/>
      <c r="I227" s="205"/>
      <c r="J227" s="201"/>
    </row>
    <row r="228" spans="1:10" x14ac:dyDescent="0.3">
      <c r="A228" s="8"/>
      <c r="B228" s="10"/>
      <c r="C228" s="10"/>
      <c r="D228" s="10"/>
      <c r="E228" s="205"/>
      <c r="F228" s="9"/>
      <c r="H228" s="8"/>
      <c r="I228" s="205"/>
      <c r="J228" s="201"/>
    </row>
    <row r="229" spans="1:10" x14ac:dyDescent="0.3">
      <c r="A229" s="8"/>
      <c r="B229" s="10"/>
      <c r="C229" s="10"/>
      <c r="D229" s="10"/>
      <c r="E229" s="205"/>
      <c r="F229" s="9"/>
      <c r="H229" s="8"/>
      <c r="I229" s="205"/>
      <c r="J229" s="201"/>
    </row>
    <row r="230" spans="1:10" x14ac:dyDescent="0.3">
      <c r="A230" s="8"/>
      <c r="B230" s="10"/>
      <c r="C230" s="10"/>
      <c r="D230" s="10"/>
      <c r="E230" s="205"/>
      <c r="F230" s="9"/>
      <c r="H230" s="8"/>
      <c r="I230" s="205"/>
      <c r="J230" s="201"/>
    </row>
    <row r="231" spans="1:10" x14ac:dyDescent="0.3">
      <c r="A231" s="8"/>
      <c r="B231" s="10"/>
      <c r="C231" s="10"/>
      <c r="D231" s="10"/>
      <c r="E231" s="205"/>
      <c r="F231" s="9"/>
      <c r="H231" s="8"/>
      <c r="I231" s="205"/>
      <c r="J231" s="201"/>
    </row>
    <row r="232" spans="1:10" x14ac:dyDescent="0.3">
      <c r="A232" s="8"/>
      <c r="B232" s="10"/>
      <c r="C232" s="10"/>
      <c r="D232" s="10"/>
      <c r="E232" s="205"/>
      <c r="F232" s="9"/>
      <c r="H232" s="8"/>
      <c r="I232" s="205"/>
      <c r="J232" s="201"/>
    </row>
    <row r="233" spans="1:10" x14ac:dyDescent="0.3">
      <c r="A233" s="8"/>
      <c r="B233" s="10"/>
      <c r="C233" s="10"/>
      <c r="D233" s="10"/>
      <c r="E233" s="205"/>
      <c r="F233" s="9"/>
      <c r="H233" s="8"/>
      <c r="I233" s="205"/>
      <c r="J233" s="201"/>
    </row>
    <row r="234" spans="1:10" x14ac:dyDescent="0.3">
      <c r="A234" s="8"/>
      <c r="B234" s="10"/>
      <c r="C234" s="10"/>
      <c r="D234" s="10"/>
      <c r="E234" s="205"/>
      <c r="F234" s="9"/>
      <c r="H234" s="8"/>
      <c r="I234" s="205"/>
      <c r="J234" s="201"/>
    </row>
    <row r="235" spans="1:10" x14ac:dyDescent="0.3">
      <c r="A235" s="8"/>
      <c r="B235" s="10"/>
      <c r="C235" s="10"/>
      <c r="D235" s="10"/>
      <c r="E235" s="205"/>
      <c r="F235" s="9"/>
      <c r="H235" s="8"/>
      <c r="I235" s="205"/>
      <c r="J235" s="201"/>
    </row>
    <row r="236" spans="1:10" x14ac:dyDescent="0.3">
      <c r="A236" s="8"/>
      <c r="B236" s="10"/>
      <c r="C236" s="10"/>
      <c r="D236" s="10"/>
      <c r="E236" s="205"/>
      <c r="F236" s="9"/>
      <c r="H236" s="8"/>
      <c r="I236" s="205"/>
      <c r="J236" s="201"/>
    </row>
    <row r="237" spans="1:10" x14ac:dyDescent="0.3">
      <c r="A237" s="8"/>
      <c r="B237" s="10"/>
      <c r="C237" s="10"/>
      <c r="D237" s="10"/>
      <c r="E237" s="205"/>
      <c r="F237" s="9"/>
      <c r="H237" s="8"/>
      <c r="I237" s="205"/>
      <c r="J237" s="201"/>
    </row>
    <row r="238" spans="1:10" x14ac:dyDescent="0.3">
      <c r="A238" s="8"/>
      <c r="B238" s="10"/>
      <c r="C238" s="10"/>
      <c r="D238" s="10"/>
      <c r="E238" s="205"/>
      <c r="F238" s="9"/>
      <c r="H238" s="8"/>
      <c r="I238" s="205"/>
      <c r="J238" s="201"/>
    </row>
    <row r="239" spans="1:10" x14ac:dyDescent="0.3">
      <c r="A239" s="8"/>
      <c r="B239" s="10"/>
      <c r="C239" s="10"/>
      <c r="D239" s="10"/>
      <c r="E239" s="205"/>
      <c r="F239" s="9"/>
      <c r="H239" s="8"/>
      <c r="I239" s="205"/>
      <c r="J239" s="201"/>
    </row>
    <row r="240" spans="1:10" x14ac:dyDescent="0.3">
      <c r="A240" s="8"/>
      <c r="B240" s="10"/>
      <c r="C240" s="10"/>
      <c r="D240" s="10"/>
      <c r="E240" s="205"/>
      <c r="F240" s="9"/>
      <c r="H240" s="8"/>
      <c r="I240" s="205"/>
      <c r="J240" s="201"/>
    </row>
    <row r="241" spans="1:10" x14ac:dyDescent="0.3">
      <c r="A241" s="8"/>
      <c r="B241" s="10"/>
      <c r="C241" s="10"/>
      <c r="D241" s="10"/>
      <c r="E241" s="205"/>
      <c r="F241" s="9"/>
      <c r="H241" s="8"/>
      <c r="I241" s="205"/>
      <c r="J241" s="201"/>
    </row>
    <row r="242" spans="1:10" x14ac:dyDescent="0.3">
      <c r="A242" s="8"/>
      <c r="B242" s="10"/>
      <c r="C242" s="10"/>
      <c r="D242" s="10"/>
      <c r="E242" s="205"/>
      <c r="F242" s="9"/>
      <c r="H242" s="8"/>
      <c r="I242" s="205"/>
      <c r="J242" s="201"/>
    </row>
    <row r="243" spans="1:10" x14ac:dyDescent="0.3">
      <c r="A243" s="8"/>
      <c r="B243" s="10"/>
      <c r="C243" s="10"/>
      <c r="D243" s="10"/>
      <c r="E243" s="205"/>
      <c r="F243" s="9"/>
      <c r="H243" s="8"/>
      <c r="I243" s="205"/>
      <c r="J243" s="201"/>
    </row>
    <row r="244" spans="1:10" x14ac:dyDescent="0.3">
      <c r="A244" s="8"/>
      <c r="B244" s="10"/>
      <c r="C244" s="10"/>
      <c r="D244" s="10"/>
      <c r="E244" s="205"/>
      <c r="F244" s="9"/>
      <c r="H244" s="8"/>
      <c r="I244" s="205"/>
      <c r="J244" s="201"/>
    </row>
    <row r="245" spans="1:10" x14ac:dyDescent="0.3">
      <c r="A245" s="8"/>
      <c r="B245" s="10"/>
      <c r="C245" s="10"/>
      <c r="D245" s="10"/>
      <c r="E245" s="205"/>
      <c r="F245" s="9"/>
      <c r="H245" s="8"/>
      <c r="I245" s="205"/>
      <c r="J245" s="201"/>
    </row>
    <row r="246" spans="1:10" x14ac:dyDescent="0.3">
      <c r="A246" s="8"/>
      <c r="B246" s="10"/>
      <c r="C246" s="10"/>
      <c r="D246" s="10"/>
      <c r="E246" s="205"/>
      <c r="F246" s="9"/>
      <c r="H246" s="8"/>
      <c r="I246" s="205"/>
      <c r="J246" s="201"/>
    </row>
    <row r="247" spans="1:10" x14ac:dyDescent="0.3">
      <c r="A247" s="8"/>
      <c r="B247" s="10"/>
      <c r="C247" s="10"/>
      <c r="D247" s="10"/>
      <c r="E247" s="205"/>
      <c r="F247" s="9"/>
      <c r="H247" s="8"/>
      <c r="I247" s="205"/>
      <c r="J247" s="201"/>
    </row>
    <row r="248" spans="1:10" x14ac:dyDescent="0.3">
      <c r="A248" s="8"/>
      <c r="B248" s="10"/>
      <c r="C248" s="10"/>
      <c r="D248" s="10"/>
      <c r="E248" s="205"/>
      <c r="F248" s="9"/>
      <c r="H248" s="8"/>
      <c r="I248" s="205"/>
      <c r="J248" s="201"/>
    </row>
    <row r="249" spans="1:10" x14ac:dyDescent="0.3">
      <c r="A249" s="8"/>
      <c r="B249" s="10"/>
      <c r="C249" s="10"/>
      <c r="D249" s="10"/>
      <c r="E249" s="205"/>
      <c r="F249" s="9"/>
      <c r="H249" s="8"/>
      <c r="I249" s="205"/>
      <c r="J249" s="201"/>
    </row>
    <row r="250" spans="1:10" x14ac:dyDescent="0.3">
      <c r="A250" s="8"/>
      <c r="B250" s="10"/>
      <c r="C250" s="10"/>
      <c r="D250" s="10"/>
      <c r="E250" s="205"/>
      <c r="F250" s="9"/>
      <c r="H250" s="8"/>
      <c r="I250" s="205"/>
      <c r="J250" s="201"/>
    </row>
    <row r="251" spans="1:10" x14ac:dyDescent="0.3">
      <c r="A251" s="8"/>
      <c r="B251" s="10"/>
      <c r="C251" s="10"/>
      <c r="D251" s="10"/>
      <c r="E251" s="205"/>
      <c r="F251" s="9"/>
      <c r="H251" s="8"/>
      <c r="I251" s="205"/>
      <c r="J251" s="201"/>
    </row>
    <row r="252" spans="1:10" x14ac:dyDescent="0.3">
      <c r="A252" s="8"/>
      <c r="B252" s="10"/>
      <c r="C252" s="10"/>
      <c r="D252" s="10"/>
      <c r="E252" s="205"/>
      <c r="F252" s="9"/>
      <c r="H252" s="8"/>
      <c r="I252" s="205"/>
      <c r="J252" s="201"/>
    </row>
    <row r="253" spans="1:10" x14ac:dyDescent="0.3">
      <c r="A253" s="8"/>
      <c r="B253" s="10"/>
      <c r="C253" s="10"/>
      <c r="D253" s="10"/>
      <c r="E253" s="205"/>
      <c r="F253" s="9"/>
      <c r="H253" s="8"/>
      <c r="I253" s="205"/>
      <c r="J253" s="201"/>
    </row>
    <row r="254" spans="1:10" x14ac:dyDescent="0.3">
      <c r="A254" s="8"/>
      <c r="B254" s="10"/>
      <c r="C254" s="10"/>
      <c r="D254" s="10"/>
      <c r="E254" s="205"/>
      <c r="F254" s="9"/>
      <c r="H254" s="8"/>
      <c r="I254" s="205"/>
      <c r="J254" s="201"/>
    </row>
    <row r="255" spans="1:10" x14ac:dyDescent="0.3">
      <c r="A255" s="8"/>
      <c r="B255" s="10"/>
      <c r="C255" s="10"/>
      <c r="D255" s="10"/>
      <c r="E255" s="205"/>
      <c r="F255" s="9"/>
      <c r="H255" s="8"/>
      <c r="I255" s="205"/>
      <c r="J255" s="201"/>
    </row>
    <row r="256" spans="1:10" x14ac:dyDescent="0.3">
      <c r="A256" s="8"/>
      <c r="B256" s="10"/>
      <c r="C256" s="10"/>
      <c r="D256" s="10"/>
      <c r="E256" s="205"/>
      <c r="F256" s="9"/>
      <c r="H256" s="8"/>
      <c r="I256" s="205"/>
      <c r="J256" s="201"/>
    </row>
    <row r="257" spans="1:10" x14ac:dyDescent="0.3">
      <c r="A257" s="8"/>
      <c r="B257" s="10"/>
      <c r="C257" s="10"/>
      <c r="D257" s="10"/>
      <c r="E257" s="205"/>
      <c r="F257" s="9"/>
      <c r="H257" s="8"/>
      <c r="I257" s="205"/>
      <c r="J257" s="201"/>
    </row>
    <row r="258" spans="1:10" x14ac:dyDescent="0.3">
      <c r="A258" s="8"/>
      <c r="B258" s="10"/>
      <c r="C258" s="10"/>
      <c r="D258" s="10"/>
      <c r="E258" s="205"/>
      <c r="F258" s="9"/>
      <c r="H258" s="8"/>
      <c r="I258" s="205"/>
      <c r="J258" s="201"/>
    </row>
    <row r="259" spans="1:10" x14ac:dyDescent="0.3">
      <c r="A259" s="8"/>
      <c r="B259" s="10"/>
      <c r="C259" s="10"/>
      <c r="D259" s="10"/>
      <c r="E259" s="205"/>
      <c r="F259" s="9"/>
      <c r="H259" s="8"/>
      <c r="I259" s="205"/>
      <c r="J259" s="201"/>
    </row>
    <row r="260" spans="1:10" x14ac:dyDescent="0.3">
      <c r="A260" s="8"/>
      <c r="B260" s="10"/>
      <c r="C260" s="10"/>
      <c r="D260" s="10"/>
      <c r="E260" s="205"/>
      <c r="F260" s="9"/>
      <c r="H260" s="8"/>
      <c r="I260" s="205"/>
      <c r="J260" s="201"/>
    </row>
    <row r="261" spans="1:10" x14ac:dyDescent="0.3">
      <c r="A261" s="8"/>
      <c r="B261" s="10"/>
      <c r="C261" s="10"/>
      <c r="D261" s="10"/>
      <c r="E261" s="205"/>
      <c r="F261" s="9"/>
      <c r="H261" s="8"/>
      <c r="I261" s="205"/>
      <c r="J261" s="201"/>
    </row>
    <row r="262" spans="1:10" x14ac:dyDescent="0.3">
      <c r="A262" s="8"/>
      <c r="B262" s="10"/>
      <c r="C262" s="10"/>
      <c r="D262" s="10"/>
      <c r="E262" s="205"/>
      <c r="F262" s="9"/>
      <c r="H262" s="8"/>
      <c r="I262" s="205"/>
      <c r="J262" s="201"/>
    </row>
    <row r="263" spans="1:10" x14ac:dyDescent="0.3">
      <c r="A263" s="8"/>
      <c r="B263" s="10"/>
      <c r="C263" s="10"/>
      <c r="D263" s="10"/>
      <c r="E263" s="205"/>
      <c r="F263" s="9"/>
      <c r="H263" s="8"/>
      <c r="I263" s="205"/>
      <c r="J263" s="201"/>
    </row>
    <row r="264" spans="1:10" x14ac:dyDescent="0.3">
      <c r="A264" s="8"/>
      <c r="B264" s="10"/>
      <c r="C264" s="10"/>
      <c r="D264" s="10"/>
      <c r="E264" s="205"/>
      <c r="F264" s="9"/>
      <c r="H264" s="8"/>
      <c r="I264" s="205"/>
      <c r="J264" s="201"/>
    </row>
    <row r="265" spans="1:10" x14ac:dyDescent="0.3">
      <c r="A265" s="8"/>
      <c r="B265" s="10"/>
      <c r="C265" s="10"/>
      <c r="D265" s="10"/>
      <c r="E265" s="205"/>
      <c r="F265" s="9"/>
      <c r="H265" s="8"/>
      <c r="I265" s="205"/>
      <c r="J265" s="201"/>
    </row>
    <row r="266" spans="1:10" x14ac:dyDescent="0.3">
      <c r="A266" s="8"/>
      <c r="B266" s="10"/>
      <c r="C266" s="10"/>
      <c r="D266" s="10"/>
      <c r="E266" s="205"/>
      <c r="F266" s="9"/>
      <c r="H266" s="8"/>
      <c r="I266" s="205"/>
      <c r="J266" s="201"/>
    </row>
    <row r="267" spans="1:10" x14ac:dyDescent="0.3">
      <c r="A267" s="8"/>
      <c r="B267" s="10"/>
      <c r="C267" s="10"/>
      <c r="D267" s="10"/>
      <c r="E267" s="205"/>
      <c r="F267" s="9"/>
      <c r="H267" s="8"/>
      <c r="I267" s="205"/>
      <c r="J267" s="201"/>
    </row>
    <row r="268" spans="1:10" x14ac:dyDescent="0.3">
      <c r="A268" s="8"/>
      <c r="B268" s="10"/>
      <c r="C268" s="10"/>
      <c r="D268" s="10"/>
      <c r="E268" s="205"/>
      <c r="F268" s="9"/>
      <c r="H268" s="8"/>
      <c r="I268" s="205"/>
      <c r="J268" s="201"/>
    </row>
    <row r="269" spans="1:10" x14ac:dyDescent="0.3">
      <c r="A269" s="8"/>
      <c r="B269" s="10"/>
      <c r="C269" s="10"/>
      <c r="D269" s="10"/>
      <c r="E269" s="205"/>
      <c r="F269" s="9"/>
      <c r="H269" s="8"/>
      <c r="I269" s="205"/>
      <c r="J269" s="201"/>
    </row>
    <row r="270" spans="1:10" x14ac:dyDescent="0.3">
      <c r="A270" s="8"/>
      <c r="B270" s="10"/>
      <c r="C270" s="10"/>
      <c r="D270" s="10"/>
      <c r="E270" s="205"/>
      <c r="F270" s="9"/>
      <c r="H270" s="8"/>
      <c r="I270" s="205"/>
      <c r="J270" s="201"/>
    </row>
    <row r="271" spans="1:10" x14ac:dyDescent="0.3">
      <c r="A271" s="8"/>
      <c r="B271" s="10"/>
      <c r="C271" s="10"/>
      <c r="D271" s="10"/>
      <c r="E271" s="205"/>
      <c r="F271" s="9"/>
      <c r="H271" s="8"/>
      <c r="I271" s="205"/>
      <c r="J271" s="201"/>
    </row>
    <row r="272" spans="1:10" x14ac:dyDescent="0.3">
      <c r="A272" s="8"/>
      <c r="B272" s="10"/>
      <c r="C272" s="10"/>
      <c r="D272" s="10"/>
      <c r="E272" s="205"/>
      <c r="F272" s="9"/>
      <c r="H272" s="8"/>
      <c r="I272" s="205"/>
      <c r="J272" s="201"/>
    </row>
    <row r="273" spans="1:10" x14ac:dyDescent="0.3">
      <c r="A273" s="8"/>
      <c r="B273" s="10"/>
      <c r="C273" s="10"/>
      <c r="D273" s="10"/>
      <c r="E273" s="205"/>
      <c r="F273" s="9"/>
      <c r="H273" s="8"/>
      <c r="I273" s="205"/>
      <c r="J273" s="201"/>
    </row>
    <row r="274" spans="1:10" x14ac:dyDescent="0.3">
      <c r="A274" s="8"/>
      <c r="B274" s="10"/>
      <c r="C274" s="10"/>
      <c r="D274" s="10"/>
      <c r="E274" s="205"/>
      <c r="F274" s="9"/>
      <c r="H274" s="8"/>
      <c r="I274" s="205"/>
      <c r="J274" s="201"/>
    </row>
    <row r="275" spans="1:10" x14ac:dyDescent="0.3">
      <c r="A275" s="8"/>
      <c r="B275" s="10"/>
      <c r="C275" s="10"/>
      <c r="D275" s="10"/>
      <c r="E275" s="205"/>
      <c r="F275" s="9"/>
      <c r="H275" s="8"/>
      <c r="I275" s="205"/>
      <c r="J275" s="201"/>
    </row>
    <row r="276" spans="1:10" x14ac:dyDescent="0.3">
      <c r="A276" s="8"/>
      <c r="B276" s="10"/>
      <c r="C276" s="10"/>
      <c r="D276" s="10"/>
      <c r="E276" s="205"/>
      <c r="F276" s="9"/>
      <c r="H276" s="8"/>
      <c r="I276" s="205"/>
      <c r="J276" s="201"/>
    </row>
    <row r="277" spans="1:10" x14ac:dyDescent="0.3">
      <c r="A277" s="8"/>
      <c r="B277" s="10"/>
      <c r="C277" s="10"/>
      <c r="D277" s="10"/>
      <c r="E277" s="205"/>
      <c r="F277" s="9"/>
      <c r="H277" s="8"/>
      <c r="I277" s="205"/>
      <c r="J277" s="201"/>
    </row>
    <row r="278" spans="1:10" x14ac:dyDescent="0.3">
      <c r="A278" s="8"/>
      <c r="B278" s="10"/>
      <c r="C278" s="10"/>
      <c r="D278" s="10"/>
      <c r="E278" s="205"/>
      <c r="F278" s="9"/>
      <c r="H278" s="8"/>
      <c r="I278" s="205"/>
      <c r="J278" s="201"/>
    </row>
    <row r="279" spans="1:10" x14ac:dyDescent="0.3">
      <c r="A279" s="8"/>
      <c r="B279" s="10"/>
      <c r="C279" s="10"/>
      <c r="D279" s="10"/>
      <c r="E279" s="205"/>
      <c r="F279" s="9"/>
      <c r="H279" s="8"/>
      <c r="I279" s="205"/>
      <c r="J279" s="201"/>
    </row>
    <row r="280" spans="1:10" x14ac:dyDescent="0.3">
      <c r="A280" s="8"/>
      <c r="B280" s="10"/>
      <c r="C280" s="10"/>
      <c r="D280" s="10"/>
      <c r="E280" s="205"/>
      <c r="F280" s="9"/>
      <c r="H280" s="8"/>
      <c r="I280" s="205"/>
      <c r="J280" s="201"/>
    </row>
    <row r="281" spans="1:10" x14ac:dyDescent="0.3">
      <c r="A281" s="8"/>
      <c r="B281" s="10"/>
      <c r="C281" s="10"/>
      <c r="D281" s="10"/>
      <c r="E281" s="205"/>
      <c r="F281" s="9"/>
      <c r="H281" s="8"/>
      <c r="I281" s="205"/>
      <c r="J281" s="201"/>
    </row>
    <row r="282" spans="1:10" x14ac:dyDescent="0.3">
      <c r="A282" s="8"/>
      <c r="B282" s="10"/>
      <c r="C282" s="10"/>
      <c r="D282" s="10"/>
      <c r="E282" s="205"/>
      <c r="F282" s="9"/>
      <c r="H282" s="8"/>
      <c r="I282" s="205"/>
      <c r="J282" s="201"/>
    </row>
    <row r="283" spans="1:10" x14ac:dyDescent="0.3">
      <c r="A283" s="8"/>
      <c r="B283" s="10"/>
      <c r="C283" s="10"/>
      <c r="D283" s="10"/>
      <c r="E283" s="205"/>
      <c r="F283" s="9"/>
      <c r="H283" s="8"/>
      <c r="I283" s="205"/>
      <c r="J283" s="201"/>
    </row>
    <row r="284" spans="1:10" x14ac:dyDescent="0.3">
      <c r="A284" s="8"/>
      <c r="B284" s="10"/>
      <c r="C284" s="10"/>
      <c r="D284" s="10"/>
      <c r="E284" s="205"/>
      <c r="F284" s="9"/>
      <c r="H284" s="8"/>
      <c r="I284" s="205"/>
      <c r="J284" s="201"/>
    </row>
    <row r="285" spans="1:10" x14ac:dyDescent="0.3">
      <c r="A285" s="8"/>
      <c r="B285" s="10"/>
      <c r="C285" s="10"/>
      <c r="D285" s="10"/>
      <c r="E285" s="205"/>
      <c r="F285" s="9"/>
      <c r="H285" s="8"/>
      <c r="I285" s="205"/>
      <c r="J285" s="201"/>
    </row>
    <row r="286" spans="1:10" x14ac:dyDescent="0.3">
      <c r="A286" s="8"/>
      <c r="B286" s="10"/>
      <c r="C286" s="10"/>
      <c r="D286" s="10"/>
      <c r="E286" s="205"/>
      <c r="F286" s="9"/>
      <c r="H286" s="8"/>
      <c r="I286" s="205"/>
      <c r="J286" s="201"/>
    </row>
    <row r="287" spans="1:10" x14ac:dyDescent="0.3">
      <c r="A287" s="8"/>
      <c r="B287" s="10"/>
      <c r="C287" s="10"/>
      <c r="D287" s="10"/>
      <c r="E287" s="205"/>
      <c r="F287" s="9"/>
      <c r="H287" s="8"/>
      <c r="I287" s="205"/>
      <c r="J287" s="201"/>
    </row>
    <row r="288" spans="1:10" x14ac:dyDescent="0.3">
      <c r="A288" s="8"/>
      <c r="B288" s="10"/>
      <c r="C288" s="10"/>
      <c r="D288" s="10"/>
      <c r="E288" s="205"/>
      <c r="F288" s="9"/>
      <c r="H288" s="8"/>
      <c r="I288" s="205"/>
      <c r="J288" s="201"/>
    </row>
    <row r="289" spans="1:10" x14ac:dyDescent="0.3">
      <c r="A289" s="8"/>
      <c r="B289" s="10"/>
      <c r="C289" s="10"/>
      <c r="D289" s="10"/>
      <c r="E289" s="205"/>
      <c r="F289" s="9"/>
      <c r="H289" s="8"/>
      <c r="I289" s="205"/>
      <c r="J289" s="201"/>
    </row>
    <row r="290" spans="1:10" x14ac:dyDescent="0.3">
      <c r="A290" s="8"/>
      <c r="B290" s="10"/>
      <c r="C290" s="10"/>
      <c r="D290" s="10"/>
      <c r="E290" s="205"/>
      <c r="F290" s="9"/>
      <c r="H290" s="8"/>
      <c r="I290" s="205"/>
      <c r="J290" s="201"/>
    </row>
    <row r="291" spans="1:10" x14ac:dyDescent="0.3">
      <c r="A291" s="8"/>
      <c r="B291" s="10"/>
      <c r="C291" s="10"/>
      <c r="D291" s="10"/>
      <c r="E291" s="205"/>
      <c r="F291" s="9"/>
      <c r="H291" s="8"/>
      <c r="I291" s="205"/>
      <c r="J291" s="201"/>
    </row>
    <row r="292" spans="1:10" x14ac:dyDescent="0.3">
      <c r="A292" s="8"/>
      <c r="B292" s="10"/>
      <c r="C292" s="10"/>
      <c r="D292" s="10"/>
      <c r="E292" s="205"/>
      <c r="F292" s="9"/>
      <c r="H292" s="8"/>
      <c r="I292" s="205"/>
      <c r="J292" s="201"/>
    </row>
    <row r="293" spans="1:10" x14ac:dyDescent="0.3">
      <c r="A293" s="8"/>
      <c r="B293" s="10"/>
      <c r="C293" s="10"/>
      <c r="D293" s="10"/>
      <c r="E293" s="205"/>
      <c r="F293" s="9"/>
      <c r="H293" s="8"/>
      <c r="I293" s="205"/>
      <c r="J293" s="201"/>
    </row>
    <row r="294" spans="1:10" x14ac:dyDescent="0.3">
      <c r="A294" s="8"/>
      <c r="B294" s="10"/>
      <c r="C294" s="10"/>
      <c r="D294" s="10"/>
      <c r="E294" s="205"/>
      <c r="F294" s="9"/>
      <c r="H294" s="8"/>
      <c r="I294" s="205"/>
      <c r="J294" s="201"/>
    </row>
    <row r="295" spans="1:10" x14ac:dyDescent="0.3">
      <c r="A295" s="8"/>
      <c r="B295" s="10"/>
      <c r="C295" s="10"/>
      <c r="D295" s="10"/>
      <c r="E295" s="205"/>
      <c r="F295" s="9"/>
      <c r="H295" s="8"/>
      <c r="I295" s="205"/>
      <c r="J295" s="201"/>
    </row>
    <row r="296" spans="1:10" x14ac:dyDescent="0.3">
      <c r="A296" s="8"/>
      <c r="B296" s="10"/>
      <c r="C296" s="10"/>
      <c r="D296" s="10"/>
      <c r="E296" s="205"/>
      <c r="F296" s="9"/>
      <c r="H296" s="8"/>
      <c r="I296" s="205"/>
      <c r="J296" s="201"/>
    </row>
    <row r="297" spans="1:10" x14ac:dyDescent="0.3">
      <c r="A297" s="8"/>
      <c r="B297" s="10"/>
      <c r="C297" s="10"/>
      <c r="D297" s="10"/>
      <c r="E297" s="205"/>
      <c r="F297" s="9"/>
      <c r="H297" s="8"/>
      <c r="I297" s="205"/>
      <c r="J297" s="201"/>
    </row>
    <row r="298" spans="1:10" x14ac:dyDescent="0.3">
      <c r="A298" s="8"/>
      <c r="B298" s="10"/>
      <c r="C298" s="10"/>
      <c r="D298" s="10"/>
      <c r="E298" s="205"/>
      <c r="F298" s="9"/>
      <c r="H298" s="8"/>
      <c r="I298" s="205"/>
      <c r="J298" s="201"/>
    </row>
    <row r="299" spans="1:10" x14ac:dyDescent="0.3">
      <c r="A299" s="8"/>
      <c r="B299" s="10"/>
      <c r="C299" s="10"/>
      <c r="D299" s="10"/>
      <c r="E299" s="205"/>
      <c r="F299" s="9"/>
      <c r="H299" s="8"/>
      <c r="I299" s="205"/>
      <c r="J299" s="201"/>
    </row>
    <row r="300" spans="1:10" x14ac:dyDescent="0.3">
      <c r="A300" s="8"/>
      <c r="B300" s="10"/>
      <c r="C300" s="10"/>
      <c r="D300" s="10"/>
      <c r="E300" s="205"/>
      <c r="F300" s="9"/>
      <c r="H300" s="8"/>
      <c r="I300" s="205"/>
      <c r="J300" s="201"/>
    </row>
    <row r="301" spans="1:10" x14ac:dyDescent="0.3">
      <c r="A301" s="8"/>
      <c r="B301" s="10"/>
      <c r="C301" s="10"/>
      <c r="D301" s="10"/>
      <c r="E301" s="205"/>
      <c r="F301" s="9"/>
      <c r="H301" s="8"/>
      <c r="I301" s="205"/>
      <c r="J301" s="201"/>
    </row>
    <row r="302" spans="1:10" x14ac:dyDescent="0.3">
      <c r="A302" s="8"/>
      <c r="B302" s="10"/>
      <c r="C302" s="10"/>
      <c r="D302" s="10"/>
      <c r="E302" s="205"/>
      <c r="F302" s="9"/>
      <c r="H302" s="8"/>
      <c r="I302" s="205"/>
      <c r="J302" s="201"/>
    </row>
    <row r="303" spans="1:10" x14ac:dyDescent="0.3">
      <c r="A303" s="8"/>
      <c r="B303" s="10"/>
      <c r="C303" s="10"/>
      <c r="D303" s="10"/>
      <c r="E303" s="205"/>
      <c r="F303" s="9"/>
      <c r="H303" s="8"/>
      <c r="I303" s="205"/>
      <c r="J303" s="201"/>
    </row>
    <row r="304" spans="1:10" x14ac:dyDescent="0.3">
      <c r="A304" s="8"/>
      <c r="B304" s="10"/>
      <c r="C304" s="10"/>
      <c r="D304" s="10"/>
      <c r="E304" s="205"/>
      <c r="F304" s="9"/>
      <c r="H304" s="8"/>
      <c r="I304" s="205"/>
      <c r="J304" s="201"/>
    </row>
    <row r="305" spans="1:10" x14ac:dyDescent="0.3">
      <c r="A305" s="8"/>
      <c r="B305" s="10"/>
      <c r="C305" s="10"/>
      <c r="D305" s="10"/>
      <c r="E305" s="205"/>
      <c r="F305" s="9"/>
      <c r="H305" s="8"/>
      <c r="I305" s="205"/>
      <c r="J305" s="201"/>
    </row>
    <row r="306" spans="1:10" x14ac:dyDescent="0.3">
      <c r="A306" s="8"/>
      <c r="B306" s="10"/>
      <c r="C306" s="10"/>
      <c r="D306" s="10"/>
      <c r="E306" s="205"/>
      <c r="F306" s="9"/>
      <c r="H306" s="8"/>
      <c r="I306" s="205"/>
      <c r="J306" s="201"/>
    </row>
    <row r="307" spans="1:10" x14ac:dyDescent="0.3">
      <c r="A307" s="8"/>
      <c r="B307" s="10"/>
      <c r="C307" s="10"/>
      <c r="D307" s="10"/>
      <c r="E307" s="205"/>
      <c r="F307" s="9"/>
      <c r="H307" s="8"/>
      <c r="I307" s="205"/>
      <c r="J307" s="201"/>
    </row>
    <row r="308" spans="1:10" x14ac:dyDescent="0.3">
      <c r="A308" s="8"/>
      <c r="B308" s="10"/>
      <c r="C308" s="10"/>
      <c r="D308" s="10"/>
      <c r="E308" s="205"/>
      <c r="F308" s="9"/>
      <c r="H308" s="8"/>
      <c r="I308" s="205"/>
      <c r="J308" s="201"/>
    </row>
    <row r="309" spans="1:10" x14ac:dyDescent="0.3">
      <c r="A309" s="8"/>
      <c r="B309" s="10"/>
      <c r="C309" s="10"/>
      <c r="D309" s="10"/>
      <c r="E309" s="205"/>
      <c r="F309" s="9"/>
      <c r="H309" s="8"/>
      <c r="I309" s="205"/>
      <c r="J309" s="201"/>
    </row>
    <row r="310" spans="1:10" x14ac:dyDescent="0.3">
      <c r="A310" s="8"/>
      <c r="B310" s="10"/>
      <c r="C310" s="10"/>
      <c r="D310" s="10"/>
      <c r="E310" s="205"/>
      <c r="F310" s="9"/>
      <c r="H310" s="8"/>
      <c r="I310" s="205"/>
      <c r="J310" s="201"/>
    </row>
    <row r="311" spans="1:10" x14ac:dyDescent="0.3">
      <c r="A311" s="8"/>
      <c r="B311" s="10"/>
      <c r="C311" s="10"/>
      <c r="D311" s="10"/>
      <c r="E311" s="205"/>
      <c r="F311" s="9"/>
      <c r="H311" s="8"/>
      <c r="I311" s="205"/>
      <c r="J311" s="201"/>
    </row>
    <row r="312" spans="1:10" x14ac:dyDescent="0.3">
      <c r="A312" s="8"/>
      <c r="B312" s="10"/>
      <c r="C312" s="10"/>
      <c r="D312" s="10"/>
      <c r="E312" s="205"/>
      <c r="F312" s="9"/>
      <c r="H312" s="8"/>
      <c r="I312" s="205"/>
      <c r="J312" s="201"/>
    </row>
    <row r="313" spans="1:10" x14ac:dyDescent="0.3">
      <c r="A313" s="8"/>
      <c r="B313" s="10"/>
      <c r="C313" s="10"/>
      <c r="D313" s="10"/>
      <c r="E313" s="205"/>
      <c r="F313" s="9"/>
      <c r="H313" s="8"/>
      <c r="I313" s="205"/>
      <c r="J313" s="201"/>
    </row>
    <row r="314" spans="1:10" x14ac:dyDescent="0.3">
      <c r="A314" s="8"/>
      <c r="B314" s="10"/>
      <c r="C314" s="10"/>
      <c r="D314" s="10"/>
      <c r="E314" s="205"/>
      <c r="F314" s="9"/>
      <c r="H314" s="8"/>
      <c r="I314" s="205"/>
      <c r="J314" s="201"/>
    </row>
    <row r="315" spans="1:10" x14ac:dyDescent="0.3">
      <c r="A315" s="8"/>
      <c r="B315" s="10"/>
      <c r="C315" s="10"/>
      <c r="D315" s="10"/>
      <c r="E315" s="205"/>
      <c r="F315" s="9"/>
      <c r="H315" s="8"/>
      <c r="I315" s="205"/>
      <c r="J315" s="201"/>
    </row>
    <row r="316" spans="1:10" x14ac:dyDescent="0.3">
      <c r="A316" s="8"/>
      <c r="B316" s="10"/>
      <c r="C316" s="10"/>
      <c r="D316" s="10"/>
      <c r="E316" s="205"/>
      <c r="F316" s="9"/>
      <c r="H316" s="8"/>
      <c r="I316" s="205"/>
      <c r="J316" s="201"/>
    </row>
    <row r="317" spans="1:10" x14ac:dyDescent="0.3">
      <c r="A317" s="8"/>
      <c r="B317" s="10"/>
      <c r="C317" s="10"/>
      <c r="D317" s="10"/>
      <c r="E317" s="205"/>
      <c r="F317" s="9"/>
      <c r="H317" s="8"/>
      <c r="I317" s="205"/>
      <c r="J317" s="201"/>
    </row>
    <row r="318" spans="1:10" x14ac:dyDescent="0.3">
      <c r="A318" s="8"/>
      <c r="B318" s="10"/>
      <c r="C318" s="10"/>
      <c r="D318" s="10"/>
      <c r="E318" s="205"/>
      <c r="F318" s="9"/>
      <c r="H318" s="8"/>
      <c r="I318" s="205"/>
      <c r="J318" s="201"/>
    </row>
    <row r="319" spans="1:10" x14ac:dyDescent="0.3">
      <c r="A319" s="8"/>
      <c r="B319" s="10"/>
      <c r="C319" s="10"/>
      <c r="D319" s="10"/>
      <c r="E319" s="205"/>
      <c r="F319" s="9"/>
      <c r="H319" s="8"/>
      <c r="I319" s="205"/>
      <c r="J319" s="201"/>
    </row>
    <row r="320" spans="1:10" x14ac:dyDescent="0.3">
      <c r="A320" s="8"/>
      <c r="B320" s="10"/>
      <c r="C320" s="10"/>
      <c r="D320" s="10"/>
      <c r="E320" s="205"/>
      <c r="F320" s="9"/>
      <c r="H320" s="8"/>
      <c r="I320" s="205"/>
      <c r="J320" s="201"/>
    </row>
    <row r="321" spans="1:10" x14ac:dyDescent="0.3">
      <c r="A321" s="8"/>
      <c r="B321" s="10"/>
      <c r="C321" s="10"/>
      <c r="D321" s="10"/>
      <c r="E321" s="205"/>
      <c r="F321" s="9"/>
      <c r="H321" s="8"/>
      <c r="I321" s="205"/>
      <c r="J321" s="201"/>
    </row>
    <row r="322" spans="1:10" x14ac:dyDescent="0.3">
      <c r="A322" s="8"/>
      <c r="B322" s="10"/>
      <c r="C322" s="10"/>
      <c r="D322" s="10"/>
      <c r="E322" s="205"/>
      <c r="F322" s="9"/>
      <c r="H322" s="8"/>
      <c r="I322" s="205"/>
      <c r="J322" s="201"/>
    </row>
    <row r="323" spans="1:10" x14ac:dyDescent="0.3">
      <c r="A323" s="8"/>
      <c r="B323" s="10"/>
      <c r="C323" s="10"/>
      <c r="D323" s="10"/>
      <c r="E323" s="205"/>
      <c r="F323" s="9"/>
      <c r="H323" s="8"/>
      <c r="I323" s="205"/>
      <c r="J323" s="201"/>
    </row>
    <row r="324" spans="1:10" x14ac:dyDescent="0.3">
      <c r="A324" s="8"/>
      <c r="B324" s="10"/>
      <c r="C324" s="10"/>
      <c r="D324" s="10"/>
      <c r="E324" s="205"/>
      <c r="F324" s="9"/>
      <c r="H324" s="8"/>
      <c r="I324" s="205"/>
      <c r="J324" s="201"/>
    </row>
    <row r="325" spans="1:10" x14ac:dyDescent="0.3">
      <c r="A325" s="8"/>
      <c r="B325" s="10"/>
      <c r="C325" s="10"/>
      <c r="D325" s="10"/>
      <c r="E325" s="205"/>
      <c r="F325" s="9"/>
      <c r="H325" s="8"/>
      <c r="I325" s="205"/>
      <c r="J325" s="201"/>
    </row>
    <row r="326" spans="1:10" x14ac:dyDescent="0.3">
      <c r="A326" s="8"/>
      <c r="B326" s="10"/>
      <c r="C326" s="10"/>
      <c r="D326" s="10"/>
      <c r="E326" s="205"/>
      <c r="F326" s="9"/>
      <c r="H326" s="8"/>
      <c r="I326" s="205"/>
      <c r="J326" s="201"/>
    </row>
    <row r="327" spans="1:10" x14ac:dyDescent="0.3">
      <c r="A327" s="8"/>
      <c r="B327" s="10"/>
      <c r="C327" s="10"/>
      <c r="D327" s="10"/>
      <c r="E327" s="205"/>
      <c r="F327" s="9"/>
      <c r="H327" s="8"/>
      <c r="I327" s="205"/>
      <c r="J327" s="201"/>
    </row>
    <row r="328" spans="1:10" x14ac:dyDescent="0.3">
      <c r="A328" s="8"/>
      <c r="B328" s="10"/>
      <c r="C328" s="10"/>
      <c r="D328" s="10"/>
      <c r="E328" s="205"/>
      <c r="F328" s="9"/>
      <c r="H328" s="8"/>
      <c r="I328" s="205"/>
      <c r="J328" s="201"/>
    </row>
    <row r="329" spans="1:10" x14ac:dyDescent="0.3">
      <c r="A329" s="8"/>
      <c r="B329" s="10"/>
      <c r="C329" s="10"/>
      <c r="D329" s="10"/>
      <c r="E329" s="205"/>
      <c r="F329" s="9"/>
      <c r="H329" s="8"/>
      <c r="I329" s="205"/>
      <c r="J329" s="201"/>
    </row>
    <row r="330" spans="1:10" x14ac:dyDescent="0.3">
      <c r="A330" s="8"/>
      <c r="B330" s="10"/>
      <c r="C330" s="10"/>
      <c r="D330" s="10"/>
      <c r="E330" s="205"/>
      <c r="F330" s="9"/>
      <c r="H330" s="8"/>
      <c r="I330" s="205"/>
      <c r="J330" s="201"/>
    </row>
    <row r="331" spans="1:10" x14ac:dyDescent="0.3">
      <c r="A331" s="8"/>
      <c r="B331" s="10"/>
      <c r="C331" s="10"/>
      <c r="D331" s="10"/>
      <c r="E331" s="205"/>
      <c r="F331" s="9"/>
      <c r="H331" s="8"/>
      <c r="I331" s="205"/>
      <c r="J331" s="201"/>
    </row>
    <row r="332" spans="1:10" x14ac:dyDescent="0.3">
      <c r="A332" s="8"/>
      <c r="B332" s="10"/>
      <c r="C332" s="10"/>
      <c r="D332" s="10"/>
      <c r="E332" s="205"/>
      <c r="F332" s="9"/>
      <c r="H332" s="8"/>
      <c r="I332" s="205"/>
      <c r="J332" s="201"/>
    </row>
    <row r="333" spans="1:10" x14ac:dyDescent="0.3">
      <c r="A333" s="8"/>
      <c r="B333" s="10"/>
      <c r="C333" s="10"/>
      <c r="D333" s="10"/>
      <c r="E333" s="205"/>
      <c r="F333" s="9"/>
      <c r="H333" s="8"/>
      <c r="I333" s="205"/>
      <c r="J333" s="201"/>
    </row>
    <row r="334" spans="1:10" x14ac:dyDescent="0.3">
      <c r="A334" s="8"/>
      <c r="B334" s="10"/>
      <c r="C334" s="10"/>
      <c r="D334" s="10"/>
      <c r="E334" s="205"/>
      <c r="F334" s="9"/>
      <c r="H334" s="8"/>
      <c r="I334" s="205"/>
      <c r="J334" s="201"/>
    </row>
    <row r="335" spans="1:10" x14ac:dyDescent="0.3">
      <c r="A335" s="8"/>
      <c r="B335" s="10"/>
      <c r="C335" s="10"/>
      <c r="D335" s="10"/>
      <c r="E335" s="205"/>
      <c r="F335" s="9"/>
      <c r="H335" s="8"/>
      <c r="I335" s="205"/>
      <c r="J335" s="201"/>
    </row>
    <row r="336" spans="1:10" x14ac:dyDescent="0.3">
      <c r="A336" s="8"/>
      <c r="B336" s="10"/>
      <c r="C336" s="10"/>
      <c r="D336" s="10"/>
      <c r="E336" s="205"/>
      <c r="F336" s="9"/>
      <c r="H336" s="8"/>
      <c r="I336" s="205"/>
      <c r="J336" s="201"/>
    </row>
    <row r="337" spans="1:10" x14ac:dyDescent="0.3">
      <c r="A337" s="8"/>
      <c r="B337" s="10"/>
      <c r="C337" s="10"/>
      <c r="D337" s="10"/>
      <c r="E337" s="205"/>
      <c r="F337" s="9"/>
      <c r="H337" s="8"/>
      <c r="I337" s="205"/>
      <c r="J337" s="201"/>
    </row>
    <row r="338" spans="1:10" x14ac:dyDescent="0.3">
      <c r="A338" s="8"/>
      <c r="B338" s="10"/>
      <c r="C338" s="10"/>
      <c r="D338" s="10"/>
      <c r="E338" s="205"/>
      <c r="F338" s="9"/>
      <c r="H338" s="8"/>
      <c r="I338" s="205"/>
      <c r="J338" s="201"/>
    </row>
    <row r="339" spans="1:10" x14ac:dyDescent="0.3">
      <c r="A339" s="8"/>
      <c r="B339" s="10"/>
      <c r="C339" s="10"/>
      <c r="D339" s="10"/>
      <c r="E339" s="205"/>
      <c r="F339" s="9"/>
      <c r="H339" s="8"/>
      <c r="I339" s="205"/>
      <c r="J339" s="201"/>
    </row>
    <row r="340" spans="1:10" x14ac:dyDescent="0.3">
      <c r="A340" s="8"/>
      <c r="B340" s="10"/>
      <c r="C340" s="10"/>
      <c r="D340" s="10"/>
      <c r="E340" s="205"/>
      <c r="F340" s="9"/>
      <c r="H340" s="8"/>
      <c r="I340" s="205"/>
      <c r="J340" s="201"/>
    </row>
    <row r="341" spans="1:10" x14ac:dyDescent="0.3">
      <c r="A341" s="8"/>
      <c r="B341" s="10"/>
      <c r="C341" s="10"/>
      <c r="D341" s="10"/>
      <c r="E341" s="205"/>
      <c r="F341" s="9"/>
      <c r="H341" s="8"/>
      <c r="I341" s="205"/>
      <c r="J341" s="201"/>
    </row>
    <row r="342" spans="1:10" x14ac:dyDescent="0.3">
      <c r="A342" s="8"/>
      <c r="B342" s="10"/>
      <c r="C342" s="10"/>
      <c r="D342" s="10"/>
      <c r="E342" s="205"/>
      <c r="F342" s="9"/>
      <c r="H342" s="8"/>
      <c r="I342" s="205"/>
      <c r="J342" s="201"/>
    </row>
    <row r="343" spans="1:10" x14ac:dyDescent="0.3">
      <c r="A343" s="8"/>
      <c r="B343" s="10"/>
      <c r="C343" s="10"/>
      <c r="D343" s="10"/>
      <c r="E343" s="205"/>
      <c r="F343" s="9"/>
      <c r="H343" s="8"/>
      <c r="I343" s="205"/>
      <c r="J343" s="201"/>
    </row>
    <row r="344" spans="1:10" x14ac:dyDescent="0.3">
      <c r="A344" s="8"/>
      <c r="B344" s="10"/>
      <c r="C344" s="10"/>
      <c r="D344" s="10"/>
      <c r="E344" s="205"/>
      <c r="F344" s="9"/>
      <c r="H344" s="8"/>
      <c r="I344" s="205"/>
      <c r="J344" s="201"/>
    </row>
    <row r="345" spans="1:10" x14ac:dyDescent="0.3">
      <c r="A345" s="8"/>
      <c r="B345" s="10"/>
      <c r="C345" s="10"/>
      <c r="D345" s="10"/>
      <c r="E345" s="205"/>
      <c r="F345" s="9"/>
      <c r="H345" s="8"/>
      <c r="I345" s="205"/>
      <c r="J345" s="201"/>
    </row>
    <row r="346" spans="1:10" x14ac:dyDescent="0.3">
      <c r="A346" s="8"/>
      <c r="B346" s="10"/>
      <c r="C346" s="10"/>
      <c r="D346" s="10"/>
      <c r="E346" s="205"/>
      <c r="F346" s="9"/>
      <c r="H346" s="8"/>
      <c r="I346" s="205"/>
      <c r="J346" s="201"/>
    </row>
    <row r="347" spans="1:10" x14ac:dyDescent="0.3">
      <c r="A347" s="8"/>
      <c r="B347" s="10"/>
      <c r="C347" s="10"/>
      <c r="D347" s="10"/>
      <c r="E347" s="205"/>
      <c r="F347" s="9"/>
      <c r="H347" s="8"/>
      <c r="I347" s="205"/>
      <c r="J347" s="201"/>
    </row>
    <row r="348" spans="1:10" x14ac:dyDescent="0.3">
      <c r="A348" s="8"/>
      <c r="B348" s="10"/>
      <c r="C348" s="10"/>
      <c r="D348" s="10"/>
      <c r="E348" s="205"/>
      <c r="F348" s="9"/>
      <c r="H348" s="8"/>
      <c r="I348" s="205"/>
      <c r="J348" s="201"/>
    </row>
    <row r="349" spans="1:10" x14ac:dyDescent="0.3">
      <c r="A349" s="8"/>
      <c r="B349" s="10"/>
      <c r="C349" s="10"/>
      <c r="D349" s="10"/>
      <c r="E349" s="205"/>
      <c r="F349" s="9"/>
      <c r="H349" s="8"/>
      <c r="I349" s="205"/>
      <c r="J349" s="201"/>
    </row>
    <row r="350" spans="1:10" x14ac:dyDescent="0.3">
      <c r="A350" s="8"/>
      <c r="B350" s="10"/>
      <c r="C350" s="10"/>
      <c r="D350" s="10"/>
      <c r="E350" s="205"/>
      <c r="F350" s="9"/>
      <c r="H350" s="8"/>
      <c r="I350" s="205"/>
      <c r="J350" s="201"/>
    </row>
    <row r="351" spans="1:10" x14ac:dyDescent="0.3">
      <c r="A351" s="8"/>
      <c r="B351" s="10"/>
      <c r="C351" s="10"/>
      <c r="D351" s="10"/>
      <c r="E351" s="205"/>
      <c r="F351" s="9"/>
      <c r="H351" s="8"/>
      <c r="I351" s="205"/>
      <c r="J351" s="201"/>
    </row>
    <row r="352" spans="1:10" x14ac:dyDescent="0.3">
      <c r="A352" s="8"/>
      <c r="B352" s="10"/>
      <c r="C352" s="10"/>
      <c r="D352" s="10"/>
      <c r="E352" s="205"/>
      <c r="F352" s="9"/>
      <c r="H352" s="8"/>
      <c r="I352" s="205"/>
      <c r="J352" s="201"/>
    </row>
    <row r="353" spans="1:10" x14ac:dyDescent="0.3">
      <c r="A353" s="8"/>
      <c r="B353" s="10"/>
      <c r="C353" s="10"/>
      <c r="D353" s="10"/>
      <c r="E353" s="205"/>
      <c r="F353" s="9"/>
      <c r="H353" s="8"/>
      <c r="I353" s="205"/>
      <c r="J353" s="201"/>
    </row>
    <row r="354" spans="1:10" x14ac:dyDescent="0.3">
      <c r="A354" s="8"/>
      <c r="B354" s="10"/>
      <c r="C354" s="10"/>
      <c r="D354" s="10"/>
      <c r="E354" s="205"/>
      <c r="F354" s="9"/>
      <c r="H354" s="8"/>
      <c r="I354" s="205"/>
      <c r="J354" s="201"/>
    </row>
    <row r="355" spans="1:10" x14ac:dyDescent="0.3">
      <c r="A355" s="8"/>
      <c r="B355" s="10"/>
      <c r="C355" s="10"/>
      <c r="D355" s="10"/>
      <c r="E355" s="205"/>
      <c r="F355" s="9"/>
      <c r="H355" s="8"/>
      <c r="I355" s="205"/>
      <c r="J355" s="201"/>
    </row>
    <row r="356" spans="1:10" x14ac:dyDescent="0.3">
      <c r="A356" s="8"/>
      <c r="B356" s="10"/>
      <c r="C356" s="10"/>
      <c r="D356" s="10"/>
      <c r="E356" s="205"/>
      <c r="F356" s="9"/>
      <c r="H356" s="8"/>
      <c r="I356" s="205"/>
      <c r="J356" s="201"/>
    </row>
    <row r="357" spans="1:10" x14ac:dyDescent="0.3">
      <c r="A357" s="8"/>
      <c r="B357" s="10"/>
      <c r="C357" s="10"/>
      <c r="D357" s="10"/>
      <c r="E357" s="205"/>
      <c r="F357" s="9"/>
      <c r="H357" s="8"/>
      <c r="I357" s="205"/>
      <c r="J357" s="201"/>
    </row>
    <row r="358" spans="1:10" x14ac:dyDescent="0.3">
      <c r="A358" s="8"/>
      <c r="B358" s="10"/>
      <c r="C358" s="10"/>
      <c r="D358" s="10"/>
      <c r="E358" s="205"/>
      <c r="F358" s="9"/>
      <c r="H358" s="8"/>
      <c r="I358" s="205"/>
      <c r="J358" s="201"/>
    </row>
    <row r="359" spans="1:10" x14ac:dyDescent="0.3">
      <c r="A359" s="8"/>
      <c r="B359" s="10"/>
      <c r="C359" s="10"/>
      <c r="D359" s="10"/>
      <c r="E359" s="205"/>
      <c r="F359" s="9"/>
      <c r="H359" s="8"/>
      <c r="I359" s="205"/>
      <c r="J359" s="201"/>
    </row>
    <row r="360" spans="1:10" x14ac:dyDescent="0.3">
      <c r="A360" s="8"/>
      <c r="B360" s="10"/>
      <c r="C360" s="10"/>
      <c r="D360" s="10"/>
      <c r="E360" s="205"/>
      <c r="F360" s="9"/>
      <c r="H360" s="8"/>
      <c r="I360" s="205"/>
      <c r="J360" s="201"/>
    </row>
    <row r="361" spans="1:10" x14ac:dyDescent="0.3">
      <c r="A361" s="8"/>
      <c r="B361" s="10"/>
      <c r="C361" s="10"/>
      <c r="D361" s="10"/>
      <c r="E361" s="205"/>
      <c r="F361" s="9"/>
      <c r="H361" s="8"/>
      <c r="I361" s="205"/>
      <c r="J361" s="201"/>
    </row>
    <row r="362" spans="1:10" x14ac:dyDescent="0.3">
      <c r="A362" s="8"/>
      <c r="B362" s="10"/>
      <c r="C362" s="10"/>
      <c r="D362" s="10"/>
      <c r="E362" s="205"/>
      <c r="F362" s="9"/>
      <c r="H362" s="8"/>
      <c r="I362" s="205"/>
      <c r="J362" s="201"/>
    </row>
    <row r="363" spans="1:10" x14ac:dyDescent="0.3">
      <c r="A363" s="8"/>
      <c r="B363" s="10"/>
      <c r="C363" s="10"/>
      <c r="D363" s="10"/>
      <c r="E363" s="205"/>
      <c r="F363" s="9"/>
      <c r="H363" s="8"/>
      <c r="I363" s="205"/>
      <c r="J363" s="201"/>
    </row>
    <row r="364" spans="1:10" x14ac:dyDescent="0.3">
      <c r="A364" s="8"/>
      <c r="B364" s="10"/>
      <c r="C364" s="10"/>
      <c r="D364" s="10"/>
      <c r="E364" s="205"/>
      <c r="F364" s="9"/>
      <c r="H364" s="8"/>
      <c r="I364" s="205"/>
      <c r="J364" s="201"/>
    </row>
    <row r="365" spans="1:10" x14ac:dyDescent="0.3">
      <c r="A365" s="8"/>
      <c r="B365" s="10"/>
      <c r="C365" s="10"/>
      <c r="D365" s="10"/>
      <c r="E365" s="205"/>
      <c r="F365" s="9"/>
      <c r="H365" s="8"/>
      <c r="I365" s="205"/>
      <c r="J365" s="201"/>
    </row>
    <row r="366" spans="1:10" x14ac:dyDescent="0.3">
      <c r="A366" s="8"/>
      <c r="B366" s="10"/>
      <c r="C366" s="10"/>
      <c r="D366" s="10"/>
      <c r="E366" s="205"/>
      <c r="F366" s="9"/>
      <c r="H366" s="8"/>
      <c r="I366" s="205"/>
      <c r="J366" s="201"/>
    </row>
    <row r="367" spans="1:10" x14ac:dyDescent="0.3">
      <c r="A367" s="8"/>
      <c r="B367" s="10"/>
      <c r="C367" s="10"/>
      <c r="D367" s="10"/>
      <c r="E367" s="205"/>
      <c r="F367" s="9"/>
      <c r="H367" s="8"/>
      <c r="I367" s="205"/>
      <c r="J367" s="201"/>
    </row>
    <row r="368" spans="1:10" x14ac:dyDescent="0.3">
      <c r="A368" s="8"/>
      <c r="B368" s="10"/>
      <c r="C368" s="10"/>
      <c r="D368" s="10"/>
      <c r="E368" s="205"/>
      <c r="F368" s="9"/>
      <c r="H368" s="8"/>
      <c r="I368" s="205"/>
      <c r="J368" s="201"/>
    </row>
    <row r="369" spans="1:10" x14ac:dyDescent="0.3">
      <c r="A369" s="8"/>
      <c r="B369" s="10"/>
      <c r="C369" s="10"/>
      <c r="D369" s="10"/>
      <c r="E369" s="205"/>
      <c r="F369" s="9"/>
      <c r="H369" s="8"/>
      <c r="I369" s="205"/>
      <c r="J369" s="201"/>
    </row>
    <row r="370" spans="1:10" x14ac:dyDescent="0.3">
      <c r="A370" s="8"/>
      <c r="B370" s="10"/>
      <c r="C370" s="10"/>
      <c r="D370" s="10"/>
      <c r="E370" s="205"/>
      <c r="F370" s="9"/>
      <c r="H370" s="8"/>
      <c r="I370" s="205"/>
      <c r="J370" s="201"/>
    </row>
    <row r="371" spans="1:10" x14ac:dyDescent="0.3">
      <c r="A371" s="8"/>
      <c r="B371" s="10"/>
      <c r="C371" s="10"/>
      <c r="D371" s="10"/>
      <c r="E371" s="205"/>
      <c r="F371" s="9"/>
      <c r="H371" s="8"/>
      <c r="I371" s="205"/>
      <c r="J371" s="201"/>
    </row>
    <row r="372" spans="1:10" x14ac:dyDescent="0.3">
      <c r="A372" s="8"/>
      <c r="B372" s="10"/>
      <c r="C372" s="10"/>
      <c r="D372" s="10"/>
      <c r="E372" s="205"/>
      <c r="F372" s="9"/>
      <c r="H372" s="8"/>
      <c r="I372" s="205"/>
      <c r="J372" s="201"/>
    </row>
    <row r="373" spans="1:10" x14ac:dyDescent="0.3">
      <c r="A373" s="8"/>
      <c r="B373" s="10"/>
      <c r="C373" s="10"/>
      <c r="D373" s="10"/>
      <c r="E373" s="205"/>
      <c r="F373" s="9"/>
      <c r="H373" s="8"/>
      <c r="I373" s="205"/>
      <c r="J373" s="201"/>
    </row>
    <row r="374" spans="1:10" x14ac:dyDescent="0.3">
      <c r="A374" s="8"/>
      <c r="B374" s="10"/>
      <c r="C374" s="10"/>
      <c r="D374" s="10"/>
      <c r="E374" s="205"/>
      <c r="F374" s="9"/>
      <c r="H374" s="8"/>
      <c r="I374" s="205"/>
      <c r="J374" s="201"/>
    </row>
    <row r="375" spans="1:10" x14ac:dyDescent="0.3">
      <c r="A375" s="8"/>
      <c r="B375" s="10"/>
      <c r="C375" s="10"/>
      <c r="D375" s="10"/>
      <c r="E375" s="205"/>
      <c r="F375" s="9"/>
      <c r="H375" s="8"/>
      <c r="I375" s="205"/>
      <c r="J375" s="201"/>
    </row>
    <row r="376" spans="1:10" x14ac:dyDescent="0.3">
      <c r="A376" s="8"/>
      <c r="B376" s="10"/>
      <c r="C376" s="10"/>
      <c r="D376" s="10"/>
      <c r="E376" s="205"/>
      <c r="F376" s="9"/>
      <c r="H376" s="8"/>
      <c r="I376" s="205"/>
      <c r="J376" s="201"/>
    </row>
    <row r="377" spans="1:10" x14ac:dyDescent="0.3">
      <c r="A377" s="8"/>
      <c r="B377" s="10"/>
      <c r="C377" s="10"/>
      <c r="D377" s="10"/>
      <c r="E377" s="205"/>
      <c r="F377" s="9"/>
      <c r="H377" s="8"/>
      <c r="I377" s="205"/>
      <c r="J377" s="201"/>
    </row>
    <row r="378" spans="1:10" x14ac:dyDescent="0.3">
      <c r="A378" s="8"/>
      <c r="B378" s="10"/>
      <c r="C378" s="10"/>
      <c r="D378" s="10"/>
      <c r="E378" s="205"/>
      <c r="F378" s="9"/>
      <c r="H378" s="8"/>
      <c r="I378" s="205"/>
      <c r="J378" s="201"/>
    </row>
    <row r="379" spans="1:10" x14ac:dyDescent="0.3">
      <c r="A379" s="8"/>
      <c r="B379" s="10"/>
      <c r="C379" s="10"/>
      <c r="D379" s="10"/>
      <c r="E379" s="205"/>
      <c r="F379" s="9"/>
      <c r="H379" s="8"/>
      <c r="I379" s="205"/>
      <c r="J379" s="201"/>
    </row>
    <row r="380" spans="1:10" x14ac:dyDescent="0.3">
      <c r="A380" s="8"/>
      <c r="B380" s="10"/>
      <c r="C380" s="10"/>
      <c r="D380" s="10"/>
      <c r="E380" s="205"/>
      <c r="F380" s="9"/>
      <c r="H380" s="8"/>
      <c r="I380" s="205"/>
      <c r="J380" s="201"/>
    </row>
    <row r="381" spans="1:10" x14ac:dyDescent="0.3">
      <c r="A381" s="8"/>
      <c r="B381" s="10"/>
      <c r="C381" s="10"/>
      <c r="D381" s="10"/>
      <c r="E381" s="205"/>
      <c r="F381" s="9"/>
      <c r="H381" s="8"/>
      <c r="I381" s="205"/>
      <c r="J381" s="201"/>
    </row>
    <row r="382" spans="1:10" x14ac:dyDescent="0.3">
      <c r="A382" s="8"/>
      <c r="B382" s="10"/>
      <c r="C382" s="10"/>
      <c r="D382" s="10"/>
      <c r="E382" s="205"/>
      <c r="F382" s="9"/>
      <c r="H382" s="8"/>
      <c r="I382" s="205"/>
      <c r="J382" s="201"/>
    </row>
    <row r="383" spans="1:10" x14ac:dyDescent="0.3">
      <c r="A383" s="8"/>
      <c r="B383" s="10"/>
      <c r="C383" s="10"/>
      <c r="D383" s="10"/>
      <c r="E383" s="205"/>
      <c r="F383" s="9"/>
      <c r="H383" s="8"/>
      <c r="I383" s="205"/>
      <c r="J383" s="201"/>
    </row>
    <row r="384" spans="1:10" x14ac:dyDescent="0.3">
      <c r="A384" s="8"/>
      <c r="B384" s="10"/>
      <c r="C384" s="10"/>
      <c r="D384" s="10"/>
      <c r="E384" s="205"/>
      <c r="F384" s="9"/>
      <c r="H384" s="8"/>
      <c r="I384" s="205"/>
      <c r="J384" s="201"/>
    </row>
    <row r="385" spans="1:10" x14ac:dyDescent="0.3">
      <c r="A385" s="8"/>
      <c r="B385" s="10"/>
      <c r="C385" s="10"/>
      <c r="D385" s="10"/>
      <c r="E385" s="205"/>
      <c r="F385" s="9"/>
      <c r="H385" s="8"/>
      <c r="I385" s="205"/>
      <c r="J385" s="201"/>
    </row>
    <row r="386" spans="1:10" x14ac:dyDescent="0.3">
      <c r="A386" s="8"/>
      <c r="B386" s="10"/>
      <c r="C386" s="10"/>
      <c r="D386" s="10"/>
      <c r="E386" s="205"/>
      <c r="F386" s="9"/>
      <c r="H386" s="8"/>
      <c r="I386" s="205"/>
      <c r="J386" s="201"/>
    </row>
    <row r="387" spans="1:10" x14ac:dyDescent="0.3">
      <c r="A387" s="8"/>
      <c r="B387" s="10"/>
      <c r="C387" s="10"/>
      <c r="D387" s="10"/>
      <c r="E387" s="205"/>
      <c r="F387" s="9"/>
      <c r="H387" s="8"/>
      <c r="I387" s="205"/>
      <c r="J387" s="201"/>
    </row>
    <row r="388" spans="1:10" x14ac:dyDescent="0.3">
      <c r="A388" s="8"/>
      <c r="B388" s="10"/>
      <c r="C388" s="10"/>
      <c r="D388" s="10"/>
      <c r="E388" s="205"/>
      <c r="F388" s="9"/>
      <c r="H388" s="8"/>
      <c r="I388" s="205"/>
      <c r="J388" s="201"/>
    </row>
    <row r="389" spans="1:10" x14ac:dyDescent="0.3">
      <c r="A389" s="8"/>
      <c r="B389" s="10"/>
      <c r="C389" s="10"/>
      <c r="D389" s="10"/>
      <c r="E389" s="205"/>
      <c r="F389" s="9"/>
      <c r="H389" s="8"/>
      <c r="I389" s="205"/>
      <c r="J389" s="201"/>
    </row>
    <row r="390" spans="1:10" x14ac:dyDescent="0.3">
      <c r="A390" s="8"/>
      <c r="B390" s="10"/>
      <c r="C390" s="10"/>
      <c r="D390" s="10"/>
      <c r="E390" s="205"/>
      <c r="F390" s="9"/>
      <c r="H390" s="8"/>
      <c r="I390" s="205"/>
      <c r="J390" s="201"/>
    </row>
    <row r="391" spans="1:10" x14ac:dyDescent="0.3">
      <c r="A391" s="8"/>
      <c r="B391" s="10"/>
      <c r="C391" s="10"/>
      <c r="D391" s="10"/>
      <c r="E391" s="205"/>
      <c r="F391" s="9"/>
      <c r="H391" s="8"/>
      <c r="I391" s="205"/>
      <c r="J391" s="201"/>
    </row>
    <row r="392" spans="1:10" x14ac:dyDescent="0.3">
      <c r="A392" s="8"/>
      <c r="B392" s="10"/>
      <c r="C392" s="10"/>
      <c r="D392" s="10"/>
      <c r="E392" s="205"/>
      <c r="F392" s="9"/>
      <c r="H392" s="8"/>
      <c r="I392" s="205"/>
      <c r="J392" s="201"/>
    </row>
    <row r="393" spans="1:10" x14ac:dyDescent="0.3">
      <c r="A393" s="8"/>
      <c r="B393" s="10"/>
      <c r="C393" s="10"/>
      <c r="D393" s="10"/>
      <c r="E393" s="205"/>
      <c r="F393" s="9"/>
      <c r="H393" s="8"/>
      <c r="I393" s="205"/>
      <c r="J393" s="201"/>
    </row>
    <row r="394" spans="1:10" x14ac:dyDescent="0.3">
      <c r="A394" s="8"/>
      <c r="B394" s="10"/>
      <c r="C394" s="10"/>
      <c r="D394" s="10"/>
      <c r="E394" s="205"/>
      <c r="F394" s="9"/>
      <c r="H394" s="8"/>
      <c r="I394" s="205"/>
      <c r="J394" s="201"/>
    </row>
    <row r="395" spans="1:10" x14ac:dyDescent="0.3">
      <c r="A395" s="8"/>
      <c r="B395" s="10"/>
      <c r="C395" s="10"/>
      <c r="D395" s="10"/>
      <c r="E395" s="205"/>
      <c r="F395" s="9"/>
      <c r="H395" s="8"/>
      <c r="I395" s="205"/>
      <c r="J395" s="201"/>
    </row>
    <row r="396" spans="1:10" x14ac:dyDescent="0.3">
      <c r="A396" s="8"/>
      <c r="B396" s="10"/>
      <c r="C396" s="10"/>
      <c r="D396" s="10"/>
      <c r="E396" s="205"/>
      <c r="F396" s="9"/>
      <c r="H396" s="8"/>
      <c r="I396" s="205"/>
      <c r="J396" s="201"/>
    </row>
    <row r="397" spans="1:10" x14ac:dyDescent="0.3">
      <c r="A397" s="8"/>
      <c r="B397" s="10"/>
      <c r="C397" s="10"/>
      <c r="D397" s="10"/>
      <c r="E397" s="205"/>
      <c r="F397" s="9"/>
      <c r="H397" s="8"/>
      <c r="I397" s="205"/>
      <c r="J397" s="201"/>
    </row>
    <row r="398" spans="1:10" x14ac:dyDescent="0.3">
      <c r="A398" s="8"/>
      <c r="B398" s="10"/>
      <c r="C398" s="10"/>
      <c r="D398" s="10"/>
      <c r="E398" s="205"/>
      <c r="F398" s="9"/>
      <c r="H398" s="8"/>
      <c r="I398" s="205"/>
      <c r="J398" s="201"/>
    </row>
    <row r="399" spans="1:10" x14ac:dyDescent="0.3">
      <c r="A399" s="8"/>
      <c r="B399" s="10"/>
      <c r="C399" s="10"/>
      <c r="D399" s="10"/>
      <c r="E399" s="205"/>
      <c r="F399" s="9"/>
      <c r="H399" s="8"/>
      <c r="I399" s="205"/>
      <c r="J399" s="201"/>
    </row>
    <row r="400" spans="1:10" x14ac:dyDescent="0.3">
      <c r="A400" s="8"/>
      <c r="B400" s="10"/>
      <c r="C400" s="10"/>
      <c r="D400" s="10"/>
      <c r="E400" s="205"/>
      <c r="F400" s="9"/>
      <c r="H400" s="8"/>
      <c r="I400" s="205"/>
      <c r="J400" s="201"/>
    </row>
    <row r="401" spans="1:10" x14ac:dyDescent="0.3">
      <c r="A401" s="8"/>
      <c r="B401" s="10"/>
      <c r="C401" s="10"/>
      <c r="D401" s="10"/>
      <c r="E401" s="205"/>
      <c r="F401" s="9"/>
      <c r="H401" s="8"/>
      <c r="I401" s="205"/>
      <c r="J401" s="201"/>
    </row>
    <row r="402" spans="1:10" x14ac:dyDescent="0.3">
      <c r="A402" s="8"/>
      <c r="B402" s="10"/>
      <c r="C402" s="10"/>
      <c r="D402" s="10"/>
      <c r="E402" s="205"/>
      <c r="F402" s="9"/>
      <c r="H402" s="8"/>
      <c r="I402" s="205"/>
      <c r="J402" s="201"/>
    </row>
    <row r="403" spans="1:10" x14ac:dyDescent="0.3">
      <c r="A403" s="8"/>
      <c r="B403" s="10"/>
      <c r="C403" s="10"/>
      <c r="D403" s="10"/>
      <c r="E403" s="205"/>
      <c r="F403" s="9"/>
      <c r="H403" s="8"/>
      <c r="I403" s="205"/>
      <c r="J403" s="201"/>
    </row>
    <row r="404" spans="1:10" x14ac:dyDescent="0.3">
      <c r="A404" s="8"/>
      <c r="B404" s="10"/>
      <c r="C404" s="10"/>
      <c r="D404" s="10"/>
      <c r="E404" s="205"/>
      <c r="F404" s="9"/>
      <c r="H404" s="8"/>
      <c r="I404" s="205"/>
      <c r="J404" s="201"/>
    </row>
    <row r="405" spans="1:10" x14ac:dyDescent="0.3">
      <c r="A405" s="8"/>
      <c r="B405" s="10"/>
      <c r="C405" s="10"/>
      <c r="D405" s="10"/>
      <c r="E405" s="205"/>
      <c r="F405" s="9"/>
      <c r="H405" s="8"/>
      <c r="I405" s="205"/>
      <c r="J405" s="201"/>
    </row>
    <row r="406" spans="1:10" x14ac:dyDescent="0.3">
      <c r="A406" s="8"/>
      <c r="B406" s="10"/>
      <c r="C406" s="10"/>
      <c r="D406" s="10"/>
      <c r="E406" s="205"/>
      <c r="F406" s="9"/>
      <c r="H406" s="8"/>
      <c r="I406" s="205"/>
      <c r="J406" s="201"/>
    </row>
    <row r="407" spans="1:10" x14ac:dyDescent="0.3">
      <c r="A407" s="8"/>
      <c r="B407" s="10"/>
      <c r="C407" s="10"/>
      <c r="D407" s="10"/>
      <c r="E407" s="205"/>
      <c r="F407" s="9"/>
      <c r="H407" s="8"/>
      <c r="I407" s="205"/>
      <c r="J407" s="201"/>
    </row>
    <row r="408" spans="1:10" x14ac:dyDescent="0.3">
      <c r="A408" s="8"/>
      <c r="B408" s="10"/>
      <c r="C408" s="10"/>
      <c r="D408" s="10"/>
      <c r="E408" s="205"/>
      <c r="F408" s="9"/>
      <c r="H408" s="8"/>
      <c r="I408" s="205"/>
      <c r="J408" s="201"/>
    </row>
    <row r="409" spans="1:10" x14ac:dyDescent="0.3">
      <c r="A409" s="8"/>
      <c r="B409" s="10"/>
      <c r="C409" s="10"/>
      <c r="D409" s="10"/>
      <c r="E409" s="205"/>
      <c r="F409" s="9"/>
      <c r="H409" s="8"/>
      <c r="I409" s="205"/>
      <c r="J409" s="201"/>
    </row>
    <row r="410" spans="1:10" x14ac:dyDescent="0.3">
      <c r="A410" s="8"/>
      <c r="B410" s="10"/>
      <c r="C410" s="10"/>
      <c r="D410" s="10"/>
      <c r="E410" s="205"/>
      <c r="F410" s="9"/>
      <c r="H410" s="8"/>
      <c r="I410" s="205"/>
      <c r="J410" s="201"/>
    </row>
    <row r="411" spans="1:10" x14ac:dyDescent="0.3">
      <c r="A411" s="8"/>
      <c r="B411" s="10"/>
      <c r="C411" s="10"/>
      <c r="D411" s="10"/>
      <c r="E411" s="205"/>
      <c r="F411" s="9"/>
      <c r="H411" s="8"/>
      <c r="I411" s="205"/>
      <c r="J411" s="201"/>
    </row>
    <row r="412" spans="1:10" x14ac:dyDescent="0.3">
      <c r="A412" s="8"/>
      <c r="B412" s="10"/>
      <c r="C412" s="10"/>
      <c r="D412" s="10"/>
      <c r="E412" s="205"/>
      <c r="F412" s="9"/>
      <c r="H412" s="8"/>
      <c r="I412" s="205"/>
      <c r="J412" s="201"/>
    </row>
    <row r="413" spans="1:10" x14ac:dyDescent="0.3">
      <c r="A413" s="8"/>
      <c r="B413" s="10"/>
      <c r="C413" s="10"/>
      <c r="D413" s="10"/>
      <c r="E413" s="205"/>
      <c r="F413" s="9"/>
      <c r="H413" s="8"/>
      <c r="I413" s="205"/>
      <c r="J413" s="201"/>
    </row>
    <row r="414" spans="1:10" x14ac:dyDescent="0.3">
      <c r="A414" s="8"/>
      <c r="B414" s="10"/>
      <c r="C414" s="10"/>
      <c r="D414" s="10"/>
      <c r="E414" s="205"/>
      <c r="F414" s="9"/>
      <c r="H414" s="8"/>
      <c r="I414" s="205"/>
      <c r="J414" s="201"/>
    </row>
    <row r="415" spans="1:10" x14ac:dyDescent="0.3">
      <c r="A415" s="8"/>
      <c r="B415" s="10"/>
      <c r="C415" s="10"/>
      <c r="D415" s="10"/>
      <c r="E415" s="205"/>
      <c r="F415" s="9"/>
      <c r="H415" s="8"/>
      <c r="I415" s="205"/>
      <c r="J415" s="201"/>
    </row>
    <row r="416" spans="1:10" x14ac:dyDescent="0.3">
      <c r="A416" s="8"/>
      <c r="B416" s="10"/>
      <c r="C416" s="10"/>
      <c r="D416" s="10"/>
      <c r="E416" s="205"/>
      <c r="F416" s="9"/>
      <c r="H416" s="8"/>
      <c r="I416" s="205"/>
      <c r="J416" s="201"/>
    </row>
    <row r="417" spans="1:10" x14ac:dyDescent="0.3">
      <c r="A417" s="8"/>
      <c r="B417" s="10"/>
      <c r="C417" s="10"/>
      <c r="D417" s="10"/>
      <c r="E417" s="205"/>
      <c r="F417" s="9"/>
      <c r="H417" s="8"/>
      <c r="I417" s="205"/>
      <c r="J417" s="201"/>
    </row>
    <row r="418" spans="1:10" x14ac:dyDescent="0.3">
      <c r="A418" s="8"/>
      <c r="B418" s="10"/>
      <c r="C418" s="10"/>
      <c r="D418" s="10"/>
      <c r="E418" s="205"/>
      <c r="F418" s="9"/>
      <c r="H418" s="8"/>
      <c r="I418" s="205"/>
      <c r="J418" s="201"/>
    </row>
    <row r="419" spans="1:10" x14ac:dyDescent="0.3">
      <c r="A419" s="8"/>
      <c r="B419" s="10"/>
      <c r="C419" s="10"/>
      <c r="D419" s="10"/>
      <c r="E419" s="205"/>
      <c r="F419" s="9"/>
      <c r="H419" s="8"/>
      <c r="I419" s="205"/>
      <c r="J419" s="201"/>
    </row>
    <row r="420" spans="1:10" x14ac:dyDescent="0.3">
      <c r="A420" s="8"/>
      <c r="B420" s="10"/>
      <c r="C420" s="10"/>
      <c r="D420" s="10"/>
      <c r="E420" s="205"/>
      <c r="F420" s="9"/>
      <c r="H420" s="8"/>
      <c r="I420" s="205"/>
      <c r="J420" s="201"/>
    </row>
    <row r="421" spans="1:10" x14ac:dyDescent="0.3">
      <c r="A421" s="8"/>
      <c r="B421" s="10"/>
      <c r="C421" s="10"/>
      <c r="D421" s="10"/>
      <c r="E421" s="205"/>
      <c r="F421" s="9"/>
      <c r="H421" s="8"/>
      <c r="I421" s="205"/>
      <c r="J421" s="201"/>
    </row>
    <row r="422" spans="1:10" x14ac:dyDescent="0.3">
      <c r="A422" s="8"/>
      <c r="B422" s="10"/>
      <c r="C422" s="10"/>
      <c r="D422" s="10"/>
      <c r="E422" s="205"/>
      <c r="F422" s="9"/>
      <c r="H422" s="8"/>
      <c r="I422" s="205"/>
      <c r="J422" s="201"/>
    </row>
    <row r="423" spans="1:10" x14ac:dyDescent="0.3">
      <c r="A423" s="8"/>
      <c r="B423" s="10"/>
      <c r="C423" s="10"/>
      <c r="D423" s="10"/>
      <c r="E423" s="205"/>
      <c r="F423" s="9"/>
      <c r="H423" s="8"/>
      <c r="I423" s="205"/>
      <c r="J423" s="201"/>
    </row>
    <row r="424" spans="1:10" x14ac:dyDescent="0.3">
      <c r="A424" s="8"/>
      <c r="B424" s="10"/>
      <c r="C424" s="10"/>
      <c r="D424" s="10"/>
      <c r="E424" s="205"/>
      <c r="F424" s="9"/>
      <c r="H424" s="8"/>
      <c r="I424" s="205"/>
      <c r="J424" s="201"/>
    </row>
    <row r="425" spans="1:10" x14ac:dyDescent="0.3">
      <c r="A425" s="8"/>
      <c r="B425" s="10"/>
      <c r="C425" s="10"/>
      <c r="D425" s="10"/>
      <c r="E425" s="205"/>
      <c r="F425" s="9"/>
      <c r="H425" s="8"/>
      <c r="I425" s="205"/>
      <c r="J425" s="201"/>
    </row>
    <row r="426" spans="1:10" x14ac:dyDescent="0.3">
      <c r="A426" s="8"/>
      <c r="B426" s="10"/>
      <c r="C426" s="10"/>
      <c r="D426" s="10"/>
      <c r="E426" s="205"/>
      <c r="F426" s="9"/>
      <c r="H426" s="8"/>
      <c r="I426" s="205"/>
      <c r="J426" s="201"/>
    </row>
    <row r="427" spans="1:10" x14ac:dyDescent="0.3">
      <c r="A427" s="8"/>
      <c r="B427" s="10"/>
      <c r="C427" s="10"/>
      <c r="D427" s="10"/>
      <c r="E427" s="205"/>
      <c r="F427" s="9"/>
      <c r="H427" s="8"/>
      <c r="I427" s="205"/>
      <c r="J427" s="201"/>
    </row>
    <row r="428" spans="1:10" x14ac:dyDescent="0.3">
      <c r="A428" s="8"/>
      <c r="B428" s="10"/>
      <c r="C428" s="10"/>
      <c r="D428" s="10"/>
      <c r="E428" s="205"/>
      <c r="F428" s="9"/>
      <c r="H428" s="8"/>
      <c r="I428" s="205"/>
      <c r="J428" s="201"/>
    </row>
    <row r="429" spans="1:10" x14ac:dyDescent="0.3">
      <c r="A429" s="8"/>
      <c r="B429" s="10"/>
      <c r="C429" s="10"/>
      <c r="D429" s="10"/>
      <c r="E429" s="205"/>
      <c r="F429" s="9"/>
      <c r="H429" s="8"/>
      <c r="I429" s="205"/>
      <c r="J429" s="201"/>
    </row>
    <row r="430" spans="1:10" x14ac:dyDescent="0.3">
      <c r="A430" s="8"/>
      <c r="B430" s="10"/>
      <c r="C430" s="10"/>
      <c r="D430" s="10"/>
      <c r="E430" s="205"/>
      <c r="F430" s="9"/>
      <c r="H430" s="8"/>
      <c r="I430" s="205"/>
      <c r="J430" s="201"/>
    </row>
    <row r="431" spans="1:10" x14ac:dyDescent="0.3">
      <c r="A431" s="8"/>
      <c r="B431" s="10"/>
      <c r="C431" s="10"/>
      <c r="D431" s="10"/>
      <c r="E431" s="205"/>
      <c r="F431" s="9"/>
      <c r="H431" s="8"/>
      <c r="I431" s="205"/>
      <c r="J431" s="201"/>
    </row>
    <row r="432" spans="1:10" x14ac:dyDescent="0.3">
      <c r="A432" s="8"/>
      <c r="B432" s="10"/>
      <c r="C432" s="10"/>
      <c r="D432" s="10"/>
      <c r="E432" s="205"/>
      <c r="F432" s="9"/>
      <c r="H432" s="8"/>
      <c r="I432" s="205"/>
      <c r="J432" s="201"/>
    </row>
    <row r="433" spans="1:10" x14ac:dyDescent="0.3">
      <c r="A433" s="8"/>
      <c r="B433" s="10"/>
      <c r="C433" s="10"/>
      <c r="D433" s="10"/>
      <c r="E433" s="205"/>
      <c r="F433" s="9"/>
      <c r="H433" s="8"/>
      <c r="I433" s="205"/>
      <c r="J433" s="201"/>
    </row>
    <row r="434" spans="1:10" x14ac:dyDescent="0.3">
      <c r="A434" s="8"/>
      <c r="B434" s="10"/>
      <c r="C434" s="10"/>
      <c r="D434" s="10"/>
      <c r="E434" s="205"/>
      <c r="F434" s="9"/>
      <c r="H434" s="8"/>
      <c r="I434" s="205"/>
      <c r="J434" s="201"/>
    </row>
    <row r="435" spans="1:10" x14ac:dyDescent="0.3">
      <c r="A435" s="8"/>
      <c r="B435" s="10"/>
      <c r="C435" s="10"/>
      <c r="D435" s="10"/>
      <c r="E435" s="205"/>
      <c r="F435" s="9"/>
      <c r="H435" s="8"/>
      <c r="I435" s="205"/>
      <c r="J435" s="201"/>
    </row>
    <row r="436" spans="1:10" x14ac:dyDescent="0.3">
      <c r="A436" s="8"/>
      <c r="B436" s="10"/>
      <c r="C436" s="10"/>
      <c r="D436" s="10"/>
      <c r="E436" s="205"/>
      <c r="F436" s="9"/>
      <c r="H436" s="8"/>
      <c r="I436" s="205"/>
      <c r="J436" s="201"/>
    </row>
    <row r="437" spans="1:10" x14ac:dyDescent="0.3">
      <c r="A437" s="8"/>
      <c r="B437" s="10"/>
      <c r="C437" s="10"/>
      <c r="D437" s="10"/>
      <c r="E437" s="205"/>
      <c r="F437" s="9"/>
      <c r="H437" s="8"/>
      <c r="I437" s="205"/>
      <c r="J437" s="201"/>
    </row>
    <row r="438" spans="1:10" x14ac:dyDescent="0.3">
      <c r="A438" s="8"/>
      <c r="B438" s="10"/>
      <c r="C438" s="10"/>
      <c r="D438" s="10"/>
      <c r="E438" s="205"/>
      <c r="F438" s="9"/>
      <c r="H438" s="8"/>
      <c r="I438" s="205"/>
      <c r="J438" s="201"/>
    </row>
    <row r="439" spans="1:10" x14ac:dyDescent="0.3">
      <c r="A439" s="8"/>
      <c r="B439" s="10"/>
      <c r="C439" s="10"/>
      <c r="D439" s="10"/>
      <c r="E439" s="205"/>
      <c r="F439" s="9"/>
      <c r="H439" s="8"/>
      <c r="I439" s="205"/>
      <c r="J439" s="201"/>
    </row>
    <row r="440" spans="1:10" x14ac:dyDescent="0.3">
      <c r="A440" s="8"/>
      <c r="B440" s="10"/>
      <c r="C440" s="10"/>
      <c r="D440" s="10"/>
      <c r="E440" s="205"/>
      <c r="F440" s="9"/>
      <c r="H440" s="8"/>
      <c r="I440" s="205"/>
      <c r="J440" s="201"/>
    </row>
    <row r="441" spans="1:10" x14ac:dyDescent="0.3">
      <c r="A441" s="8"/>
      <c r="B441" s="10"/>
      <c r="C441" s="10"/>
      <c r="D441" s="10"/>
      <c r="E441" s="205"/>
      <c r="F441" s="9"/>
      <c r="H441" s="8"/>
      <c r="I441" s="205"/>
      <c r="J441" s="201"/>
    </row>
    <row r="442" spans="1:10" x14ac:dyDescent="0.3">
      <c r="A442" s="8"/>
      <c r="B442" s="10"/>
      <c r="C442" s="10"/>
      <c r="D442" s="10"/>
      <c r="E442" s="205"/>
      <c r="F442" s="9"/>
      <c r="H442" s="8"/>
      <c r="I442" s="205"/>
      <c r="J442" s="201"/>
    </row>
    <row r="443" spans="1:10" x14ac:dyDescent="0.3">
      <c r="A443" s="8"/>
      <c r="B443" s="10"/>
      <c r="C443" s="10"/>
      <c r="D443" s="10"/>
      <c r="E443" s="205"/>
      <c r="F443" s="9"/>
      <c r="H443" s="8"/>
      <c r="I443" s="205"/>
      <c r="J443" s="201"/>
    </row>
    <row r="444" spans="1:10" x14ac:dyDescent="0.3">
      <c r="A444" s="8"/>
      <c r="B444" s="10"/>
      <c r="C444" s="10"/>
      <c r="D444" s="10"/>
      <c r="E444" s="205"/>
      <c r="F444" s="9"/>
      <c r="H444" s="8"/>
      <c r="I444" s="205"/>
      <c r="J444" s="201"/>
    </row>
    <row r="445" spans="1:10" x14ac:dyDescent="0.3">
      <c r="A445" s="8"/>
      <c r="B445" s="10"/>
      <c r="C445" s="10"/>
      <c r="D445" s="10"/>
      <c r="E445" s="205"/>
      <c r="F445" s="9"/>
      <c r="H445" s="8"/>
      <c r="I445" s="205"/>
      <c r="J445" s="201"/>
    </row>
    <row r="446" spans="1:10" x14ac:dyDescent="0.3">
      <c r="A446" s="8"/>
      <c r="B446" s="10"/>
      <c r="C446" s="10"/>
      <c r="D446" s="10"/>
      <c r="E446" s="205"/>
      <c r="F446" s="9"/>
      <c r="H446" s="8"/>
      <c r="I446" s="205"/>
      <c r="J446" s="201"/>
    </row>
    <row r="447" spans="1:10" x14ac:dyDescent="0.3">
      <c r="A447" s="8"/>
      <c r="B447" s="10"/>
      <c r="C447" s="10"/>
      <c r="D447" s="10"/>
      <c r="E447" s="205"/>
      <c r="F447" s="9"/>
      <c r="H447" s="8"/>
      <c r="I447" s="205"/>
      <c r="J447" s="201"/>
    </row>
    <row r="448" spans="1:10" x14ac:dyDescent="0.3">
      <c r="A448" s="8"/>
      <c r="B448" s="10"/>
      <c r="C448" s="10"/>
      <c r="D448" s="10"/>
      <c r="E448" s="205"/>
      <c r="F448" s="9"/>
      <c r="H448" s="8"/>
      <c r="I448" s="205"/>
      <c r="J448" s="201"/>
    </row>
    <row r="449" spans="1:10" x14ac:dyDescent="0.3">
      <c r="A449" s="8"/>
      <c r="B449" s="10"/>
      <c r="C449" s="10"/>
      <c r="D449" s="10"/>
      <c r="E449" s="205"/>
      <c r="F449" s="9"/>
      <c r="H449" s="8"/>
      <c r="I449" s="205"/>
      <c r="J449" s="201"/>
    </row>
    <row r="450" spans="1:10" x14ac:dyDescent="0.3">
      <c r="A450" s="8"/>
      <c r="B450" s="10"/>
      <c r="C450" s="10"/>
      <c r="D450" s="10"/>
      <c r="E450" s="205"/>
      <c r="F450" s="9"/>
      <c r="H450" s="8"/>
      <c r="I450" s="205"/>
      <c r="J450" s="201"/>
    </row>
    <row r="451" spans="1:10" x14ac:dyDescent="0.3">
      <c r="A451" s="8"/>
      <c r="B451" s="10"/>
      <c r="C451" s="10"/>
      <c r="D451" s="10"/>
      <c r="E451" s="205"/>
      <c r="F451" s="9"/>
      <c r="H451" s="8"/>
      <c r="I451" s="205"/>
      <c r="J451" s="201"/>
    </row>
    <row r="452" spans="1:10" x14ac:dyDescent="0.3">
      <c r="A452" s="8"/>
      <c r="B452" s="10"/>
      <c r="C452" s="10"/>
      <c r="D452" s="10"/>
      <c r="E452" s="205"/>
      <c r="F452" s="9"/>
      <c r="H452" s="8"/>
      <c r="I452" s="205"/>
      <c r="J452" s="201"/>
    </row>
    <row r="453" spans="1:10" x14ac:dyDescent="0.3">
      <c r="A453" s="8"/>
      <c r="B453" s="10"/>
      <c r="C453" s="10"/>
      <c r="D453" s="10"/>
      <c r="E453" s="205"/>
      <c r="F453" s="9"/>
      <c r="H453" s="8"/>
      <c r="I453" s="205"/>
      <c r="J453" s="201"/>
    </row>
    <row r="454" spans="1:10" x14ac:dyDescent="0.3">
      <c r="A454" s="8"/>
      <c r="B454" s="10"/>
      <c r="C454" s="10"/>
      <c r="D454" s="10"/>
      <c r="E454" s="205"/>
      <c r="F454" s="9"/>
      <c r="H454" s="8"/>
      <c r="I454" s="205"/>
      <c r="J454" s="201"/>
    </row>
    <row r="455" spans="1:10" x14ac:dyDescent="0.3">
      <c r="A455" s="8"/>
      <c r="B455" s="10"/>
      <c r="C455" s="10"/>
      <c r="D455" s="10"/>
      <c r="E455" s="205"/>
      <c r="F455" s="9"/>
      <c r="H455" s="8"/>
      <c r="I455" s="205"/>
      <c r="J455" s="201"/>
    </row>
    <row r="456" spans="1:10" x14ac:dyDescent="0.3">
      <c r="A456" s="8"/>
      <c r="B456" s="10"/>
      <c r="C456" s="10"/>
      <c r="D456" s="10"/>
      <c r="E456" s="205"/>
      <c r="F456" s="9"/>
      <c r="H456" s="8"/>
      <c r="I456" s="205"/>
      <c r="J456" s="201"/>
    </row>
    <row r="457" spans="1:10" x14ac:dyDescent="0.3">
      <c r="A457" s="8"/>
      <c r="B457" s="10"/>
      <c r="C457" s="10"/>
      <c r="D457" s="10"/>
      <c r="E457" s="205"/>
      <c r="F457" s="9"/>
      <c r="H457" s="8"/>
      <c r="I457" s="205"/>
      <c r="J457" s="201"/>
    </row>
    <row r="458" spans="1:10" x14ac:dyDescent="0.3">
      <c r="A458" s="8"/>
      <c r="B458" s="10"/>
      <c r="C458" s="10"/>
      <c r="D458" s="10"/>
      <c r="E458" s="205"/>
      <c r="F458" s="9"/>
      <c r="H458" s="8"/>
      <c r="I458" s="205"/>
      <c r="J458" s="201"/>
    </row>
    <row r="459" spans="1:10" x14ac:dyDescent="0.3">
      <c r="A459" s="8"/>
      <c r="B459" s="10"/>
      <c r="C459" s="10"/>
      <c r="D459" s="10"/>
      <c r="E459" s="205"/>
      <c r="F459" s="9"/>
      <c r="H459" s="8"/>
      <c r="I459" s="205"/>
      <c r="J459" s="201"/>
    </row>
    <row r="460" spans="1:10" x14ac:dyDescent="0.3">
      <c r="A460" s="8"/>
      <c r="B460" s="10"/>
      <c r="C460" s="10"/>
      <c r="D460" s="10"/>
      <c r="E460" s="205"/>
      <c r="F460" s="9"/>
      <c r="H460" s="8"/>
      <c r="I460" s="205"/>
      <c r="J460" s="201"/>
    </row>
    <row r="461" spans="1:10" x14ac:dyDescent="0.3">
      <c r="A461" s="8"/>
      <c r="B461" s="10"/>
      <c r="C461" s="10"/>
      <c r="D461" s="10"/>
      <c r="E461" s="205"/>
      <c r="F461" s="9"/>
      <c r="H461" s="8"/>
      <c r="I461" s="205"/>
      <c r="J461" s="201"/>
    </row>
    <row r="462" spans="1:10" x14ac:dyDescent="0.3">
      <c r="A462" s="8"/>
      <c r="B462" s="10"/>
      <c r="C462" s="10"/>
      <c r="D462" s="10"/>
      <c r="E462" s="205"/>
      <c r="F462" s="9"/>
      <c r="H462" s="8"/>
      <c r="I462" s="205"/>
      <c r="J462" s="201"/>
    </row>
    <row r="463" spans="1:10" x14ac:dyDescent="0.3">
      <c r="A463" s="8"/>
      <c r="B463" s="10"/>
      <c r="C463" s="10"/>
      <c r="D463" s="10"/>
      <c r="E463" s="205"/>
      <c r="F463" s="9"/>
      <c r="H463" s="8"/>
      <c r="I463" s="205"/>
      <c r="J463" s="201"/>
    </row>
    <row r="464" spans="1:10" x14ac:dyDescent="0.3">
      <c r="A464" s="8"/>
      <c r="B464" s="10"/>
      <c r="C464" s="10"/>
      <c r="D464" s="10"/>
      <c r="E464" s="205"/>
      <c r="F464" s="9"/>
      <c r="H464" s="8"/>
      <c r="I464" s="205"/>
      <c r="J464" s="201"/>
    </row>
    <row r="465" spans="1:10" x14ac:dyDescent="0.3">
      <c r="A465" s="8"/>
      <c r="B465" s="10"/>
      <c r="C465" s="10"/>
      <c r="D465" s="10"/>
      <c r="E465" s="205"/>
      <c r="F465" s="9"/>
      <c r="H465" s="8"/>
      <c r="I465" s="205"/>
      <c r="J465" s="201"/>
    </row>
    <row r="466" spans="1:10" x14ac:dyDescent="0.3">
      <c r="A466" s="8"/>
      <c r="B466" s="10"/>
      <c r="C466" s="10"/>
      <c r="D466" s="10"/>
      <c r="E466" s="205"/>
      <c r="F466" s="9"/>
      <c r="H466" s="8"/>
      <c r="I466" s="205"/>
      <c r="J466" s="201"/>
    </row>
    <row r="467" spans="1:10" x14ac:dyDescent="0.3">
      <c r="A467" s="8"/>
      <c r="B467" s="10"/>
      <c r="C467" s="10"/>
      <c r="D467" s="10"/>
      <c r="E467" s="205"/>
      <c r="F467" s="9"/>
      <c r="H467" s="8"/>
      <c r="I467" s="205"/>
      <c r="J467" s="201"/>
    </row>
    <row r="468" spans="1:10" x14ac:dyDescent="0.3">
      <c r="A468" s="8"/>
      <c r="B468" s="10"/>
      <c r="C468" s="10"/>
      <c r="D468" s="10"/>
      <c r="E468" s="205"/>
      <c r="F468" s="9"/>
      <c r="H468" s="8"/>
      <c r="I468" s="205"/>
      <c r="J468" s="201"/>
    </row>
    <row r="469" spans="1:10" x14ac:dyDescent="0.3">
      <c r="A469" s="8"/>
      <c r="B469" s="10"/>
      <c r="C469" s="10"/>
      <c r="D469" s="10"/>
      <c r="E469" s="205"/>
      <c r="F469" s="9"/>
      <c r="H469" s="8"/>
      <c r="I469" s="205"/>
      <c r="J469" s="201"/>
    </row>
    <row r="470" spans="1:10" x14ac:dyDescent="0.3">
      <c r="A470" s="8"/>
      <c r="B470" s="10"/>
      <c r="C470" s="10"/>
      <c r="D470" s="10"/>
      <c r="E470" s="205"/>
      <c r="F470" s="9"/>
      <c r="H470" s="8"/>
      <c r="I470" s="205"/>
      <c r="J470" s="201"/>
    </row>
    <row r="471" spans="1:10" x14ac:dyDescent="0.3">
      <c r="A471" s="8"/>
      <c r="B471" s="10"/>
      <c r="C471" s="10"/>
      <c r="D471" s="10"/>
      <c r="E471" s="205"/>
      <c r="F471" s="9"/>
      <c r="H471" s="8"/>
      <c r="I471" s="205"/>
      <c r="J471" s="201"/>
    </row>
    <row r="472" spans="1:10" x14ac:dyDescent="0.3">
      <c r="A472" s="8"/>
      <c r="B472" s="10"/>
      <c r="C472" s="10"/>
      <c r="D472" s="10"/>
      <c r="E472" s="205"/>
      <c r="F472" s="9"/>
      <c r="H472" s="8"/>
      <c r="I472" s="205"/>
      <c r="J472" s="201"/>
    </row>
    <row r="473" spans="1:10" x14ac:dyDescent="0.3">
      <c r="A473" s="8"/>
      <c r="B473" s="10"/>
      <c r="C473" s="10"/>
      <c r="D473" s="10"/>
      <c r="E473" s="205"/>
      <c r="F473" s="9"/>
      <c r="H473" s="8"/>
      <c r="I473" s="205"/>
      <c r="J473" s="201"/>
    </row>
    <row r="474" spans="1:10" x14ac:dyDescent="0.3">
      <c r="A474" s="8"/>
      <c r="B474" s="10"/>
      <c r="C474" s="10"/>
      <c r="D474" s="10"/>
      <c r="E474" s="205"/>
      <c r="F474" s="9"/>
      <c r="H474" s="8"/>
      <c r="I474" s="205"/>
      <c r="J474" s="201"/>
    </row>
    <row r="475" spans="1:10" x14ac:dyDescent="0.3">
      <c r="A475" s="8"/>
      <c r="B475" s="10"/>
      <c r="C475" s="10"/>
      <c r="D475" s="10"/>
      <c r="E475" s="205"/>
      <c r="F475" s="9"/>
      <c r="H475" s="8"/>
      <c r="I475" s="205"/>
      <c r="J475" s="201"/>
    </row>
    <row r="476" spans="1:10" x14ac:dyDescent="0.3">
      <c r="A476" s="8"/>
      <c r="B476" s="10"/>
      <c r="C476" s="10"/>
      <c r="D476" s="10"/>
      <c r="E476" s="205"/>
      <c r="F476" s="9"/>
      <c r="H476" s="8"/>
      <c r="I476" s="205"/>
      <c r="J476" s="201"/>
    </row>
    <row r="477" spans="1:10" x14ac:dyDescent="0.3">
      <c r="A477" s="8"/>
      <c r="B477" s="10"/>
      <c r="C477" s="10"/>
      <c r="D477" s="10"/>
      <c r="E477" s="205"/>
      <c r="F477" s="9"/>
      <c r="H477" s="8"/>
      <c r="I477" s="205"/>
      <c r="J477" s="201"/>
    </row>
    <row r="478" spans="1:10" x14ac:dyDescent="0.3">
      <c r="A478" s="8"/>
      <c r="B478" s="10"/>
      <c r="C478" s="10"/>
      <c r="D478" s="10"/>
      <c r="E478" s="205"/>
      <c r="F478" s="9"/>
      <c r="H478" s="8"/>
      <c r="I478" s="205"/>
      <c r="J478" s="201"/>
    </row>
    <row r="479" spans="1:10" x14ac:dyDescent="0.3">
      <c r="A479" s="8"/>
      <c r="B479" s="10"/>
      <c r="C479" s="10"/>
      <c r="D479" s="10"/>
      <c r="E479" s="205"/>
      <c r="F479" s="9"/>
      <c r="H479" s="8"/>
      <c r="I479" s="205"/>
      <c r="J479" s="201"/>
    </row>
    <row r="480" spans="1:10" x14ac:dyDescent="0.3">
      <c r="A480" s="8"/>
      <c r="B480" s="10"/>
      <c r="C480" s="10"/>
      <c r="D480" s="10"/>
      <c r="E480" s="205"/>
      <c r="F480" s="9"/>
      <c r="H480" s="8"/>
      <c r="I480" s="205"/>
      <c r="J480" s="201"/>
    </row>
    <row r="481" spans="1:10" x14ac:dyDescent="0.3">
      <c r="A481" s="8"/>
      <c r="B481" s="10"/>
      <c r="C481" s="10"/>
      <c r="D481" s="10"/>
      <c r="E481" s="205"/>
      <c r="F481" s="9"/>
      <c r="H481" s="8"/>
      <c r="I481" s="205"/>
      <c r="J481" s="201"/>
    </row>
    <row r="482" spans="1:10" x14ac:dyDescent="0.3">
      <c r="A482" s="8"/>
      <c r="B482" s="10"/>
      <c r="C482" s="10"/>
      <c r="D482" s="10"/>
      <c r="E482" s="205"/>
      <c r="F482" s="9"/>
      <c r="H482" s="8"/>
      <c r="I482" s="205"/>
      <c r="J482" s="201"/>
    </row>
    <row r="483" spans="1:10" x14ac:dyDescent="0.3">
      <c r="A483" s="8"/>
      <c r="B483" s="10"/>
      <c r="C483" s="10"/>
      <c r="D483" s="10"/>
      <c r="E483" s="205"/>
      <c r="F483" s="9"/>
      <c r="H483" s="8"/>
      <c r="I483" s="205"/>
      <c r="J483" s="201"/>
    </row>
    <row r="484" spans="1:10" x14ac:dyDescent="0.3">
      <c r="A484" s="8"/>
      <c r="B484" s="10"/>
      <c r="C484" s="10"/>
      <c r="D484" s="10"/>
      <c r="E484" s="205"/>
      <c r="F484" s="9"/>
      <c r="H484" s="8"/>
      <c r="I484" s="205"/>
      <c r="J484" s="201"/>
    </row>
    <row r="485" spans="1:10" x14ac:dyDescent="0.3">
      <c r="A485" s="8"/>
      <c r="B485" s="10"/>
      <c r="C485" s="10"/>
      <c r="D485" s="10"/>
      <c r="E485" s="205"/>
      <c r="F485" s="9"/>
      <c r="H485" s="8"/>
      <c r="I485" s="205"/>
      <c r="J485" s="201"/>
    </row>
    <row r="486" spans="1:10" x14ac:dyDescent="0.3">
      <c r="A486" s="8"/>
      <c r="B486" s="10"/>
      <c r="C486" s="10"/>
      <c r="D486" s="10"/>
      <c r="E486" s="205"/>
      <c r="F486" s="9"/>
      <c r="H486" s="8"/>
      <c r="I486" s="205"/>
      <c r="J486" s="201"/>
    </row>
    <row r="487" spans="1:10" x14ac:dyDescent="0.3">
      <c r="A487" s="8"/>
      <c r="B487" s="10"/>
      <c r="C487" s="10"/>
      <c r="D487" s="10"/>
      <c r="E487" s="205"/>
      <c r="F487" s="9"/>
      <c r="H487" s="8"/>
      <c r="I487" s="205"/>
      <c r="J487" s="201"/>
    </row>
    <row r="488" spans="1:10" x14ac:dyDescent="0.3">
      <c r="A488" s="8"/>
      <c r="B488" s="10"/>
      <c r="C488" s="10"/>
      <c r="D488" s="10"/>
      <c r="E488" s="205"/>
      <c r="F488" s="9"/>
      <c r="H488" s="8"/>
      <c r="I488" s="205"/>
      <c r="J488" s="201"/>
    </row>
    <row r="489" spans="1:10" x14ac:dyDescent="0.3">
      <c r="A489" s="8"/>
      <c r="B489" s="10"/>
      <c r="C489" s="10"/>
      <c r="D489" s="10"/>
      <c r="E489" s="205"/>
      <c r="F489" s="9"/>
      <c r="H489" s="8"/>
      <c r="I489" s="205"/>
      <c r="J489" s="201"/>
    </row>
    <row r="490" spans="1:10" x14ac:dyDescent="0.3">
      <c r="A490" s="8"/>
      <c r="B490" s="10"/>
      <c r="C490" s="10"/>
      <c r="D490" s="10"/>
      <c r="E490" s="205"/>
      <c r="F490" s="9"/>
      <c r="H490" s="8"/>
      <c r="I490" s="205"/>
      <c r="J490" s="201"/>
    </row>
    <row r="491" spans="1:10" x14ac:dyDescent="0.3">
      <c r="A491" s="8"/>
      <c r="B491" s="10"/>
      <c r="C491" s="10"/>
      <c r="D491" s="10"/>
      <c r="E491" s="205"/>
      <c r="F491" s="9"/>
      <c r="H491" s="8"/>
      <c r="I491" s="205"/>
      <c r="J491" s="201"/>
    </row>
    <row r="492" spans="1:10" x14ac:dyDescent="0.3">
      <c r="A492" s="8"/>
      <c r="B492" s="10"/>
      <c r="C492" s="10"/>
      <c r="D492" s="10"/>
      <c r="E492" s="205"/>
      <c r="F492" s="9"/>
      <c r="H492" s="8"/>
      <c r="I492" s="205"/>
      <c r="J492" s="201"/>
    </row>
    <row r="493" spans="1:10" x14ac:dyDescent="0.3">
      <c r="A493" s="8"/>
      <c r="B493" s="10"/>
      <c r="C493" s="10"/>
      <c r="D493" s="10"/>
      <c r="E493" s="205"/>
      <c r="F493" s="9"/>
      <c r="H493" s="8"/>
      <c r="I493" s="205"/>
      <c r="J493" s="201"/>
    </row>
    <row r="494" spans="1:10" x14ac:dyDescent="0.3">
      <c r="A494" s="8"/>
      <c r="B494" s="10"/>
      <c r="C494" s="10"/>
      <c r="D494" s="10"/>
      <c r="E494" s="205"/>
      <c r="F494" s="9"/>
      <c r="H494" s="8"/>
      <c r="I494" s="205"/>
      <c r="J494" s="201"/>
    </row>
    <row r="495" spans="1:10" x14ac:dyDescent="0.3">
      <c r="A495" s="8"/>
      <c r="B495" s="10"/>
      <c r="C495" s="10"/>
      <c r="D495" s="10"/>
      <c r="E495" s="205"/>
      <c r="F495" s="9"/>
      <c r="H495" s="8"/>
      <c r="I495" s="205"/>
      <c r="J495" s="201"/>
    </row>
    <row r="496" spans="1:10" x14ac:dyDescent="0.3">
      <c r="A496" s="8"/>
      <c r="B496" s="10"/>
      <c r="C496" s="10"/>
      <c r="D496" s="10"/>
      <c r="E496" s="205"/>
      <c r="F496" s="9"/>
      <c r="H496" s="8"/>
      <c r="I496" s="205"/>
      <c r="J496" s="201"/>
    </row>
    <row r="497" spans="1:10" x14ac:dyDescent="0.3">
      <c r="A497" s="8"/>
      <c r="B497" s="10"/>
      <c r="C497" s="10"/>
      <c r="D497" s="10"/>
      <c r="E497" s="205"/>
      <c r="F497" s="9"/>
      <c r="H497" s="8"/>
      <c r="I497" s="205"/>
      <c r="J497" s="201"/>
    </row>
    <row r="498" spans="1:10" x14ac:dyDescent="0.3">
      <c r="A498" s="8"/>
      <c r="B498" s="10"/>
      <c r="C498" s="10"/>
      <c r="D498" s="10"/>
      <c r="E498" s="205"/>
      <c r="F498" s="9"/>
      <c r="H498" s="8"/>
      <c r="I498" s="205"/>
      <c r="J498" s="201"/>
    </row>
    <row r="499" spans="1:10" x14ac:dyDescent="0.3">
      <c r="A499" s="8"/>
      <c r="B499" s="10"/>
      <c r="C499" s="10"/>
      <c r="D499" s="10"/>
      <c r="E499" s="205"/>
      <c r="F499" s="9"/>
      <c r="H499" s="8"/>
      <c r="I499" s="205"/>
      <c r="J499" s="201"/>
    </row>
    <row r="500" spans="1:10" x14ac:dyDescent="0.3">
      <c r="A500" s="8"/>
      <c r="B500" s="10"/>
      <c r="C500" s="10"/>
      <c r="D500" s="10"/>
      <c r="E500" s="205"/>
      <c r="F500" s="9"/>
      <c r="H500" s="8"/>
      <c r="I500" s="205"/>
      <c r="J500" s="201"/>
    </row>
    <row r="501" spans="1:10" x14ac:dyDescent="0.3">
      <c r="A501" s="8"/>
      <c r="B501" s="10"/>
      <c r="C501" s="10"/>
      <c r="D501" s="10"/>
      <c r="E501" s="205"/>
      <c r="F501" s="9"/>
      <c r="H501" s="8"/>
      <c r="I501" s="205"/>
      <c r="J501" s="201"/>
    </row>
    <row r="502" spans="1:10" x14ac:dyDescent="0.3">
      <c r="A502" s="8"/>
      <c r="B502" s="10"/>
      <c r="C502" s="10"/>
      <c r="D502" s="10"/>
      <c r="E502" s="205"/>
      <c r="F502" s="9"/>
      <c r="H502" s="8"/>
      <c r="I502" s="205"/>
      <c r="J502" s="201"/>
    </row>
    <row r="503" spans="1:10" x14ac:dyDescent="0.3">
      <c r="A503" s="8"/>
      <c r="B503" s="10"/>
      <c r="C503" s="10"/>
      <c r="D503" s="10"/>
      <c r="E503" s="205"/>
      <c r="F503" s="9"/>
      <c r="H503" s="8"/>
      <c r="I503" s="205"/>
      <c r="J503" s="201"/>
    </row>
    <row r="504" spans="1:10" x14ac:dyDescent="0.3">
      <c r="A504" s="8"/>
      <c r="B504" s="10"/>
      <c r="C504" s="10"/>
      <c r="D504" s="10"/>
      <c r="E504" s="205"/>
      <c r="F504" s="9"/>
      <c r="H504" s="8"/>
      <c r="I504" s="205"/>
      <c r="J504" s="201"/>
    </row>
    <row r="505" spans="1:10" x14ac:dyDescent="0.3">
      <c r="A505" s="8"/>
      <c r="B505" s="10"/>
      <c r="C505" s="10"/>
      <c r="D505" s="10"/>
      <c r="E505" s="205"/>
      <c r="F505" s="9"/>
      <c r="H505" s="8"/>
      <c r="I505" s="205"/>
      <c r="J505" s="201"/>
    </row>
    <row r="506" spans="1:10" x14ac:dyDescent="0.3">
      <c r="A506" s="8"/>
      <c r="B506" s="10"/>
      <c r="C506" s="10"/>
      <c r="D506" s="10"/>
      <c r="E506" s="205"/>
      <c r="F506" s="9"/>
      <c r="H506" s="8"/>
      <c r="I506" s="205"/>
      <c r="J506" s="201"/>
    </row>
    <row r="507" spans="1:10" x14ac:dyDescent="0.3">
      <c r="A507" s="8"/>
      <c r="B507" s="10"/>
      <c r="C507" s="10"/>
      <c r="D507" s="10"/>
      <c r="E507" s="205"/>
      <c r="F507" s="9"/>
      <c r="H507" s="8"/>
      <c r="I507" s="205"/>
      <c r="J507" s="201"/>
    </row>
    <row r="508" spans="1:10" x14ac:dyDescent="0.3">
      <c r="A508" s="8"/>
      <c r="B508" s="10"/>
      <c r="C508" s="10"/>
      <c r="D508" s="10"/>
      <c r="E508" s="205"/>
      <c r="F508" s="9"/>
      <c r="H508" s="8"/>
      <c r="I508" s="205"/>
      <c r="J508" s="201"/>
    </row>
    <row r="509" spans="1:10" x14ac:dyDescent="0.3">
      <c r="A509" s="8"/>
      <c r="B509" s="10"/>
      <c r="C509" s="10"/>
      <c r="D509" s="10"/>
      <c r="E509" s="205"/>
      <c r="F509" s="9"/>
      <c r="H509" s="8"/>
      <c r="I509" s="205"/>
      <c r="J509" s="201"/>
    </row>
    <row r="510" spans="1:10" x14ac:dyDescent="0.3">
      <c r="A510" s="8"/>
      <c r="B510" s="10"/>
      <c r="C510" s="10"/>
      <c r="D510" s="10"/>
      <c r="E510" s="205"/>
      <c r="F510" s="9"/>
      <c r="H510" s="8"/>
      <c r="I510" s="205"/>
      <c r="J510" s="201"/>
    </row>
    <row r="511" spans="1:10" x14ac:dyDescent="0.3">
      <c r="A511" s="8"/>
      <c r="B511" s="10"/>
      <c r="C511" s="10"/>
      <c r="D511" s="10"/>
      <c r="E511" s="205"/>
      <c r="F511" s="9"/>
      <c r="H511" s="8"/>
      <c r="I511" s="205"/>
      <c r="J511" s="201"/>
    </row>
    <row r="512" spans="1:10" x14ac:dyDescent="0.3">
      <c r="A512" s="8"/>
      <c r="B512" s="10"/>
      <c r="C512" s="10"/>
      <c r="D512" s="10"/>
      <c r="E512" s="205"/>
      <c r="F512" s="9"/>
      <c r="H512" s="8"/>
      <c r="I512" s="205"/>
      <c r="J512" s="201"/>
    </row>
    <row r="513" spans="1:10" x14ac:dyDescent="0.3">
      <c r="A513" s="8"/>
      <c r="B513" s="10"/>
      <c r="C513" s="10"/>
      <c r="D513" s="10"/>
      <c r="E513" s="205"/>
      <c r="F513" s="9"/>
      <c r="H513" s="8"/>
      <c r="I513" s="205"/>
      <c r="J513" s="201"/>
    </row>
    <row r="514" spans="1:10" x14ac:dyDescent="0.3">
      <c r="A514" s="8"/>
      <c r="B514" s="10"/>
      <c r="C514" s="10"/>
      <c r="D514" s="10"/>
      <c r="E514" s="205"/>
      <c r="F514" s="9"/>
      <c r="H514" s="8"/>
      <c r="I514" s="205"/>
      <c r="J514" s="201"/>
    </row>
    <row r="515" spans="1:10" x14ac:dyDescent="0.3">
      <c r="A515" s="8"/>
      <c r="B515" s="10"/>
      <c r="C515" s="10"/>
      <c r="D515" s="10"/>
      <c r="E515" s="205"/>
      <c r="F515" s="9"/>
      <c r="H515" s="8"/>
      <c r="I515" s="205"/>
      <c r="J515" s="201"/>
    </row>
    <row r="516" spans="1:10" x14ac:dyDescent="0.3">
      <c r="A516" s="8"/>
      <c r="B516" s="10"/>
      <c r="C516" s="10"/>
      <c r="D516" s="10"/>
      <c r="E516" s="205"/>
      <c r="F516" s="9"/>
      <c r="H516" s="8"/>
      <c r="I516" s="205"/>
      <c r="J516" s="201"/>
    </row>
    <row r="517" spans="1:10" x14ac:dyDescent="0.3">
      <c r="A517" s="8"/>
      <c r="B517" s="10"/>
      <c r="C517" s="10"/>
      <c r="D517" s="10"/>
      <c r="E517" s="205"/>
      <c r="F517" s="9"/>
      <c r="H517" s="8"/>
      <c r="I517" s="205"/>
      <c r="J517" s="201"/>
    </row>
    <row r="518" spans="1:10" x14ac:dyDescent="0.3">
      <c r="A518" s="8"/>
      <c r="B518" s="10"/>
      <c r="C518" s="10"/>
      <c r="D518" s="10"/>
      <c r="E518" s="205"/>
      <c r="F518" s="9"/>
      <c r="H518" s="8"/>
      <c r="I518" s="205"/>
      <c r="J518" s="201"/>
    </row>
    <row r="519" spans="1:10" x14ac:dyDescent="0.3">
      <c r="A519" s="8"/>
      <c r="B519" s="10"/>
      <c r="C519" s="10"/>
      <c r="D519" s="10"/>
      <c r="E519" s="205"/>
      <c r="F519" s="9"/>
      <c r="H519" s="8"/>
      <c r="I519" s="205"/>
      <c r="J519" s="201"/>
    </row>
    <row r="520" spans="1:10" x14ac:dyDescent="0.3">
      <c r="A520" s="8"/>
      <c r="B520" s="10"/>
      <c r="C520" s="10"/>
      <c r="D520" s="10"/>
      <c r="E520" s="205"/>
      <c r="F520" s="9"/>
      <c r="H520" s="8"/>
      <c r="I520" s="205"/>
      <c r="J520" s="201"/>
    </row>
    <row r="521" spans="1:10" x14ac:dyDescent="0.3">
      <c r="A521" s="8"/>
      <c r="B521" s="10"/>
      <c r="C521" s="10"/>
      <c r="D521" s="10"/>
      <c r="E521" s="205"/>
      <c r="F521" s="9"/>
      <c r="H521" s="8"/>
      <c r="I521" s="205"/>
      <c r="J521" s="201"/>
    </row>
    <row r="522" spans="1:10" x14ac:dyDescent="0.3">
      <c r="A522" s="8"/>
      <c r="B522" s="10"/>
      <c r="C522" s="10"/>
      <c r="D522" s="10"/>
      <c r="E522" s="205"/>
      <c r="F522" s="9"/>
      <c r="H522" s="8"/>
      <c r="I522" s="205"/>
      <c r="J522" s="201"/>
    </row>
    <row r="523" spans="1:10" x14ac:dyDescent="0.3">
      <c r="A523" s="8"/>
      <c r="B523" s="10"/>
      <c r="C523" s="10"/>
      <c r="D523" s="10"/>
      <c r="E523" s="205"/>
      <c r="F523" s="9"/>
      <c r="H523" s="8"/>
      <c r="I523" s="205"/>
      <c r="J523" s="201"/>
    </row>
    <row r="524" spans="1:10" x14ac:dyDescent="0.3">
      <c r="A524" s="8"/>
      <c r="B524" s="10"/>
      <c r="C524" s="10"/>
      <c r="D524" s="10"/>
      <c r="E524" s="205"/>
      <c r="F524" s="9"/>
      <c r="H524" s="8"/>
      <c r="I524" s="205"/>
      <c r="J524" s="201"/>
    </row>
    <row r="525" spans="1:10" x14ac:dyDescent="0.3">
      <c r="A525" s="8"/>
      <c r="B525" s="10"/>
      <c r="C525" s="10"/>
      <c r="D525" s="10"/>
      <c r="E525" s="205"/>
      <c r="F525" s="9"/>
      <c r="H525" s="8"/>
      <c r="I525" s="205"/>
      <c r="J525" s="201"/>
    </row>
    <row r="526" spans="1:10" x14ac:dyDescent="0.3">
      <c r="A526" s="8"/>
      <c r="B526" s="10"/>
      <c r="C526" s="10"/>
      <c r="D526" s="10"/>
      <c r="E526" s="205"/>
      <c r="F526" s="9"/>
      <c r="H526" s="8"/>
      <c r="I526" s="205"/>
      <c r="J526" s="201"/>
    </row>
    <row r="527" spans="1:10" x14ac:dyDescent="0.3">
      <c r="A527" s="8"/>
      <c r="B527" s="10"/>
      <c r="C527" s="10"/>
      <c r="D527" s="10"/>
      <c r="E527" s="205"/>
      <c r="F527" s="9"/>
      <c r="H527" s="8"/>
      <c r="I527" s="205"/>
      <c r="J527" s="201"/>
    </row>
    <row r="528" spans="1:10" x14ac:dyDescent="0.3">
      <c r="A528" s="8"/>
      <c r="B528" s="10"/>
      <c r="C528" s="10"/>
      <c r="D528" s="10"/>
      <c r="E528" s="205"/>
      <c r="F528" s="9"/>
      <c r="H528" s="8"/>
      <c r="I528" s="205"/>
      <c r="J528" s="201"/>
    </row>
    <row r="529" spans="1:10" x14ac:dyDescent="0.3">
      <c r="A529" s="8"/>
      <c r="B529" s="10"/>
      <c r="C529" s="10"/>
      <c r="D529" s="10"/>
      <c r="E529" s="205"/>
      <c r="F529" s="9"/>
      <c r="H529" s="8"/>
      <c r="I529" s="205"/>
      <c r="J529" s="201"/>
    </row>
    <row r="530" spans="1:10" x14ac:dyDescent="0.3">
      <c r="A530" s="8"/>
      <c r="B530" s="10"/>
      <c r="C530" s="10"/>
      <c r="D530" s="10"/>
      <c r="E530" s="205"/>
      <c r="F530" s="9"/>
      <c r="H530" s="8"/>
      <c r="I530" s="205"/>
      <c r="J530" s="201"/>
    </row>
    <row r="531" spans="1:10" x14ac:dyDescent="0.3">
      <c r="A531" s="8"/>
      <c r="B531" s="10"/>
      <c r="C531" s="10"/>
      <c r="D531" s="10"/>
      <c r="E531" s="205"/>
      <c r="F531" s="9"/>
      <c r="H531" s="8"/>
      <c r="I531" s="205"/>
      <c r="J531" s="201"/>
    </row>
    <row r="532" spans="1:10" x14ac:dyDescent="0.3">
      <c r="A532" s="8"/>
      <c r="B532" s="10"/>
      <c r="C532" s="10"/>
      <c r="D532" s="10"/>
      <c r="E532" s="205"/>
      <c r="F532" s="9"/>
      <c r="H532" s="8"/>
      <c r="I532" s="205"/>
      <c r="J532" s="201"/>
    </row>
    <row r="533" spans="1:10" x14ac:dyDescent="0.3">
      <c r="A533" s="8"/>
      <c r="B533" s="10"/>
      <c r="C533" s="10"/>
      <c r="D533" s="10"/>
      <c r="E533" s="205"/>
      <c r="F533" s="9"/>
      <c r="H533" s="8"/>
      <c r="I533" s="205"/>
      <c r="J533" s="201"/>
    </row>
    <row r="534" spans="1:10" x14ac:dyDescent="0.3">
      <c r="A534" s="8"/>
      <c r="B534" s="10"/>
      <c r="C534" s="10"/>
      <c r="D534" s="10"/>
      <c r="E534" s="205"/>
      <c r="F534" s="9"/>
      <c r="H534" s="8"/>
      <c r="I534" s="205"/>
      <c r="J534" s="201"/>
    </row>
    <row r="535" spans="1:10" x14ac:dyDescent="0.3">
      <c r="A535" s="8"/>
      <c r="B535" s="10"/>
      <c r="C535" s="10"/>
      <c r="D535" s="10"/>
      <c r="E535" s="205"/>
      <c r="F535" s="9"/>
      <c r="H535" s="8"/>
      <c r="I535" s="205"/>
      <c r="J535" s="201"/>
    </row>
    <row r="536" spans="1:10" x14ac:dyDescent="0.3">
      <c r="A536" s="8"/>
      <c r="B536" s="10"/>
      <c r="C536" s="10"/>
      <c r="D536" s="10"/>
      <c r="E536" s="205"/>
      <c r="F536" s="9"/>
      <c r="H536" s="8"/>
      <c r="I536" s="205"/>
      <c r="J536" s="201"/>
    </row>
    <row r="537" spans="1:10" x14ac:dyDescent="0.3">
      <c r="A537" s="8"/>
      <c r="B537" s="10"/>
      <c r="C537" s="10"/>
      <c r="D537" s="10"/>
      <c r="E537" s="205"/>
      <c r="F537" s="9"/>
      <c r="H537" s="8"/>
      <c r="I537" s="205"/>
      <c r="J537" s="201"/>
    </row>
    <row r="538" spans="1:10" x14ac:dyDescent="0.3">
      <c r="A538" s="8"/>
      <c r="B538" s="10"/>
      <c r="C538" s="10"/>
      <c r="D538" s="10"/>
      <c r="E538" s="205"/>
      <c r="F538" s="9"/>
      <c r="H538" s="8"/>
      <c r="I538" s="205"/>
      <c r="J538" s="201"/>
    </row>
    <row r="539" spans="1:10" x14ac:dyDescent="0.3">
      <c r="A539" s="8"/>
      <c r="B539" s="10"/>
      <c r="C539" s="10"/>
      <c r="D539" s="10"/>
      <c r="E539" s="205"/>
      <c r="F539" s="9"/>
      <c r="H539" s="8"/>
      <c r="I539" s="205"/>
      <c r="J539" s="201"/>
    </row>
    <row r="540" spans="1:10" x14ac:dyDescent="0.3">
      <c r="A540" s="8"/>
      <c r="B540" s="10"/>
      <c r="C540" s="10"/>
      <c r="D540" s="10"/>
      <c r="E540" s="205"/>
      <c r="F540" s="9"/>
      <c r="H540" s="8"/>
      <c r="I540" s="205"/>
      <c r="J540" s="201"/>
    </row>
    <row r="541" spans="1:10" x14ac:dyDescent="0.3">
      <c r="A541" s="8"/>
      <c r="B541" s="10"/>
      <c r="C541" s="10"/>
      <c r="D541" s="10"/>
      <c r="E541" s="205"/>
      <c r="F541" s="9"/>
      <c r="H541" s="8"/>
      <c r="I541" s="205"/>
      <c r="J541" s="201"/>
    </row>
    <row r="542" spans="1:10" x14ac:dyDescent="0.3">
      <c r="A542" s="8"/>
      <c r="B542" s="10"/>
      <c r="C542" s="10"/>
      <c r="D542" s="10"/>
      <c r="E542" s="205"/>
      <c r="F542" s="9"/>
      <c r="H542" s="8"/>
      <c r="I542" s="205"/>
      <c r="J542" s="201"/>
    </row>
    <row r="543" spans="1:10" x14ac:dyDescent="0.3">
      <c r="A543" s="8"/>
      <c r="B543" s="10"/>
      <c r="C543" s="10"/>
      <c r="D543" s="10"/>
      <c r="E543" s="205"/>
      <c r="F543" s="9"/>
      <c r="H543" s="8"/>
      <c r="I543" s="205"/>
      <c r="J543" s="201"/>
    </row>
    <row r="544" spans="1:10" x14ac:dyDescent="0.3">
      <c r="A544" s="8"/>
      <c r="B544" s="10"/>
      <c r="C544" s="10"/>
      <c r="D544" s="10"/>
      <c r="E544" s="205"/>
      <c r="F544" s="9"/>
      <c r="H544" s="8"/>
      <c r="I544" s="205"/>
      <c r="J544" s="201"/>
    </row>
    <row r="545" spans="1:10" x14ac:dyDescent="0.3">
      <c r="A545" s="8"/>
      <c r="B545" s="10"/>
      <c r="C545" s="10"/>
      <c r="D545" s="10"/>
      <c r="E545" s="205"/>
      <c r="F545" s="9"/>
      <c r="H545" s="8"/>
      <c r="I545" s="205"/>
      <c r="J545" s="201"/>
    </row>
    <row r="546" spans="1:10" x14ac:dyDescent="0.3">
      <c r="A546" s="8"/>
      <c r="B546" s="10"/>
      <c r="C546" s="10"/>
      <c r="D546" s="10"/>
      <c r="E546" s="205"/>
      <c r="F546" s="9"/>
      <c r="H546" s="8"/>
      <c r="I546" s="205"/>
      <c r="J546" s="201"/>
    </row>
    <row r="547" spans="1:10" x14ac:dyDescent="0.3">
      <c r="A547" s="8"/>
      <c r="B547" s="10"/>
      <c r="C547" s="10"/>
      <c r="D547" s="10"/>
      <c r="E547" s="205"/>
      <c r="F547" s="9"/>
      <c r="H547" s="8"/>
      <c r="I547" s="205"/>
      <c r="J547" s="201"/>
    </row>
    <row r="548" spans="1:10" x14ac:dyDescent="0.3">
      <c r="A548" s="8"/>
      <c r="B548" s="10"/>
      <c r="C548" s="10"/>
      <c r="D548" s="10"/>
      <c r="E548" s="205"/>
      <c r="F548" s="9"/>
      <c r="H548" s="8"/>
      <c r="I548" s="205"/>
      <c r="J548" s="201"/>
    </row>
    <row r="549" spans="1:10" x14ac:dyDescent="0.3">
      <c r="A549" s="8"/>
      <c r="B549" s="10"/>
      <c r="C549" s="10"/>
      <c r="D549" s="10"/>
      <c r="E549" s="205"/>
      <c r="F549" s="9"/>
      <c r="H549" s="8"/>
      <c r="I549" s="205"/>
      <c r="J549" s="201"/>
    </row>
    <row r="550" spans="1:10" x14ac:dyDescent="0.3">
      <c r="A550" s="8"/>
      <c r="B550" s="10"/>
      <c r="C550" s="10"/>
      <c r="D550" s="10"/>
      <c r="E550" s="205"/>
      <c r="F550" s="9"/>
      <c r="H550" s="8"/>
      <c r="I550" s="205"/>
      <c r="J550" s="201"/>
    </row>
    <row r="551" spans="1:10" x14ac:dyDescent="0.3">
      <c r="A551" s="8"/>
      <c r="B551" s="10"/>
      <c r="C551" s="10"/>
      <c r="D551" s="10"/>
      <c r="E551" s="205"/>
      <c r="F551" s="9"/>
      <c r="H551" s="8"/>
      <c r="I551" s="205"/>
      <c r="J551" s="201"/>
    </row>
    <row r="552" spans="1:10" x14ac:dyDescent="0.3">
      <c r="A552" s="8"/>
      <c r="B552" s="10"/>
      <c r="C552" s="10"/>
      <c r="D552" s="10"/>
      <c r="E552" s="205"/>
      <c r="F552" s="9"/>
      <c r="H552" s="8"/>
      <c r="I552" s="205"/>
      <c r="J552" s="201"/>
    </row>
    <row r="553" spans="1:10" x14ac:dyDescent="0.3">
      <c r="A553" s="8"/>
      <c r="B553" s="10"/>
      <c r="C553" s="10"/>
      <c r="D553" s="10"/>
      <c r="E553" s="205"/>
      <c r="F553" s="9"/>
      <c r="H553" s="8"/>
      <c r="I553" s="205"/>
      <c r="J553" s="201"/>
    </row>
    <row r="554" spans="1:10" x14ac:dyDescent="0.3">
      <c r="A554" s="8"/>
      <c r="B554" s="10"/>
      <c r="C554" s="10"/>
      <c r="D554" s="10"/>
      <c r="E554" s="205"/>
      <c r="F554" s="9"/>
      <c r="H554" s="8"/>
      <c r="I554" s="205"/>
      <c r="J554" s="201"/>
    </row>
    <row r="555" spans="1:10" x14ac:dyDescent="0.3">
      <c r="A555" s="8"/>
      <c r="B555" s="10"/>
      <c r="C555" s="10"/>
      <c r="D555" s="10"/>
      <c r="E555" s="205"/>
      <c r="F555" s="9"/>
      <c r="H555" s="8"/>
      <c r="I555" s="205"/>
      <c r="J555" s="201"/>
    </row>
    <row r="556" spans="1:10" x14ac:dyDescent="0.3">
      <c r="A556" s="8"/>
      <c r="B556" s="10"/>
      <c r="C556" s="10"/>
      <c r="D556" s="10"/>
      <c r="E556" s="205"/>
      <c r="F556" s="9"/>
      <c r="H556" s="8"/>
      <c r="I556" s="205"/>
      <c r="J556" s="201"/>
    </row>
    <row r="557" spans="1:10" x14ac:dyDescent="0.3">
      <c r="A557" s="8"/>
      <c r="B557" s="10"/>
      <c r="C557" s="10"/>
      <c r="D557" s="10"/>
      <c r="E557" s="205"/>
      <c r="F557" s="9"/>
      <c r="H557" s="8"/>
      <c r="I557" s="205"/>
      <c r="J557" s="201"/>
    </row>
    <row r="558" spans="1:10" x14ac:dyDescent="0.3">
      <c r="A558" s="8"/>
      <c r="B558" s="10"/>
      <c r="C558" s="10"/>
      <c r="D558" s="10"/>
      <c r="E558" s="205"/>
      <c r="F558" s="9"/>
      <c r="H558" s="8"/>
      <c r="I558" s="205"/>
      <c r="J558" s="201"/>
    </row>
    <row r="559" spans="1:10" x14ac:dyDescent="0.3">
      <c r="A559" s="8"/>
      <c r="B559" s="10"/>
      <c r="C559" s="10"/>
      <c r="D559" s="10"/>
      <c r="E559" s="205"/>
      <c r="F559" s="9"/>
      <c r="H559" s="8"/>
      <c r="I559" s="205"/>
      <c r="J559" s="201"/>
    </row>
    <row r="560" spans="1:10" x14ac:dyDescent="0.3">
      <c r="A560" s="8"/>
      <c r="B560" s="10"/>
      <c r="C560" s="10"/>
      <c r="D560" s="10"/>
      <c r="E560" s="205"/>
      <c r="F560" s="9"/>
      <c r="H560" s="8"/>
      <c r="I560" s="205"/>
      <c r="J560" s="201"/>
    </row>
    <row r="561" spans="1:10" x14ac:dyDescent="0.3">
      <c r="A561" s="8"/>
      <c r="B561" s="10"/>
      <c r="C561" s="10"/>
      <c r="D561" s="10"/>
      <c r="E561" s="205"/>
      <c r="F561" s="9"/>
      <c r="H561" s="8"/>
      <c r="I561" s="205"/>
      <c r="J561" s="201"/>
    </row>
    <row r="562" spans="1:10" x14ac:dyDescent="0.3">
      <c r="A562" s="8"/>
      <c r="B562" s="10"/>
      <c r="C562" s="10"/>
      <c r="D562" s="10"/>
      <c r="E562" s="205"/>
      <c r="F562" s="9"/>
      <c r="H562" s="8"/>
      <c r="I562" s="205"/>
      <c r="J562" s="201"/>
    </row>
    <row r="563" spans="1:10" x14ac:dyDescent="0.3">
      <c r="A563" s="8"/>
      <c r="B563" s="10"/>
      <c r="C563" s="10"/>
      <c r="D563" s="10"/>
      <c r="E563" s="205"/>
      <c r="F563" s="9"/>
      <c r="H563" s="8"/>
      <c r="I563" s="205"/>
      <c r="J563" s="201"/>
    </row>
    <row r="564" spans="1:10" x14ac:dyDescent="0.3">
      <c r="A564" s="8"/>
      <c r="B564" s="10"/>
      <c r="C564" s="10"/>
      <c r="D564" s="10"/>
      <c r="E564" s="205"/>
      <c r="F564" s="9"/>
      <c r="H564" s="8"/>
      <c r="I564" s="205"/>
      <c r="J564" s="201"/>
    </row>
    <row r="565" spans="1:10" x14ac:dyDescent="0.3">
      <c r="A565" s="8"/>
      <c r="B565" s="10"/>
      <c r="C565" s="10"/>
      <c r="D565" s="10"/>
      <c r="E565" s="205"/>
      <c r="F565" s="9"/>
      <c r="H565" s="8"/>
      <c r="I565" s="205"/>
      <c r="J565" s="201"/>
    </row>
    <row r="566" spans="1:10" x14ac:dyDescent="0.3">
      <c r="A566" s="8"/>
      <c r="B566" s="10"/>
      <c r="C566" s="10"/>
      <c r="D566" s="10"/>
      <c r="E566" s="205"/>
      <c r="F566" s="9"/>
      <c r="H566" s="8"/>
      <c r="I566" s="205"/>
      <c r="J566" s="201"/>
    </row>
    <row r="567" spans="1:10" x14ac:dyDescent="0.3">
      <c r="A567" s="8"/>
      <c r="B567" s="10"/>
      <c r="C567" s="10"/>
      <c r="D567" s="10"/>
      <c r="E567" s="205"/>
      <c r="F567" s="9"/>
      <c r="H567" s="8"/>
      <c r="I567" s="205"/>
      <c r="J567" s="201"/>
    </row>
    <row r="568" spans="1:10" x14ac:dyDescent="0.3">
      <c r="A568" s="8"/>
      <c r="B568" s="10"/>
      <c r="C568" s="10"/>
      <c r="D568" s="10"/>
      <c r="E568" s="205"/>
      <c r="F568" s="9"/>
      <c r="H568" s="8"/>
      <c r="I568" s="205"/>
      <c r="J568" s="201"/>
    </row>
    <row r="569" spans="1:10" x14ac:dyDescent="0.3">
      <c r="A569" s="8"/>
      <c r="B569" s="10"/>
      <c r="C569" s="10"/>
      <c r="D569" s="10"/>
      <c r="E569" s="205"/>
      <c r="F569" s="9"/>
      <c r="H569" s="8"/>
      <c r="I569" s="205"/>
      <c r="J569" s="201"/>
    </row>
    <row r="570" spans="1:10" x14ac:dyDescent="0.3">
      <c r="A570" s="8"/>
      <c r="B570" s="10"/>
      <c r="C570" s="10"/>
      <c r="D570" s="10"/>
      <c r="E570" s="205"/>
      <c r="F570" s="9"/>
      <c r="H570" s="8"/>
      <c r="I570" s="205"/>
      <c r="J570" s="201"/>
    </row>
    <row r="571" spans="1:10" x14ac:dyDescent="0.3">
      <c r="A571" s="8"/>
      <c r="B571" s="10"/>
      <c r="C571" s="10"/>
      <c r="D571" s="10"/>
      <c r="E571" s="205"/>
      <c r="F571" s="9"/>
      <c r="H571" s="8"/>
      <c r="I571" s="205"/>
      <c r="J571" s="201"/>
    </row>
    <row r="572" spans="1:10" x14ac:dyDescent="0.3">
      <c r="A572" s="8"/>
      <c r="B572" s="10"/>
      <c r="C572" s="10"/>
      <c r="D572" s="10"/>
      <c r="E572" s="205"/>
      <c r="F572" s="9"/>
      <c r="H572" s="8"/>
      <c r="I572" s="205"/>
      <c r="J572" s="201"/>
    </row>
    <row r="573" spans="1:10" x14ac:dyDescent="0.3">
      <c r="A573" s="8"/>
      <c r="B573" s="10"/>
      <c r="C573" s="10"/>
      <c r="D573" s="10"/>
      <c r="E573" s="205"/>
      <c r="F573" s="9"/>
      <c r="H573" s="8"/>
      <c r="I573" s="205"/>
      <c r="J573" s="201"/>
    </row>
    <row r="574" spans="1:10" x14ac:dyDescent="0.3">
      <c r="A574" s="8"/>
      <c r="B574" s="10"/>
      <c r="C574" s="10"/>
      <c r="D574" s="10"/>
      <c r="E574" s="205"/>
      <c r="F574" s="9"/>
      <c r="H574" s="8"/>
      <c r="I574" s="205"/>
      <c r="J574" s="201"/>
    </row>
    <row r="575" spans="1:10" x14ac:dyDescent="0.3">
      <c r="A575" s="8"/>
      <c r="B575" s="10"/>
      <c r="C575" s="10"/>
      <c r="D575" s="10"/>
      <c r="E575" s="205"/>
      <c r="F575" s="9"/>
      <c r="H575" s="8"/>
      <c r="I575" s="205"/>
      <c r="J575" s="201"/>
    </row>
    <row r="576" spans="1:10" x14ac:dyDescent="0.3">
      <c r="A576" s="8"/>
      <c r="B576" s="10"/>
      <c r="C576" s="10"/>
      <c r="D576" s="10"/>
      <c r="E576" s="205"/>
      <c r="F576" s="9"/>
      <c r="H576" s="8"/>
      <c r="I576" s="205"/>
      <c r="J576" s="201"/>
    </row>
    <row r="577" spans="1:10" x14ac:dyDescent="0.3">
      <c r="A577" s="8"/>
      <c r="B577" s="10"/>
      <c r="C577" s="10"/>
      <c r="D577" s="10"/>
      <c r="E577" s="205"/>
      <c r="F577" s="9"/>
      <c r="H577" s="8"/>
      <c r="I577" s="205"/>
      <c r="J577" s="201"/>
    </row>
    <row r="578" spans="1:10" x14ac:dyDescent="0.3">
      <c r="A578" s="8"/>
      <c r="B578" s="266"/>
      <c r="C578" s="266"/>
      <c r="D578" s="266"/>
      <c r="E578" s="264"/>
      <c r="F578" s="265"/>
      <c r="H578" s="8"/>
      <c r="I578" s="205"/>
      <c r="J578" s="201"/>
    </row>
    <row r="579" spans="1:10" x14ac:dyDescent="0.3">
      <c r="A579" s="8"/>
      <c r="B579" s="266"/>
      <c r="C579" s="266"/>
      <c r="D579" s="266"/>
      <c r="E579" s="264"/>
      <c r="F579" s="265"/>
      <c r="H579" s="8"/>
      <c r="I579" s="205"/>
      <c r="J579" s="201"/>
    </row>
    <row r="580" spans="1:10" x14ac:dyDescent="0.3">
      <c r="A580" s="8"/>
      <c r="B580" s="266"/>
      <c r="C580" s="266"/>
      <c r="D580" s="266"/>
      <c r="E580" s="264"/>
      <c r="F580" s="265"/>
      <c r="H580" s="8"/>
      <c r="I580" s="205"/>
      <c r="J580" s="201"/>
    </row>
    <row r="581" spans="1:10" x14ac:dyDescent="0.3">
      <c r="A581" s="8"/>
      <c r="B581" s="266"/>
      <c r="C581" s="266"/>
      <c r="D581" s="266"/>
      <c r="E581" s="264"/>
      <c r="F581" s="265"/>
      <c r="H581" s="8"/>
      <c r="I581" s="205"/>
      <c r="J581" s="201"/>
    </row>
    <row r="582" spans="1:10" x14ac:dyDescent="0.3">
      <c r="A582" s="8"/>
      <c r="B582" s="266"/>
      <c r="C582" s="266"/>
      <c r="D582" s="266"/>
      <c r="E582" s="264"/>
      <c r="F582" s="265"/>
      <c r="H582" s="8"/>
      <c r="I582" s="205"/>
      <c r="J582" s="201"/>
    </row>
    <row r="583" spans="1:10" x14ac:dyDescent="0.3">
      <c r="A583" s="8"/>
      <c r="B583" s="266"/>
      <c r="C583" s="266"/>
      <c r="D583" s="266"/>
      <c r="E583" s="264"/>
      <c r="F583" s="265"/>
      <c r="H583" s="8"/>
      <c r="I583" s="205"/>
      <c r="J583" s="201"/>
    </row>
    <row r="584" spans="1:10" x14ac:dyDescent="0.3">
      <c r="A584" s="8"/>
      <c r="B584" s="266"/>
      <c r="C584" s="266"/>
      <c r="D584" s="266"/>
      <c r="E584" s="264"/>
      <c r="F584" s="265"/>
      <c r="H584" s="8"/>
      <c r="I584" s="205"/>
      <c r="J584" s="201"/>
    </row>
    <row r="585" spans="1:10" x14ac:dyDescent="0.3">
      <c r="A585" s="8"/>
      <c r="B585" s="266"/>
      <c r="C585" s="266"/>
      <c r="D585" s="266"/>
      <c r="E585" s="264"/>
      <c r="F585" s="265"/>
      <c r="H585" s="8"/>
      <c r="I585" s="205"/>
      <c r="J585" s="201"/>
    </row>
    <row r="586" spans="1:10" x14ac:dyDescent="0.3">
      <c r="A586" s="8"/>
      <c r="B586" s="266"/>
      <c r="C586" s="266"/>
      <c r="D586" s="266"/>
      <c r="E586" s="264"/>
      <c r="F586" s="265"/>
      <c r="H586" s="8"/>
      <c r="I586" s="205"/>
      <c r="J586" s="201"/>
    </row>
    <row r="587" spans="1:10" x14ac:dyDescent="0.3">
      <c r="A587" s="8"/>
      <c r="B587" s="266"/>
      <c r="C587" s="266"/>
      <c r="D587" s="266"/>
      <c r="E587" s="264"/>
      <c r="F587" s="265"/>
      <c r="H587" s="8"/>
      <c r="I587" s="205"/>
      <c r="J587" s="201"/>
    </row>
    <row r="588" spans="1:10" x14ac:dyDescent="0.3">
      <c r="A588" s="8"/>
      <c r="B588" s="266"/>
      <c r="C588" s="266"/>
      <c r="D588" s="266"/>
      <c r="E588" s="264"/>
      <c r="F588" s="265"/>
      <c r="H588" s="8"/>
      <c r="I588" s="205"/>
      <c r="J588" s="201"/>
    </row>
    <row r="589" spans="1:10" x14ac:dyDescent="0.3">
      <c r="A589" s="8"/>
      <c r="B589" s="266"/>
      <c r="C589" s="266"/>
      <c r="D589" s="266"/>
      <c r="E589" s="264"/>
      <c r="F589" s="265"/>
      <c r="H589" s="8"/>
      <c r="I589" s="205"/>
      <c r="J589" s="201"/>
    </row>
    <row r="590" spans="1:10" x14ac:dyDescent="0.3">
      <c r="A590" s="8"/>
      <c r="B590" s="266"/>
      <c r="C590" s="266"/>
      <c r="D590" s="266"/>
      <c r="E590" s="264"/>
      <c r="F590" s="265"/>
      <c r="H590" s="8"/>
      <c r="I590" s="205"/>
      <c r="J590" s="201"/>
    </row>
    <row r="591" spans="1:10" x14ac:dyDescent="0.3">
      <c r="A591" s="8"/>
      <c r="B591" s="266"/>
      <c r="C591" s="266"/>
      <c r="D591" s="266"/>
      <c r="E591" s="264"/>
      <c r="F591" s="265"/>
      <c r="H591" s="8"/>
      <c r="I591" s="205"/>
      <c r="J591" s="201"/>
    </row>
    <row r="592" spans="1:10" x14ac:dyDescent="0.3">
      <c r="A592" s="8"/>
      <c r="B592" s="266"/>
      <c r="C592" s="266"/>
      <c r="D592" s="266"/>
      <c r="E592" s="264"/>
      <c r="F592" s="265"/>
      <c r="H592" s="8"/>
      <c r="I592" s="205"/>
      <c r="J592" s="201"/>
    </row>
    <row r="593" spans="1:10" x14ac:dyDescent="0.3">
      <c r="A593" s="8"/>
      <c r="B593" s="266"/>
      <c r="C593" s="266"/>
      <c r="D593" s="266"/>
      <c r="E593" s="264"/>
      <c r="F593" s="265"/>
      <c r="H593" s="8"/>
      <c r="I593" s="205"/>
      <c r="J593" s="201"/>
    </row>
    <row r="594" spans="1:10" x14ac:dyDescent="0.3">
      <c r="A594" s="8"/>
      <c r="B594" s="266"/>
      <c r="C594" s="266"/>
      <c r="D594" s="266"/>
      <c r="E594" s="264"/>
      <c r="F594" s="265"/>
      <c r="H594" s="8"/>
      <c r="I594" s="205"/>
      <c r="J594" s="201"/>
    </row>
    <row r="595" spans="1:10" x14ac:dyDescent="0.3">
      <c r="A595" s="8"/>
      <c r="B595" s="266"/>
      <c r="C595" s="266"/>
      <c r="D595" s="266"/>
      <c r="E595" s="264"/>
      <c r="F595" s="265"/>
      <c r="H595" s="8"/>
      <c r="I595" s="205"/>
      <c r="J595" s="201"/>
    </row>
    <row r="596" spans="1:10" x14ac:dyDescent="0.3">
      <c r="A596" s="8"/>
      <c r="B596" s="266"/>
      <c r="C596" s="266"/>
      <c r="D596" s="266"/>
      <c r="E596" s="264"/>
      <c r="F596" s="265"/>
      <c r="H596" s="8"/>
      <c r="I596" s="205"/>
      <c r="J596" s="201"/>
    </row>
    <row r="597" spans="1:10" x14ac:dyDescent="0.3">
      <c r="A597" s="8"/>
      <c r="B597" s="266"/>
      <c r="C597" s="266"/>
      <c r="D597" s="266"/>
      <c r="E597" s="264"/>
      <c r="F597" s="265"/>
      <c r="H597" s="8"/>
      <c r="I597" s="205"/>
      <c r="J597" s="201"/>
    </row>
    <row r="598" spans="1:10" x14ac:dyDescent="0.3">
      <c r="A598" s="8"/>
      <c r="B598" s="266"/>
      <c r="C598" s="266"/>
      <c r="D598" s="266"/>
      <c r="E598" s="264"/>
      <c r="F598" s="265"/>
      <c r="H598" s="8"/>
      <c r="I598" s="205"/>
      <c r="J598" s="201"/>
    </row>
    <row r="599" spans="1:10" x14ac:dyDescent="0.3">
      <c r="A599" s="8"/>
      <c r="B599" s="266"/>
      <c r="C599" s="266"/>
      <c r="D599" s="266"/>
      <c r="E599" s="264"/>
      <c r="F599" s="265"/>
      <c r="H599" s="8"/>
      <c r="I599" s="205"/>
      <c r="J599" s="201"/>
    </row>
    <row r="600" spans="1:10" x14ac:dyDescent="0.3">
      <c r="A600" s="8"/>
      <c r="B600" s="266"/>
      <c r="C600" s="266"/>
      <c r="D600" s="266"/>
      <c r="E600" s="264"/>
      <c r="F600" s="265"/>
      <c r="H600" s="8"/>
      <c r="I600" s="205"/>
      <c r="J600" s="201"/>
    </row>
    <row r="601" spans="1:10" x14ac:dyDescent="0.3">
      <c r="A601" s="8"/>
      <c r="B601" s="266"/>
      <c r="C601" s="266"/>
      <c r="D601" s="266"/>
      <c r="E601" s="264"/>
      <c r="F601" s="265"/>
      <c r="H601" s="8"/>
      <c r="I601" s="205"/>
      <c r="J601" s="201"/>
    </row>
    <row r="602" spans="1:10" x14ac:dyDescent="0.3">
      <c r="A602" s="8"/>
      <c r="B602" s="266"/>
      <c r="C602" s="266"/>
      <c r="D602" s="266"/>
      <c r="E602" s="264"/>
      <c r="F602" s="265"/>
      <c r="H602" s="8"/>
      <c r="I602" s="205"/>
      <c r="J602" s="201"/>
    </row>
    <row r="603" spans="1:10" x14ac:dyDescent="0.3">
      <c r="A603" s="8"/>
      <c r="B603" s="266"/>
      <c r="C603" s="266"/>
      <c r="D603" s="266"/>
      <c r="E603" s="264"/>
      <c r="F603" s="265"/>
      <c r="H603" s="8"/>
      <c r="I603" s="205"/>
      <c r="J603" s="201"/>
    </row>
    <row r="604" spans="1:10" x14ac:dyDescent="0.3">
      <c r="A604" s="8"/>
      <c r="B604" s="266"/>
      <c r="C604" s="266"/>
      <c r="D604" s="266"/>
      <c r="E604" s="264"/>
      <c r="F604" s="265"/>
      <c r="H604" s="8"/>
      <c r="I604" s="205"/>
      <c r="J604" s="201"/>
    </row>
    <row r="605" spans="1:10" x14ac:dyDescent="0.3">
      <c r="A605" s="8"/>
      <c r="B605" s="266"/>
      <c r="C605" s="266"/>
      <c r="D605" s="266"/>
      <c r="E605" s="264"/>
      <c r="F605" s="265"/>
      <c r="H605" s="8"/>
      <c r="I605" s="205"/>
      <c r="J605" s="201"/>
    </row>
    <row r="606" spans="1:10" x14ac:dyDescent="0.3">
      <c r="A606" s="8"/>
      <c r="B606" s="266"/>
      <c r="C606" s="266"/>
      <c r="D606" s="266"/>
      <c r="E606" s="264"/>
      <c r="F606" s="265"/>
      <c r="H606" s="8"/>
      <c r="I606" s="205"/>
      <c r="J606" s="201"/>
    </row>
    <row r="607" spans="1:10" x14ac:dyDescent="0.3">
      <c r="A607" s="8"/>
      <c r="B607" s="266"/>
      <c r="C607" s="266"/>
      <c r="D607" s="266"/>
      <c r="E607" s="264"/>
      <c r="F607" s="265"/>
      <c r="H607" s="8"/>
      <c r="I607" s="205"/>
      <c r="J607" s="201"/>
    </row>
    <row r="608" spans="1:10" x14ac:dyDescent="0.3">
      <c r="A608" s="8"/>
      <c r="B608" s="266"/>
      <c r="C608" s="266"/>
      <c r="D608" s="266"/>
      <c r="E608" s="264"/>
      <c r="F608" s="265"/>
      <c r="H608" s="8"/>
      <c r="I608" s="205"/>
      <c r="J608" s="201"/>
    </row>
    <row r="609" spans="1:10" x14ac:dyDescent="0.3">
      <c r="A609" s="8"/>
      <c r="B609" s="266"/>
      <c r="C609" s="266"/>
      <c r="D609" s="266"/>
      <c r="E609" s="264"/>
      <c r="F609" s="265"/>
      <c r="H609" s="8"/>
      <c r="I609" s="205"/>
      <c r="J609" s="201"/>
    </row>
    <row r="610" spans="1:10" x14ac:dyDescent="0.3">
      <c r="A610" s="8"/>
      <c r="B610" s="266"/>
      <c r="C610" s="266"/>
      <c r="D610" s="266"/>
      <c r="E610" s="264"/>
      <c r="F610" s="265"/>
      <c r="H610" s="8"/>
      <c r="I610" s="205"/>
      <c r="J610" s="201"/>
    </row>
    <row r="611" spans="1:10" x14ac:dyDescent="0.3">
      <c r="A611" s="8"/>
      <c r="B611" s="266"/>
      <c r="C611" s="266"/>
      <c r="D611" s="266"/>
      <c r="E611" s="264"/>
      <c r="F611" s="265"/>
      <c r="H611" s="8"/>
      <c r="I611" s="205"/>
      <c r="J611" s="201"/>
    </row>
    <row r="612" spans="1:10" x14ac:dyDescent="0.3">
      <c r="A612" s="8"/>
      <c r="B612" s="266"/>
      <c r="C612" s="266"/>
      <c r="D612" s="266"/>
      <c r="E612" s="264"/>
      <c r="F612" s="265"/>
      <c r="H612" s="8"/>
      <c r="I612" s="205"/>
      <c r="J612" s="201"/>
    </row>
    <row r="613" spans="1:10" x14ac:dyDescent="0.3">
      <c r="A613" s="8"/>
      <c r="B613" s="266"/>
      <c r="C613" s="266"/>
      <c r="D613" s="266"/>
      <c r="E613" s="264"/>
      <c r="F613" s="265"/>
      <c r="H613" s="8"/>
      <c r="I613" s="205"/>
      <c r="J613" s="201"/>
    </row>
    <row r="614" spans="1:10" x14ac:dyDescent="0.3">
      <c r="A614" s="8"/>
      <c r="B614" s="266"/>
      <c r="C614" s="266"/>
      <c r="D614" s="266"/>
      <c r="E614" s="264"/>
      <c r="F614" s="265"/>
      <c r="H614" s="8"/>
      <c r="I614" s="205"/>
      <c r="J614" s="201"/>
    </row>
    <row r="615" spans="1:10" x14ac:dyDescent="0.3">
      <c r="A615" s="8"/>
      <c r="B615" s="266"/>
      <c r="C615" s="266"/>
      <c r="D615" s="266"/>
      <c r="E615" s="264"/>
      <c r="F615" s="265"/>
      <c r="H615" s="8"/>
      <c r="I615" s="205"/>
      <c r="J615" s="201"/>
    </row>
    <row r="616" spans="1:10" x14ac:dyDescent="0.3">
      <c r="A616" s="8"/>
      <c r="B616" s="266"/>
      <c r="C616" s="266"/>
      <c r="D616" s="266"/>
      <c r="E616" s="264"/>
      <c r="F616" s="265"/>
      <c r="H616" s="8"/>
      <c r="I616" s="205"/>
      <c r="J616" s="201"/>
    </row>
    <row r="617" spans="1:10" x14ac:dyDescent="0.3">
      <c r="A617" s="8"/>
      <c r="B617" s="266"/>
      <c r="C617" s="266"/>
      <c r="D617" s="266"/>
      <c r="E617" s="264"/>
      <c r="F617" s="265"/>
      <c r="H617" s="8"/>
      <c r="I617" s="205"/>
      <c r="J617" s="201"/>
    </row>
    <row r="618" spans="1:10" x14ac:dyDescent="0.3">
      <c r="A618" s="8"/>
      <c r="B618" s="266"/>
      <c r="C618" s="266"/>
      <c r="D618" s="266"/>
      <c r="E618" s="264"/>
      <c r="F618" s="265"/>
      <c r="H618" s="8"/>
      <c r="I618" s="205"/>
      <c r="J618" s="201"/>
    </row>
    <row r="619" spans="1:10" x14ac:dyDescent="0.3">
      <c r="A619" s="8"/>
      <c r="B619" s="266"/>
      <c r="C619" s="266"/>
      <c r="D619" s="266"/>
      <c r="E619" s="264"/>
      <c r="F619" s="265"/>
      <c r="H619" s="8"/>
      <c r="I619" s="205"/>
      <c r="J619" s="201"/>
    </row>
    <row r="620" spans="1:10" x14ac:dyDescent="0.3">
      <c r="A620" s="8"/>
      <c r="B620" s="266"/>
      <c r="C620" s="266"/>
      <c r="D620" s="266"/>
      <c r="E620" s="264"/>
      <c r="F620" s="265"/>
      <c r="H620" s="8"/>
      <c r="I620" s="205"/>
      <c r="J620" s="201"/>
    </row>
    <row r="621" spans="1:10" x14ac:dyDescent="0.3">
      <c r="A621" s="8"/>
      <c r="B621" s="266"/>
      <c r="C621" s="266"/>
      <c r="D621" s="266"/>
      <c r="E621" s="264"/>
      <c r="F621" s="265"/>
      <c r="H621" s="8"/>
      <c r="I621" s="205"/>
      <c r="J621" s="201"/>
    </row>
    <row r="622" spans="1:10" x14ac:dyDescent="0.3">
      <c r="A622" s="8"/>
      <c r="B622" s="266"/>
      <c r="C622" s="266"/>
      <c r="D622" s="266"/>
      <c r="E622" s="264"/>
      <c r="F622" s="265"/>
      <c r="H622" s="8"/>
      <c r="I622" s="205"/>
      <c r="J622" s="201"/>
    </row>
    <row r="623" spans="1:10" x14ac:dyDescent="0.3">
      <c r="A623" s="8"/>
      <c r="B623" s="266"/>
      <c r="C623" s="266"/>
      <c r="D623" s="266"/>
      <c r="E623" s="264"/>
      <c r="F623" s="265"/>
      <c r="H623" s="8"/>
      <c r="I623" s="205"/>
      <c r="J623" s="201"/>
    </row>
    <row r="624" spans="1:10" x14ac:dyDescent="0.3">
      <c r="A624" s="8"/>
      <c r="B624" s="266"/>
      <c r="C624" s="266"/>
      <c r="D624" s="266"/>
      <c r="E624" s="264"/>
      <c r="F624" s="265"/>
      <c r="H624" s="8"/>
      <c r="I624" s="205"/>
      <c r="J624" s="201"/>
    </row>
    <row r="625" spans="1:10" x14ac:dyDescent="0.3">
      <c r="A625" s="8"/>
      <c r="B625" s="266"/>
      <c r="C625" s="266"/>
      <c r="D625" s="266"/>
      <c r="E625" s="264"/>
      <c r="F625" s="265"/>
      <c r="H625" s="8"/>
      <c r="I625" s="205"/>
      <c r="J625" s="201"/>
    </row>
    <row r="626" spans="1:10" x14ac:dyDescent="0.3">
      <c r="A626" s="8"/>
      <c r="B626" s="266"/>
      <c r="C626" s="266"/>
      <c r="D626" s="266"/>
      <c r="E626" s="264"/>
      <c r="F626" s="265"/>
      <c r="H626" s="8"/>
      <c r="I626" s="205"/>
      <c r="J626" s="201"/>
    </row>
    <row r="627" spans="1:10" x14ac:dyDescent="0.3">
      <c r="A627" s="8"/>
      <c r="B627" s="266"/>
      <c r="C627" s="266"/>
      <c r="D627" s="266"/>
      <c r="E627" s="264"/>
      <c r="F627" s="265"/>
      <c r="H627" s="8"/>
      <c r="I627" s="205"/>
      <c r="J627" s="201"/>
    </row>
    <row r="628" spans="1:10" x14ac:dyDescent="0.3">
      <c r="A628" s="8"/>
      <c r="B628" s="266"/>
      <c r="C628" s="266"/>
      <c r="D628" s="266"/>
      <c r="E628" s="264"/>
      <c r="F628" s="265"/>
      <c r="H628" s="8"/>
      <c r="I628" s="205"/>
      <c r="J628" s="201"/>
    </row>
    <row r="629" spans="1:10" x14ac:dyDescent="0.3">
      <c r="A629" s="8"/>
      <c r="B629" s="266"/>
      <c r="C629" s="266"/>
      <c r="D629" s="266"/>
      <c r="E629" s="264"/>
      <c r="F629" s="265"/>
      <c r="H629" s="8"/>
      <c r="I629" s="205"/>
      <c r="J629" s="201"/>
    </row>
    <row r="630" spans="1:10" x14ac:dyDescent="0.3">
      <c r="A630" s="8"/>
      <c r="B630" s="266"/>
      <c r="C630" s="266"/>
      <c r="D630" s="266"/>
      <c r="E630" s="264"/>
      <c r="F630" s="265"/>
      <c r="H630" s="8"/>
      <c r="I630" s="205"/>
      <c r="J630" s="201"/>
    </row>
    <row r="631" spans="1:10" x14ac:dyDescent="0.3">
      <c r="A631" s="8"/>
      <c r="B631" s="266"/>
      <c r="C631" s="266"/>
      <c r="D631" s="266"/>
      <c r="E631" s="264"/>
      <c r="F631" s="265"/>
      <c r="H631" s="8"/>
      <c r="I631" s="205"/>
      <c r="J631" s="201"/>
    </row>
    <row r="632" spans="1:10" x14ac:dyDescent="0.3">
      <c r="A632" s="8"/>
      <c r="B632" s="266"/>
      <c r="C632" s="266"/>
      <c r="D632" s="266"/>
      <c r="E632" s="264"/>
      <c r="F632" s="265"/>
      <c r="H632" s="8"/>
      <c r="I632" s="205"/>
      <c r="J632" s="201"/>
    </row>
    <row r="633" spans="1:10" x14ac:dyDescent="0.3">
      <c r="A633" s="8"/>
      <c r="B633" s="266"/>
      <c r="C633" s="266"/>
      <c r="D633" s="266"/>
      <c r="E633" s="264"/>
      <c r="F633" s="265"/>
      <c r="H633" s="8"/>
      <c r="I633" s="205"/>
      <c r="J633" s="201"/>
    </row>
    <row r="634" spans="1:10" x14ac:dyDescent="0.3">
      <c r="A634" s="8"/>
      <c r="B634" s="266"/>
      <c r="C634" s="266"/>
      <c r="D634" s="266"/>
      <c r="E634" s="264"/>
      <c r="F634" s="265"/>
      <c r="H634" s="8"/>
      <c r="I634" s="205"/>
      <c r="J634" s="201"/>
    </row>
    <row r="635" spans="1:10" x14ac:dyDescent="0.3">
      <c r="A635" s="8"/>
      <c r="B635" s="266"/>
      <c r="C635" s="266"/>
      <c r="D635" s="266"/>
      <c r="E635" s="264"/>
      <c r="F635" s="265"/>
      <c r="H635" s="8"/>
      <c r="I635" s="205"/>
      <c r="J635" s="201"/>
    </row>
    <row r="636" spans="1:10" x14ac:dyDescent="0.3">
      <c r="A636" s="8"/>
      <c r="B636" s="266"/>
      <c r="C636" s="266"/>
      <c r="D636" s="266"/>
      <c r="E636" s="264"/>
      <c r="F636" s="265"/>
      <c r="H636" s="8"/>
      <c r="I636" s="205"/>
      <c r="J636" s="201"/>
    </row>
    <row r="637" spans="1:10" x14ac:dyDescent="0.3">
      <c r="A637" s="8"/>
      <c r="B637" s="266"/>
      <c r="C637" s="266"/>
      <c r="D637" s="266"/>
      <c r="E637" s="264"/>
      <c r="F637" s="265"/>
      <c r="H637" s="8"/>
      <c r="I637" s="205"/>
      <c r="J637" s="201"/>
    </row>
    <row r="638" spans="1:10" x14ac:dyDescent="0.3">
      <c r="A638" s="8"/>
      <c r="B638" s="266"/>
      <c r="C638" s="266"/>
      <c r="D638" s="266"/>
      <c r="E638" s="264"/>
      <c r="F638" s="265"/>
      <c r="H638" s="8"/>
      <c r="I638" s="205"/>
      <c r="J638" s="201"/>
    </row>
    <row r="639" spans="1:10" x14ac:dyDescent="0.3">
      <c r="A639" s="8"/>
      <c r="B639" s="266"/>
      <c r="C639" s="266"/>
      <c r="D639" s="266"/>
      <c r="E639" s="264"/>
      <c r="F639" s="265"/>
      <c r="H639" s="8"/>
      <c r="I639" s="205"/>
      <c r="J639" s="201"/>
    </row>
    <row r="640" spans="1:10" x14ac:dyDescent="0.3">
      <c r="A640" s="8"/>
      <c r="B640" s="266"/>
      <c r="C640" s="266"/>
      <c r="D640" s="266"/>
      <c r="E640" s="264"/>
      <c r="F640" s="265"/>
      <c r="H640" s="8"/>
      <c r="I640" s="205"/>
      <c r="J640" s="201"/>
    </row>
    <row r="641" spans="1:10" x14ac:dyDescent="0.3">
      <c r="A641" s="8"/>
      <c r="B641" s="266"/>
      <c r="C641" s="266"/>
      <c r="D641" s="266"/>
      <c r="E641" s="264"/>
      <c r="F641" s="265"/>
      <c r="H641" s="8"/>
      <c r="I641" s="205"/>
      <c r="J641" s="201"/>
    </row>
    <row r="642" spans="1:10" x14ac:dyDescent="0.3">
      <c r="A642" s="8"/>
      <c r="B642" s="266"/>
      <c r="C642" s="266"/>
      <c r="D642" s="266"/>
      <c r="E642" s="264"/>
      <c r="F642" s="265"/>
      <c r="H642" s="8"/>
      <c r="I642" s="205"/>
      <c r="J642" s="201"/>
    </row>
    <row r="643" spans="1:10" x14ac:dyDescent="0.3">
      <c r="A643" s="8"/>
      <c r="B643" s="266"/>
      <c r="C643" s="266"/>
      <c r="D643" s="266"/>
      <c r="E643" s="264"/>
      <c r="F643" s="265"/>
      <c r="H643" s="8"/>
      <c r="I643" s="205"/>
      <c r="J643" s="201"/>
    </row>
    <row r="644" spans="1:10" x14ac:dyDescent="0.3">
      <c r="A644" s="8"/>
      <c r="B644" s="266"/>
      <c r="C644" s="266"/>
      <c r="D644" s="266"/>
      <c r="E644" s="264"/>
      <c r="F644" s="265"/>
      <c r="H644" s="8"/>
      <c r="I644" s="205"/>
      <c r="J644" s="201"/>
    </row>
    <row r="645" spans="1:10" x14ac:dyDescent="0.3">
      <c r="A645" s="8"/>
      <c r="B645" s="266"/>
      <c r="C645" s="266"/>
      <c r="D645" s="266"/>
      <c r="E645" s="264"/>
      <c r="F645" s="265"/>
      <c r="H645" s="8"/>
      <c r="I645" s="205"/>
      <c r="J645" s="201"/>
    </row>
    <row r="646" spans="1:10" x14ac:dyDescent="0.3">
      <c r="A646" s="8"/>
      <c r="B646" s="266"/>
      <c r="C646" s="266"/>
      <c r="D646" s="266"/>
      <c r="E646" s="264"/>
      <c r="F646" s="265"/>
      <c r="H646" s="8"/>
      <c r="I646" s="205"/>
      <c r="J646" s="201"/>
    </row>
    <row r="647" spans="1:10" x14ac:dyDescent="0.3">
      <c r="A647" s="8"/>
      <c r="B647" s="266"/>
      <c r="C647" s="266"/>
      <c r="D647" s="266"/>
      <c r="E647" s="264"/>
      <c r="F647" s="265"/>
      <c r="H647" s="8"/>
      <c r="I647" s="205"/>
      <c r="J647" s="201"/>
    </row>
    <row r="648" spans="1:10" x14ac:dyDescent="0.3">
      <c r="A648" s="8"/>
      <c r="B648" s="266"/>
      <c r="C648" s="266"/>
      <c r="D648" s="266"/>
      <c r="E648" s="264"/>
      <c r="F648" s="265"/>
      <c r="H648" s="8"/>
      <c r="I648" s="205"/>
      <c r="J648" s="201"/>
    </row>
    <row r="649" spans="1:10" x14ac:dyDescent="0.3">
      <c r="A649" s="8"/>
      <c r="B649" s="266"/>
      <c r="C649" s="266"/>
      <c r="D649" s="266"/>
      <c r="E649" s="264"/>
      <c r="F649" s="265"/>
      <c r="H649" s="8"/>
      <c r="I649" s="205"/>
      <c r="J649" s="201"/>
    </row>
    <row r="650" spans="1:10" x14ac:dyDescent="0.3">
      <c r="A650" s="8"/>
      <c r="B650" s="266"/>
      <c r="C650" s="266"/>
      <c r="D650" s="266"/>
      <c r="E650" s="264"/>
      <c r="F650" s="265"/>
      <c r="H650" s="8"/>
      <c r="I650" s="205"/>
      <c r="J650" s="201"/>
    </row>
    <row r="651" spans="1:10" x14ac:dyDescent="0.3">
      <c r="A651" s="8"/>
      <c r="B651" s="266"/>
      <c r="C651" s="266"/>
      <c r="D651" s="266"/>
      <c r="E651" s="264"/>
      <c r="F651" s="265"/>
      <c r="H651" s="8"/>
      <c r="I651" s="205"/>
      <c r="J651" s="201"/>
    </row>
    <row r="652" spans="1:10" x14ac:dyDescent="0.3">
      <c r="A652" s="8"/>
      <c r="B652" s="266"/>
      <c r="C652" s="266"/>
      <c r="D652" s="266"/>
      <c r="E652" s="264"/>
      <c r="F652" s="265"/>
      <c r="H652" s="8"/>
      <c r="I652" s="205"/>
      <c r="J652" s="201"/>
    </row>
    <row r="653" spans="1:10" x14ac:dyDescent="0.3">
      <c r="A653" s="8"/>
      <c r="B653" s="266"/>
      <c r="C653" s="266"/>
      <c r="D653" s="266"/>
      <c r="E653" s="264"/>
      <c r="F653" s="265"/>
      <c r="H653" s="8"/>
      <c r="I653" s="205"/>
      <c r="J653" s="201"/>
    </row>
    <row r="654" spans="1:10" x14ac:dyDescent="0.3">
      <c r="A654" s="8"/>
      <c r="B654" s="266"/>
      <c r="C654" s="266"/>
      <c r="D654" s="266"/>
      <c r="E654" s="264"/>
      <c r="F654" s="265"/>
      <c r="H654" s="8"/>
      <c r="I654" s="205"/>
      <c r="J654" s="201"/>
    </row>
    <row r="655" spans="1:10" x14ac:dyDescent="0.3">
      <c r="A655" s="8"/>
      <c r="B655" s="266"/>
      <c r="C655" s="266"/>
      <c r="D655" s="266"/>
      <c r="E655" s="264"/>
      <c r="F655" s="265"/>
      <c r="H655" s="8"/>
      <c r="I655" s="205"/>
      <c r="J655" s="201"/>
    </row>
    <row r="656" spans="1:10" x14ac:dyDescent="0.3">
      <c r="A656" s="8"/>
      <c r="B656" s="266"/>
      <c r="C656" s="266"/>
      <c r="D656" s="266"/>
      <c r="E656" s="264"/>
      <c r="F656" s="265"/>
      <c r="H656" s="8"/>
      <c r="I656" s="205"/>
      <c r="J656" s="201"/>
    </row>
    <row r="657" spans="1:10" x14ac:dyDescent="0.3">
      <c r="A657" s="8"/>
      <c r="B657" s="266"/>
      <c r="C657" s="266"/>
      <c r="D657" s="266"/>
      <c r="E657" s="264"/>
      <c r="F657" s="265"/>
      <c r="H657" s="8"/>
      <c r="I657" s="205"/>
      <c r="J657" s="201"/>
    </row>
    <row r="658" spans="1:10" x14ac:dyDescent="0.3">
      <c r="A658" s="8"/>
      <c r="B658" s="266"/>
      <c r="C658" s="266"/>
      <c r="D658" s="266"/>
      <c r="E658" s="264"/>
      <c r="F658" s="265"/>
      <c r="H658" s="8"/>
      <c r="I658" s="205"/>
      <c r="J658" s="201"/>
    </row>
    <row r="659" spans="1:10" x14ac:dyDescent="0.3">
      <c r="A659" s="8"/>
      <c r="B659" s="266"/>
      <c r="C659" s="266"/>
      <c r="D659" s="266"/>
      <c r="E659" s="264"/>
      <c r="F659" s="265"/>
      <c r="H659" s="8"/>
      <c r="I659" s="205"/>
      <c r="J659" s="201"/>
    </row>
    <row r="660" spans="1:10" x14ac:dyDescent="0.3">
      <c r="A660" s="8"/>
      <c r="B660" s="266"/>
      <c r="C660" s="266"/>
      <c r="D660" s="266"/>
      <c r="E660" s="264"/>
      <c r="F660" s="265"/>
      <c r="H660" s="8"/>
      <c r="I660" s="205"/>
      <c r="J660" s="201"/>
    </row>
    <row r="661" spans="1:10" x14ac:dyDescent="0.3">
      <c r="A661" s="8"/>
      <c r="B661" s="266"/>
      <c r="C661" s="266"/>
      <c r="D661" s="266"/>
      <c r="E661" s="264"/>
      <c r="F661" s="265"/>
      <c r="H661" s="8"/>
      <c r="I661" s="205"/>
      <c r="J661" s="201"/>
    </row>
    <row r="662" spans="1:10" x14ac:dyDescent="0.3">
      <c r="A662" s="8"/>
      <c r="B662" s="266"/>
      <c r="C662" s="266"/>
      <c r="D662" s="266"/>
      <c r="E662" s="264"/>
      <c r="F662" s="265"/>
      <c r="H662" s="8"/>
      <c r="I662" s="205"/>
      <c r="J662" s="201"/>
    </row>
    <row r="663" spans="1:10" x14ac:dyDescent="0.3">
      <c r="A663" s="8"/>
      <c r="B663" s="266"/>
      <c r="C663" s="266"/>
      <c r="D663" s="266"/>
      <c r="E663" s="264"/>
      <c r="F663" s="265"/>
      <c r="H663" s="8"/>
      <c r="I663" s="205"/>
      <c r="J663" s="201"/>
    </row>
    <row r="664" spans="1:10" x14ac:dyDescent="0.3">
      <c r="A664" s="8"/>
      <c r="B664" s="266"/>
      <c r="C664" s="266"/>
      <c r="D664" s="266"/>
      <c r="E664" s="264"/>
      <c r="F664" s="265"/>
      <c r="H664" s="8"/>
      <c r="I664" s="205"/>
      <c r="J664" s="201"/>
    </row>
    <row r="665" spans="1:10" x14ac:dyDescent="0.3">
      <c r="A665" s="8"/>
      <c r="B665" s="266"/>
      <c r="C665" s="266"/>
      <c r="D665" s="266"/>
      <c r="E665" s="264"/>
      <c r="F665" s="265"/>
      <c r="H665" s="8"/>
      <c r="I665" s="205"/>
      <c r="J665" s="201"/>
    </row>
    <row r="666" spans="1:10" x14ac:dyDescent="0.3">
      <c r="A666" s="8"/>
      <c r="B666" s="266"/>
      <c r="C666" s="266"/>
      <c r="D666" s="266"/>
      <c r="E666" s="264"/>
      <c r="F666" s="265"/>
      <c r="H666" s="8"/>
      <c r="I666" s="205"/>
      <c r="J666" s="201"/>
    </row>
    <row r="667" spans="1:10" x14ac:dyDescent="0.3">
      <c r="A667" s="8"/>
      <c r="B667" s="266"/>
      <c r="C667" s="266"/>
      <c r="D667" s="266"/>
      <c r="E667" s="264"/>
      <c r="F667" s="265"/>
      <c r="H667" s="8"/>
      <c r="I667" s="205"/>
      <c r="J667" s="201"/>
    </row>
    <row r="668" spans="1:10" x14ac:dyDescent="0.3">
      <c r="A668" s="8"/>
      <c r="B668" s="266"/>
      <c r="C668" s="266"/>
      <c r="D668" s="266"/>
      <c r="E668" s="264"/>
      <c r="F668" s="265"/>
      <c r="H668" s="8"/>
      <c r="I668" s="205"/>
      <c r="J668" s="201"/>
    </row>
    <row r="669" spans="1:10" x14ac:dyDescent="0.3">
      <c r="A669" s="8"/>
      <c r="B669" s="266"/>
      <c r="C669" s="266"/>
      <c r="D669" s="266"/>
      <c r="E669" s="264"/>
      <c r="F669" s="265"/>
      <c r="H669" s="8"/>
      <c r="I669" s="205"/>
      <c r="J669" s="201"/>
    </row>
    <row r="670" spans="1:10" x14ac:dyDescent="0.3">
      <c r="A670" s="8"/>
      <c r="B670" s="266"/>
      <c r="C670" s="266"/>
      <c r="D670" s="266"/>
      <c r="E670" s="264"/>
      <c r="F670" s="265"/>
      <c r="H670" s="8"/>
      <c r="I670" s="205"/>
      <c r="J670" s="201"/>
    </row>
    <row r="671" spans="1:10" x14ac:dyDescent="0.3">
      <c r="A671" s="8"/>
      <c r="B671" s="266"/>
      <c r="C671" s="266"/>
      <c r="D671" s="266"/>
      <c r="E671" s="264"/>
      <c r="F671" s="265"/>
      <c r="H671" s="8"/>
      <c r="I671" s="205"/>
      <c r="J671" s="201"/>
    </row>
    <row r="672" spans="1:10" x14ac:dyDescent="0.3">
      <c r="A672" s="8"/>
      <c r="B672" s="266"/>
      <c r="C672" s="266"/>
      <c r="D672" s="266"/>
      <c r="E672" s="264"/>
      <c r="F672" s="265"/>
      <c r="H672" s="8"/>
      <c r="I672" s="205"/>
      <c r="J672" s="201"/>
    </row>
    <row r="673" spans="1:10" x14ac:dyDescent="0.3">
      <c r="A673" s="8"/>
      <c r="B673" s="266"/>
      <c r="C673" s="266"/>
      <c r="D673" s="266"/>
      <c r="E673" s="264"/>
      <c r="F673" s="265"/>
      <c r="H673" s="8"/>
      <c r="I673" s="205"/>
      <c r="J673" s="201"/>
    </row>
    <row r="674" spans="1:10" x14ac:dyDescent="0.3">
      <c r="A674" s="8"/>
      <c r="B674" s="266"/>
      <c r="C674" s="266"/>
      <c r="D674" s="266"/>
      <c r="E674" s="264"/>
      <c r="F674" s="265"/>
      <c r="H674" s="8"/>
      <c r="I674" s="205"/>
      <c r="J674" s="201"/>
    </row>
    <row r="675" spans="1:10" x14ac:dyDescent="0.3">
      <c r="A675" s="8"/>
      <c r="B675" s="266"/>
      <c r="C675" s="266"/>
      <c r="D675" s="266"/>
      <c r="E675" s="264"/>
      <c r="F675" s="265"/>
      <c r="H675" s="8"/>
      <c r="I675" s="205"/>
      <c r="J675" s="201"/>
    </row>
    <row r="676" spans="1:10" x14ac:dyDescent="0.3">
      <c r="A676" s="8"/>
      <c r="B676" s="266"/>
      <c r="C676" s="266"/>
      <c r="D676" s="266"/>
      <c r="E676" s="264"/>
      <c r="F676" s="265"/>
      <c r="H676" s="8"/>
      <c r="I676" s="205"/>
      <c r="J676" s="201"/>
    </row>
    <row r="677" spans="1:10" x14ac:dyDescent="0.3">
      <c r="A677" s="8"/>
      <c r="B677" s="266"/>
      <c r="C677" s="266"/>
      <c r="D677" s="266"/>
      <c r="E677" s="264"/>
      <c r="F677" s="265"/>
      <c r="H677" s="8"/>
      <c r="I677" s="205"/>
      <c r="J677" s="201"/>
    </row>
    <row r="678" spans="1:10" x14ac:dyDescent="0.3">
      <c r="A678" s="8"/>
      <c r="B678" s="266"/>
      <c r="C678" s="266"/>
      <c r="D678" s="266"/>
      <c r="E678" s="264"/>
      <c r="F678" s="265"/>
      <c r="H678" s="8"/>
      <c r="I678" s="205"/>
      <c r="J678" s="201"/>
    </row>
    <row r="679" spans="1:10" x14ac:dyDescent="0.3">
      <c r="A679" s="8"/>
      <c r="B679" s="266"/>
      <c r="C679" s="266"/>
      <c r="D679" s="266"/>
      <c r="E679" s="264"/>
      <c r="F679" s="265"/>
      <c r="H679" s="8"/>
      <c r="I679" s="205"/>
      <c r="J679" s="201"/>
    </row>
    <row r="680" spans="1:10" x14ac:dyDescent="0.3">
      <c r="A680" s="8"/>
      <c r="B680" s="266"/>
      <c r="C680" s="266"/>
      <c r="D680" s="266"/>
      <c r="E680" s="264"/>
      <c r="F680" s="265"/>
      <c r="H680" s="8"/>
      <c r="I680" s="205"/>
      <c r="J680" s="201"/>
    </row>
    <row r="681" spans="1:10" x14ac:dyDescent="0.3">
      <c r="A681" s="8"/>
      <c r="B681" s="266"/>
      <c r="C681" s="266"/>
      <c r="D681" s="266"/>
      <c r="E681" s="264"/>
      <c r="F681" s="265"/>
      <c r="H681" s="8"/>
      <c r="I681" s="205"/>
      <c r="J681" s="201"/>
    </row>
    <row r="682" spans="1:10" x14ac:dyDescent="0.3">
      <c r="A682" s="8"/>
      <c r="B682" s="266"/>
      <c r="C682" s="266"/>
      <c r="D682" s="266"/>
      <c r="E682" s="264"/>
      <c r="F682" s="265"/>
      <c r="H682" s="8"/>
      <c r="I682" s="205"/>
      <c r="J682" s="201"/>
    </row>
    <row r="683" spans="1:10" x14ac:dyDescent="0.3">
      <c r="A683" s="8"/>
      <c r="B683" s="266"/>
      <c r="C683" s="266"/>
      <c r="D683" s="266"/>
      <c r="E683" s="264"/>
      <c r="F683" s="265"/>
      <c r="H683" s="8"/>
      <c r="I683" s="205"/>
      <c r="J683" s="201"/>
    </row>
    <row r="684" spans="1:10" x14ac:dyDescent="0.3">
      <c r="A684" s="8"/>
      <c r="B684" s="266"/>
      <c r="C684" s="266"/>
      <c r="D684" s="266"/>
      <c r="E684" s="264"/>
      <c r="F684" s="265"/>
      <c r="H684" s="8"/>
      <c r="I684" s="205"/>
      <c r="J684" s="201"/>
    </row>
    <row r="685" spans="1:10" x14ac:dyDescent="0.3">
      <c r="A685" s="8"/>
      <c r="B685" s="266"/>
      <c r="C685" s="266"/>
      <c r="D685" s="266"/>
      <c r="E685" s="264"/>
      <c r="F685" s="265"/>
      <c r="H685" s="8"/>
      <c r="I685" s="205"/>
      <c r="J685" s="201"/>
    </row>
    <row r="686" spans="1:10" x14ac:dyDescent="0.3">
      <c r="A686" s="8"/>
      <c r="B686" s="266"/>
      <c r="C686" s="266"/>
      <c r="D686" s="266"/>
      <c r="E686" s="264"/>
      <c r="F686" s="265"/>
      <c r="H686" s="8"/>
      <c r="I686" s="205"/>
      <c r="J686" s="201"/>
    </row>
    <row r="687" spans="1:10" x14ac:dyDescent="0.3">
      <c r="A687" s="8"/>
      <c r="B687" s="266"/>
      <c r="C687" s="266"/>
      <c r="D687" s="266"/>
      <c r="E687" s="264"/>
      <c r="F687" s="265"/>
      <c r="H687" s="8"/>
      <c r="I687" s="205"/>
      <c r="J687" s="201"/>
    </row>
    <row r="688" spans="1:10" x14ac:dyDescent="0.3">
      <c r="A688" s="8"/>
      <c r="B688" s="266"/>
      <c r="C688" s="266"/>
      <c r="D688" s="266"/>
      <c r="E688" s="264"/>
      <c r="F688" s="265"/>
      <c r="H688" s="8"/>
      <c r="I688" s="205"/>
      <c r="J688" s="201"/>
    </row>
    <row r="689" spans="1:10" x14ac:dyDescent="0.3">
      <c r="A689" s="8"/>
      <c r="B689" s="266"/>
      <c r="C689" s="266"/>
      <c r="D689" s="266"/>
      <c r="E689" s="264"/>
      <c r="F689" s="265"/>
      <c r="H689" s="8"/>
      <c r="I689" s="205"/>
      <c r="J689" s="201"/>
    </row>
    <row r="690" spans="1:10" x14ac:dyDescent="0.3">
      <c r="A690" s="8"/>
      <c r="B690" s="266"/>
      <c r="C690" s="266"/>
      <c r="D690" s="266"/>
      <c r="E690" s="264"/>
      <c r="F690" s="265"/>
      <c r="H690" s="8"/>
      <c r="I690" s="205"/>
      <c r="J690" s="201"/>
    </row>
    <row r="691" spans="1:10" x14ac:dyDescent="0.3">
      <c r="A691" s="8"/>
      <c r="B691" s="266"/>
      <c r="C691" s="266"/>
      <c r="D691" s="266"/>
      <c r="E691" s="264"/>
      <c r="F691" s="265"/>
      <c r="H691" s="8"/>
      <c r="I691" s="205"/>
      <c r="J691" s="201"/>
    </row>
    <row r="692" spans="1:10" x14ac:dyDescent="0.3">
      <c r="A692" s="8"/>
      <c r="B692" s="266"/>
      <c r="C692" s="266"/>
      <c r="D692" s="266"/>
      <c r="E692" s="264"/>
      <c r="F692" s="265"/>
      <c r="H692" s="8"/>
      <c r="I692" s="205"/>
      <c r="J692" s="201"/>
    </row>
    <row r="693" spans="1:10" x14ac:dyDescent="0.3">
      <c r="A693" s="8"/>
      <c r="B693" s="266"/>
      <c r="C693" s="266"/>
      <c r="D693" s="266"/>
      <c r="E693" s="264"/>
      <c r="F693" s="265"/>
      <c r="H693" s="8"/>
      <c r="I693" s="205"/>
      <c r="J693" s="201"/>
    </row>
    <row r="694" spans="1:10" x14ac:dyDescent="0.3">
      <c r="A694" s="8"/>
      <c r="B694" s="266"/>
      <c r="C694" s="266"/>
      <c r="D694" s="266"/>
      <c r="E694" s="264"/>
      <c r="F694" s="265"/>
      <c r="H694" s="8"/>
      <c r="I694" s="205"/>
      <c r="J694" s="201"/>
    </row>
    <row r="695" spans="1:10" x14ac:dyDescent="0.3">
      <c r="A695" s="8"/>
      <c r="B695" s="266"/>
      <c r="C695" s="266"/>
      <c r="D695" s="266"/>
      <c r="E695" s="264"/>
      <c r="F695" s="265"/>
      <c r="H695" s="8"/>
      <c r="I695" s="205"/>
      <c r="J695" s="201"/>
    </row>
    <row r="696" spans="1:10" x14ac:dyDescent="0.3">
      <c r="A696" s="8"/>
      <c r="B696" s="266"/>
      <c r="C696" s="266"/>
      <c r="D696" s="266"/>
      <c r="E696" s="264"/>
      <c r="F696" s="265"/>
      <c r="H696" s="8"/>
      <c r="I696" s="205"/>
      <c r="J696" s="201"/>
    </row>
    <row r="697" spans="1:10" x14ac:dyDescent="0.3">
      <c r="A697" s="8"/>
      <c r="B697" s="266"/>
      <c r="C697" s="266"/>
      <c r="D697" s="266"/>
      <c r="E697" s="264"/>
      <c r="F697" s="265"/>
      <c r="H697" s="8"/>
      <c r="I697" s="205"/>
      <c r="J697" s="201"/>
    </row>
    <row r="698" spans="1:10" x14ac:dyDescent="0.3">
      <c r="A698" s="8"/>
      <c r="B698" s="266"/>
      <c r="C698" s="266"/>
      <c r="D698" s="266"/>
      <c r="E698" s="264"/>
      <c r="F698" s="265"/>
      <c r="H698" s="8"/>
      <c r="I698" s="205"/>
      <c r="J698" s="201"/>
    </row>
    <row r="699" spans="1:10" x14ac:dyDescent="0.3">
      <c r="A699" s="8"/>
      <c r="B699" s="266"/>
      <c r="C699" s="266"/>
      <c r="D699" s="266"/>
      <c r="E699" s="264"/>
      <c r="F699" s="265"/>
      <c r="H699" s="8"/>
      <c r="I699" s="205"/>
      <c r="J699" s="201"/>
    </row>
    <row r="700" spans="1:10" x14ac:dyDescent="0.3">
      <c r="A700" s="8"/>
      <c r="B700" s="266"/>
      <c r="C700" s="266"/>
      <c r="D700" s="266"/>
      <c r="E700" s="264"/>
      <c r="F700" s="265"/>
      <c r="H700" s="8"/>
      <c r="I700" s="205"/>
      <c r="J700" s="201"/>
    </row>
    <row r="701" spans="1:10" x14ac:dyDescent="0.3">
      <c r="A701" s="8"/>
      <c r="B701" s="266"/>
      <c r="C701" s="266"/>
      <c r="D701" s="266"/>
      <c r="E701" s="264"/>
      <c r="F701" s="265"/>
      <c r="H701" s="8"/>
      <c r="I701" s="205"/>
      <c r="J701" s="201"/>
    </row>
    <row r="702" spans="1:10" x14ac:dyDescent="0.3">
      <c r="A702" s="8"/>
      <c r="B702" s="266"/>
      <c r="C702" s="266"/>
      <c r="D702" s="266"/>
      <c r="E702" s="264"/>
      <c r="F702" s="265"/>
      <c r="H702" s="8"/>
      <c r="I702" s="205"/>
      <c r="J702" s="201"/>
    </row>
    <row r="703" spans="1:10" x14ac:dyDescent="0.3">
      <c r="A703" s="8"/>
      <c r="B703" s="266"/>
      <c r="C703" s="266"/>
      <c r="D703" s="266"/>
      <c r="E703" s="264"/>
      <c r="F703" s="265"/>
      <c r="H703" s="8"/>
      <c r="I703" s="205"/>
      <c r="J703" s="201"/>
    </row>
    <row r="704" spans="1:10" x14ac:dyDescent="0.3">
      <c r="A704" s="8"/>
      <c r="B704" s="266"/>
      <c r="C704" s="266"/>
      <c r="D704" s="266"/>
      <c r="E704" s="264"/>
      <c r="F704" s="265"/>
      <c r="H704" s="8"/>
      <c r="I704" s="205"/>
      <c r="J704" s="201"/>
    </row>
    <row r="705" spans="1:10" x14ac:dyDescent="0.3">
      <c r="A705" s="8"/>
      <c r="B705" s="266"/>
      <c r="C705" s="266"/>
      <c r="D705" s="266"/>
      <c r="E705" s="264"/>
      <c r="F705" s="265"/>
      <c r="H705" s="8"/>
      <c r="I705" s="205"/>
      <c r="J705" s="201"/>
    </row>
    <row r="706" spans="1:10" x14ac:dyDescent="0.3">
      <c r="A706" s="8"/>
      <c r="B706" s="266"/>
      <c r="C706" s="266"/>
      <c r="D706" s="266"/>
      <c r="E706" s="264"/>
      <c r="F706" s="265"/>
      <c r="H706" s="8"/>
      <c r="I706" s="205"/>
      <c r="J706" s="201"/>
    </row>
    <row r="707" spans="1:10" x14ac:dyDescent="0.3">
      <c r="A707" s="8"/>
      <c r="B707" s="266"/>
      <c r="C707" s="266"/>
      <c r="D707" s="266"/>
      <c r="E707" s="264"/>
      <c r="F707" s="265"/>
      <c r="H707" s="8"/>
      <c r="I707" s="205"/>
      <c r="J707" s="201"/>
    </row>
    <row r="708" spans="1:10" x14ac:dyDescent="0.3">
      <c r="A708" s="8"/>
      <c r="B708" s="266"/>
      <c r="C708" s="266"/>
      <c r="D708" s="266"/>
      <c r="E708" s="264"/>
      <c r="F708" s="265"/>
      <c r="H708" s="8"/>
      <c r="I708" s="205"/>
      <c r="J708" s="201"/>
    </row>
    <row r="709" spans="1:10" x14ac:dyDescent="0.3">
      <c r="A709" s="8"/>
      <c r="B709" s="266"/>
      <c r="C709" s="266"/>
      <c r="D709" s="266"/>
      <c r="E709" s="264"/>
      <c r="F709" s="265"/>
      <c r="H709" s="8"/>
      <c r="I709" s="205"/>
      <c r="J709" s="201"/>
    </row>
    <row r="710" spans="1:10" x14ac:dyDescent="0.3">
      <c r="A710" s="8"/>
      <c r="B710" s="266"/>
      <c r="C710" s="266"/>
      <c r="D710" s="266"/>
      <c r="E710" s="264"/>
      <c r="F710" s="265"/>
      <c r="H710" s="8"/>
      <c r="I710" s="205"/>
      <c r="J710" s="201"/>
    </row>
    <row r="711" spans="1:10" x14ac:dyDescent="0.3">
      <c r="A711" s="8"/>
      <c r="B711" s="266"/>
      <c r="C711" s="266"/>
      <c r="D711" s="266"/>
      <c r="E711" s="264"/>
      <c r="F711" s="265"/>
      <c r="H711" s="8"/>
      <c r="I711" s="205"/>
      <c r="J711" s="201"/>
    </row>
    <row r="712" spans="1:10" x14ac:dyDescent="0.3">
      <c r="A712" s="8"/>
      <c r="B712" s="266"/>
      <c r="C712" s="266"/>
      <c r="D712" s="266"/>
      <c r="E712" s="264"/>
      <c r="F712" s="265"/>
      <c r="H712" s="8"/>
      <c r="I712" s="205"/>
      <c r="J712" s="201"/>
    </row>
    <row r="713" spans="1:10" x14ac:dyDescent="0.3">
      <c r="A713" s="8"/>
      <c r="B713" s="266"/>
      <c r="C713" s="266"/>
      <c r="D713" s="266"/>
      <c r="E713" s="264"/>
      <c r="F713" s="265"/>
      <c r="H713" s="8"/>
      <c r="I713" s="205"/>
      <c r="J713" s="201"/>
    </row>
    <row r="714" spans="1:10" x14ac:dyDescent="0.3">
      <c r="A714" s="8"/>
      <c r="B714" s="266"/>
      <c r="C714" s="266"/>
      <c r="D714" s="266"/>
      <c r="E714" s="264"/>
      <c r="F714" s="265"/>
      <c r="H714" s="8"/>
      <c r="I714" s="205"/>
      <c r="J714" s="201"/>
    </row>
    <row r="715" spans="1:10" x14ac:dyDescent="0.3">
      <c r="A715" s="8"/>
      <c r="B715" s="266"/>
      <c r="C715" s="266"/>
      <c r="D715" s="266"/>
      <c r="E715" s="264"/>
      <c r="F715" s="265"/>
      <c r="H715" s="8"/>
      <c r="I715" s="205"/>
      <c r="J715" s="201"/>
    </row>
    <row r="716" spans="1:10" x14ac:dyDescent="0.3">
      <c r="A716" s="8"/>
      <c r="B716" s="266"/>
      <c r="C716" s="266"/>
      <c r="D716" s="266"/>
      <c r="E716" s="264"/>
      <c r="F716" s="265"/>
      <c r="H716" s="8"/>
      <c r="I716" s="205"/>
      <c r="J716" s="201"/>
    </row>
    <row r="717" spans="1:10" x14ac:dyDescent="0.3">
      <c r="A717" s="8"/>
      <c r="B717" s="266"/>
      <c r="C717" s="266"/>
      <c r="D717" s="266"/>
      <c r="E717" s="264"/>
      <c r="F717" s="265"/>
      <c r="H717" s="8"/>
      <c r="I717" s="205"/>
      <c r="J717" s="201"/>
    </row>
    <row r="718" spans="1:10" x14ac:dyDescent="0.3">
      <c r="A718" s="8"/>
      <c r="B718" s="266"/>
      <c r="C718" s="266"/>
      <c r="D718" s="266"/>
      <c r="E718" s="264"/>
      <c r="F718" s="265"/>
      <c r="H718" s="8"/>
      <c r="I718" s="205"/>
      <c r="J718" s="201"/>
    </row>
    <row r="719" spans="1:10" x14ac:dyDescent="0.3">
      <c r="A719" s="8"/>
      <c r="B719" s="266"/>
      <c r="C719" s="266"/>
      <c r="D719" s="266"/>
      <c r="E719" s="264"/>
      <c r="F719" s="265"/>
      <c r="H719" s="8"/>
      <c r="I719" s="205"/>
      <c r="J719" s="201"/>
    </row>
    <row r="720" spans="1:10" x14ac:dyDescent="0.3">
      <c r="A720" s="8"/>
      <c r="B720" s="266"/>
      <c r="C720" s="266"/>
      <c r="D720" s="266"/>
      <c r="E720" s="264"/>
      <c r="F720" s="265"/>
      <c r="H720" s="8"/>
      <c r="I720" s="205"/>
      <c r="J720" s="201"/>
    </row>
    <row r="721" spans="1:10" x14ac:dyDescent="0.3">
      <c r="A721" s="8"/>
      <c r="B721" s="266"/>
      <c r="C721" s="266"/>
      <c r="D721" s="266"/>
      <c r="E721" s="264"/>
      <c r="F721" s="265"/>
      <c r="H721" s="8"/>
      <c r="I721" s="205"/>
      <c r="J721" s="201"/>
    </row>
    <row r="722" spans="1:10" x14ac:dyDescent="0.3">
      <c r="A722" s="8"/>
      <c r="B722" s="266"/>
      <c r="C722" s="266"/>
      <c r="D722" s="266"/>
      <c r="E722" s="264"/>
      <c r="F722" s="265"/>
      <c r="H722" s="8"/>
      <c r="I722" s="205"/>
      <c r="J722" s="201"/>
    </row>
    <row r="723" spans="1:10" x14ac:dyDescent="0.3">
      <c r="A723" s="8"/>
      <c r="B723" s="266"/>
      <c r="C723" s="266"/>
      <c r="D723" s="266"/>
      <c r="E723" s="264"/>
      <c r="F723" s="265"/>
      <c r="H723" s="8"/>
      <c r="I723" s="205"/>
      <c r="J723" s="201"/>
    </row>
    <row r="724" spans="1:10" x14ac:dyDescent="0.3">
      <c r="A724" s="8"/>
      <c r="B724" s="266"/>
      <c r="C724" s="266"/>
      <c r="D724" s="266"/>
      <c r="E724" s="264"/>
      <c r="F724" s="265"/>
      <c r="H724" s="8"/>
      <c r="I724" s="205"/>
      <c r="J724" s="201"/>
    </row>
    <row r="725" spans="1:10" x14ac:dyDescent="0.3">
      <c r="A725" s="8"/>
      <c r="B725" s="266"/>
      <c r="C725" s="266"/>
      <c r="D725" s="266"/>
      <c r="E725" s="264"/>
      <c r="F725" s="265"/>
      <c r="H725" s="8"/>
      <c r="I725" s="205"/>
      <c r="J725" s="201"/>
    </row>
    <row r="726" spans="1:10" x14ac:dyDescent="0.3">
      <c r="A726" s="8"/>
      <c r="B726" s="266"/>
      <c r="C726" s="266"/>
      <c r="D726" s="266"/>
      <c r="E726" s="264"/>
      <c r="F726" s="265"/>
      <c r="H726" s="8"/>
      <c r="I726" s="205"/>
      <c r="J726" s="201"/>
    </row>
    <row r="727" spans="1:10" x14ac:dyDescent="0.3">
      <c r="A727" s="8"/>
      <c r="B727" s="266"/>
      <c r="C727" s="266"/>
      <c r="D727" s="266"/>
      <c r="E727" s="264"/>
      <c r="F727" s="265"/>
      <c r="H727" s="8"/>
      <c r="I727" s="205"/>
      <c r="J727" s="201"/>
    </row>
    <row r="728" spans="1:10" x14ac:dyDescent="0.3">
      <c r="A728" s="8"/>
      <c r="B728" s="266"/>
      <c r="C728" s="266"/>
      <c r="D728" s="266"/>
      <c r="E728" s="264"/>
      <c r="F728" s="265"/>
      <c r="H728" s="8"/>
      <c r="I728" s="205"/>
      <c r="J728" s="201"/>
    </row>
    <row r="729" spans="1:10" x14ac:dyDescent="0.3">
      <c r="A729" s="8"/>
      <c r="B729" s="266"/>
      <c r="C729" s="266"/>
      <c r="D729" s="266"/>
      <c r="E729" s="264"/>
      <c r="F729" s="265"/>
      <c r="H729" s="8"/>
      <c r="I729" s="205"/>
      <c r="J729" s="201"/>
    </row>
    <row r="730" spans="1:10" x14ac:dyDescent="0.3">
      <c r="A730" s="8"/>
      <c r="B730" s="266"/>
      <c r="C730" s="266"/>
      <c r="D730" s="266"/>
      <c r="E730" s="264"/>
      <c r="F730" s="265"/>
      <c r="H730" s="8"/>
      <c r="I730" s="205"/>
      <c r="J730" s="201"/>
    </row>
    <row r="731" spans="1:10" x14ac:dyDescent="0.3">
      <c r="A731" s="8"/>
      <c r="B731" s="266"/>
      <c r="C731" s="266"/>
      <c r="D731" s="266"/>
      <c r="E731" s="264"/>
      <c r="F731" s="265"/>
      <c r="H731" s="8"/>
      <c r="I731" s="205"/>
      <c r="J731" s="201"/>
    </row>
    <row r="732" spans="1:10" x14ac:dyDescent="0.3">
      <c r="A732" s="8"/>
      <c r="B732" s="266"/>
      <c r="C732" s="266"/>
      <c r="D732" s="266"/>
      <c r="E732" s="264"/>
      <c r="F732" s="265"/>
      <c r="H732" s="8"/>
      <c r="I732" s="205"/>
      <c r="J732" s="201"/>
    </row>
    <row r="733" spans="1:10" x14ac:dyDescent="0.3">
      <c r="A733" s="8"/>
      <c r="B733" s="266"/>
      <c r="C733" s="266"/>
      <c r="D733" s="266"/>
      <c r="E733" s="264"/>
      <c r="F733" s="265"/>
      <c r="H733" s="8"/>
      <c r="I733" s="205"/>
      <c r="J733" s="201"/>
    </row>
    <row r="734" spans="1:10" x14ac:dyDescent="0.3">
      <c r="A734" s="8"/>
      <c r="B734" s="266"/>
      <c r="C734" s="266"/>
      <c r="D734" s="266"/>
      <c r="E734" s="264"/>
      <c r="F734" s="265"/>
      <c r="H734" s="8"/>
      <c r="I734" s="205"/>
      <c r="J734" s="201"/>
    </row>
    <row r="735" spans="1:10" x14ac:dyDescent="0.3">
      <c r="A735" s="8"/>
      <c r="B735" s="266"/>
      <c r="C735" s="266"/>
      <c r="D735" s="266"/>
      <c r="E735" s="264"/>
      <c r="F735" s="265"/>
      <c r="H735" s="8"/>
      <c r="I735" s="205"/>
      <c r="J735" s="201"/>
    </row>
    <row r="736" spans="1:10" x14ac:dyDescent="0.3">
      <c r="A736" s="8"/>
      <c r="B736" s="266"/>
      <c r="C736" s="266"/>
      <c r="D736" s="266"/>
      <c r="E736" s="264"/>
      <c r="F736" s="265"/>
      <c r="H736" s="8"/>
      <c r="I736" s="205"/>
      <c r="J736" s="201"/>
    </row>
    <row r="737" spans="1:10" x14ac:dyDescent="0.3">
      <c r="A737" s="8"/>
      <c r="B737" s="266"/>
      <c r="C737" s="266"/>
      <c r="D737" s="266"/>
      <c r="E737" s="264"/>
      <c r="F737" s="265"/>
      <c r="H737" s="8"/>
      <c r="I737" s="205"/>
      <c r="J737" s="201"/>
    </row>
    <row r="738" spans="1:10" x14ac:dyDescent="0.3">
      <c r="A738" s="8"/>
      <c r="B738" s="266"/>
      <c r="C738" s="266"/>
      <c r="D738" s="266"/>
      <c r="E738" s="264"/>
      <c r="F738" s="265"/>
      <c r="H738" s="8"/>
      <c r="I738" s="205"/>
      <c r="J738" s="201"/>
    </row>
    <row r="739" spans="1:10" x14ac:dyDescent="0.3">
      <c r="A739" s="8"/>
      <c r="B739" s="266"/>
      <c r="C739" s="266"/>
      <c r="D739" s="266"/>
      <c r="E739" s="264"/>
      <c r="F739" s="265"/>
      <c r="H739" s="8"/>
      <c r="I739" s="205"/>
      <c r="J739" s="201"/>
    </row>
    <row r="740" spans="1:10" x14ac:dyDescent="0.3">
      <c r="A740" s="8"/>
      <c r="B740" s="266"/>
      <c r="C740" s="266"/>
      <c r="D740" s="266"/>
      <c r="E740" s="264"/>
      <c r="F740" s="265"/>
      <c r="H740" s="8"/>
      <c r="I740" s="205"/>
      <c r="J740" s="201"/>
    </row>
    <row r="741" spans="1:10" x14ac:dyDescent="0.3">
      <c r="A741" s="8"/>
      <c r="B741" s="266"/>
      <c r="C741" s="266"/>
      <c r="D741" s="266"/>
      <c r="E741" s="264"/>
      <c r="F741" s="265"/>
      <c r="H741" s="8"/>
      <c r="I741" s="205"/>
      <c r="J741" s="201"/>
    </row>
    <row r="742" spans="1:10" x14ac:dyDescent="0.3">
      <c r="A742" s="8"/>
      <c r="B742" s="266"/>
      <c r="C742" s="266"/>
      <c r="D742" s="266"/>
      <c r="E742" s="264"/>
      <c r="F742" s="265"/>
      <c r="H742" s="8"/>
      <c r="I742" s="205"/>
      <c r="J742" s="201"/>
    </row>
    <row r="743" spans="1:10" x14ac:dyDescent="0.3">
      <c r="A743" s="8"/>
      <c r="B743" s="266"/>
      <c r="C743" s="266"/>
      <c r="D743" s="266"/>
      <c r="E743" s="264"/>
      <c r="F743" s="265"/>
      <c r="H743" s="8"/>
      <c r="I743" s="205"/>
      <c r="J743" s="201"/>
    </row>
    <row r="744" spans="1:10" x14ac:dyDescent="0.3">
      <c r="A744" s="8"/>
      <c r="B744" s="266"/>
      <c r="C744" s="266"/>
      <c r="D744" s="266"/>
      <c r="E744" s="264"/>
      <c r="F744" s="265"/>
      <c r="H744" s="8"/>
      <c r="I744" s="205"/>
      <c r="J744" s="201"/>
    </row>
    <row r="745" spans="1:10" x14ac:dyDescent="0.3">
      <c r="A745" s="8"/>
      <c r="B745" s="266"/>
      <c r="C745" s="266"/>
      <c r="D745" s="266"/>
      <c r="E745" s="264"/>
      <c r="F745" s="265"/>
      <c r="H745" s="8"/>
      <c r="I745" s="205"/>
      <c r="J745" s="201"/>
    </row>
    <row r="746" spans="1:10" x14ac:dyDescent="0.3">
      <c r="A746" s="8"/>
      <c r="B746" s="266"/>
      <c r="C746" s="266"/>
      <c r="D746" s="266"/>
      <c r="E746" s="264"/>
      <c r="F746" s="265"/>
      <c r="H746" s="8"/>
      <c r="I746" s="205"/>
      <c r="J746" s="201"/>
    </row>
    <row r="747" spans="1:10" x14ac:dyDescent="0.3">
      <c r="A747" s="8"/>
      <c r="B747" s="266"/>
      <c r="C747" s="266"/>
      <c r="D747" s="266"/>
      <c r="E747" s="264"/>
      <c r="F747" s="265"/>
      <c r="H747" s="8"/>
      <c r="I747" s="205"/>
      <c r="J747" s="201"/>
    </row>
    <row r="748" spans="1:10" x14ac:dyDescent="0.3">
      <c r="A748" s="8"/>
      <c r="B748" s="266"/>
      <c r="C748" s="266"/>
      <c r="D748" s="266"/>
      <c r="E748" s="264"/>
      <c r="F748" s="265"/>
      <c r="H748" s="8"/>
      <c r="I748" s="205"/>
      <c r="J748" s="201"/>
    </row>
    <row r="749" spans="1:10" x14ac:dyDescent="0.3">
      <c r="A749" s="8"/>
      <c r="B749" s="266"/>
      <c r="C749" s="266"/>
      <c r="D749" s="266"/>
      <c r="E749" s="264"/>
      <c r="F749" s="265"/>
      <c r="H749" s="8"/>
      <c r="I749" s="205"/>
      <c r="J749" s="201"/>
    </row>
    <row r="750" spans="1:10" x14ac:dyDescent="0.3">
      <c r="A750" s="8"/>
      <c r="B750" s="266"/>
      <c r="C750" s="266"/>
      <c r="D750" s="266"/>
      <c r="E750" s="264"/>
      <c r="F750" s="265"/>
      <c r="H750" s="8"/>
      <c r="I750" s="205"/>
      <c r="J750" s="201"/>
    </row>
    <row r="751" spans="1:10" x14ac:dyDescent="0.3">
      <c r="A751" s="8"/>
      <c r="B751" s="266"/>
      <c r="C751" s="266"/>
      <c r="D751" s="266"/>
      <c r="E751" s="264"/>
      <c r="F751" s="265"/>
      <c r="H751" s="8"/>
      <c r="I751" s="205"/>
      <c r="J751" s="201"/>
    </row>
    <row r="752" spans="1:10" x14ac:dyDescent="0.3">
      <c r="A752" s="8"/>
      <c r="B752" s="266"/>
      <c r="C752" s="266"/>
      <c r="D752" s="266"/>
      <c r="E752" s="264"/>
      <c r="F752" s="265"/>
      <c r="H752" s="8"/>
      <c r="I752" s="205"/>
      <c r="J752" s="201"/>
    </row>
    <row r="753" spans="1:10" x14ac:dyDescent="0.3">
      <c r="A753" s="8"/>
      <c r="B753" s="266"/>
      <c r="C753" s="266"/>
      <c r="D753" s="266"/>
      <c r="E753" s="264"/>
      <c r="F753" s="265"/>
      <c r="H753" s="8"/>
      <c r="I753" s="205"/>
      <c r="J753" s="201"/>
    </row>
    <row r="754" spans="1:10" x14ac:dyDescent="0.3">
      <c r="A754" s="8"/>
      <c r="B754" s="266"/>
      <c r="C754" s="266"/>
      <c r="D754" s="266"/>
      <c r="E754" s="264"/>
      <c r="F754" s="265"/>
      <c r="H754" s="8"/>
      <c r="I754" s="205"/>
      <c r="J754" s="201"/>
    </row>
    <row r="755" spans="1:10" x14ac:dyDescent="0.3">
      <c r="A755" s="8"/>
      <c r="B755" s="266"/>
      <c r="C755" s="266"/>
      <c r="D755" s="266"/>
      <c r="E755" s="264"/>
      <c r="F755" s="265"/>
      <c r="H755" s="8"/>
      <c r="I755" s="205"/>
      <c r="J755" s="201"/>
    </row>
    <row r="756" spans="1:10" x14ac:dyDescent="0.3">
      <c r="A756" s="8"/>
      <c r="B756" s="266"/>
      <c r="C756" s="266"/>
      <c r="D756" s="266"/>
      <c r="E756" s="264"/>
      <c r="F756" s="265"/>
      <c r="H756" s="8"/>
      <c r="I756" s="205"/>
      <c r="J756" s="201"/>
    </row>
    <row r="757" spans="1:10" x14ac:dyDescent="0.3">
      <c r="A757" s="8"/>
      <c r="B757" s="266"/>
      <c r="C757" s="266"/>
      <c r="D757" s="266"/>
      <c r="E757" s="264"/>
      <c r="F757" s="265"/>
      <c r="H757" s="8"/>
      <c r="I757" s="205"/>
      <c r="J757" s="201"/>
    </row>
    <row r="758" spans="1:10" x14ac:dyDescent="0.3">
      <c r="A758" s="8"/>
      <c r="B758" s="266"/>
      <c r="C758" s="266"/>
      <c r="D758" s="266"/>
      <c r="E758" s="264"/>
      <c r="F758" s="265"/>
      <c r="H758" s="8"/>
      <c r="I758" s="205"/>
      <c r="J758" s="201"/>
    </row>
    <row r="759" spans="1:10" x14ac:dyDescent="0.3">
      <c r="A759" s="8"/>
      <c r="B759" s="266"/>
      <c r="C759" s="266"/>
      <c r="D759" s="266"/>
      <c r="E759" s="264"/>
      <c r="F759" s="265"/>
      <c r="H759" s="8"/>
      <c r="I759" s="205"/>
      <c r="J759" s="201"/>
    </row>
    <row r="760" spans="1:10" x14ac:dyDescent="0.3">
      <c r="A760" s="8"/>
      <c r="B760" s="266"/>
      <c r="C760" s="266"/>
      <c r="D760" s="266"/>
      <c r="E760" s="264"/>
      <c r="F760" s="265"/>
      <c r="H760" s="8"/>
      <c r="I760" s="205"/>
      <c r="J760" s="201"/>
    </row>
    <row r="761" spans="1:10" x14ac:dyDescent="0.3">
      <c r="A761" s="8"/>
      <c r="B761" s="266"/>
      <c r="C761" s="266"/>
      <c r="D761" s="266"/>
      <c r="E761" s="264"/>
      <c r="F761" s="265"/>
      <c r="H761" s="8"/>
      <c r="I761" s="205"/>
      <c r="J761" s="201"/>
    </row>
    <row r="762" spans="1:10" x14ac:dyDescent="0.3">
      <c r="A762" s="8"/>
      <c r="B762" s="266"/>
      <c r="C762" s="266"/>
      <c r="D762" s="266"/>
      <c r="E762" s="264"/>
      <c r="F762" s="265"/>
      <c r="H762" s="8"/>
      <c r="I762" s="205"/>
      <c r="J762" s="201"/>
    </row>
    <row r="763" spans="1:10" x14ac:dyDescent="0.3">
      <c r="A763" s="8"/>
      <c r="B763" s="266"/>
      <c r="C763" s="266"/>
      <c r="D763" s="266"/>
      <c r="E763" s="264"/>
      <c r="F763" s="265"/>
      <c r="H763" s="8"/>
      <c r="I763" s="205"/>
      <c r="J763" s="201"/>
    </row>
    <row r="764" spans="1:10" x14ac:dyDescent="0.3">
      <c r="A764" s="8"/>
      <c r="B764" s="266"/>
      <c r="C764" s="266"/>
      <c r="D764" s="266"/>
      <c r="E764" s="264"/>
      <c r="F764" s="265"/>
      <c r="H764" s="8"/>
      <c r="I764" s="205"/>
      <c r="J764" s="201"/>
    </row>
    <row r="765" spans="1:10" x14ac:dyDescent="0.3">
      <c r="A765" s="8"/>
      <c r="B765" s="266"/>
      <c r="C765" s="266"/>
      <c r="D765" s="266"/>
      <c r="E765" s="264"/>
      <c r="F765" s="265"/>
      <c r="H765" s="8"/>
      <c r="I765" s="205"/>
      <c r="J765" s="201"/>
    </row>
    <row r="766" spans="1:10" x14ac:dyDescent="0.3">
      <c r="A766" s="8"/>
      <c r="B766" s="266"/>
      <c r="C766" s="266"/>
      <c r="D766" s="266"/>
      <c r="E766" s="264"/>
      <c r="F766" s="265"/>
      <c r="H766" s="8"/>
      <c r="I766" s="205"/>
      <c r="J766" s="201"/>
    </row>
    <row r="767" spans="1:10" x14ac:dyDescent="0.3">
      <c r="A767" s="8"/>
      <c r="B767" s="266"/>
      <c r="C767" s="266"/>
      <c r="D767" s="266"/>
      <c r="E767" s="264"/>
      <c r="F767" s="265"/>
      <c r="H767" s="8"/>
      <c r="I767" s="205"/>
      <c r="J767" s="201"/>
    </row>
    <row r="768" spans="1:10" x14ac:dyDescent="0.3">
      <c r="A768" s="8"/>
      <c r="B768" s="266"/>
      <c r="C768" s="266"/>
      <c r="D768" s="266"/>
      <c r="E768" s="264"/>
      <c r="F768" s="265"/>
      <c r="H768" s="8"/>
      <c r="I768" s="205"/>
      <c r="J768" s="201"/>
    </row>
    <row r="769" spans="1:10" x14ac:dyDescent="0.3">
      <c r="A769" s="8"/>
      <c r="B769" s="266"/>
      <c r="C769" s="266"/>
      <c r="D769" s="266"/>
      <c r="E769" s="264"/>
      <c r="F769" s="265"/>
      <c r="H769" s="8"/>
      <c r="I769" s="205"/>
      <c r="J769" s="201"/>
    </row>
    <row r="770" spans="1:10" x14ac:dyDescent="0.3">
      <c r="A770" s="8"/>
      <c r="B770" s="266"/>
      <c r="C770" s="266"/>
      <c r="D770" s="266"/>
      <c r="E770" s="264"/>
      <c r="F770" s="265"/>
      <c r="H770" s="8"/>
      <c r="I770" s="205"/>
      <c r="J770" s="201"/>
    </row>
    <row r="771" spans="1:10" x14ac:dyDescent="0.3">
      <c r="A771" s="8"/>
      <c r="B771" s="266"/>
      <c r="C771" s="266"/>
      <c r="D771" s="266"/>
      <c r="E771" s="264"/>
      <c r="F771" s="265"/>
      <c r="H771" s="8"/>
      <c r="I771" s="205"/>
      <c r="J771" s="201"/>
    </row>
    <row r="772" spans="1:10" x14ac:dyDescent="0.3">
      <c r="A772" s="46"/>
      <c r="B772" s="80"/>
      <c r="C772" s="80"/>
      <c r="D772" s="80"/>
      <c r="E772" s="259"/>
      <c r="F772" s="250"/>
      <c r="H772" s="8"/>
      <c r="I772" s="205"/>
      <c r="J772" s="201"/>
    </row>
    <row r="773" spans="1:10" x14ac:dyDescent="0.3">
      <c r="A773" s="46"/>
      <c r="B773" s="80"/>
      <c r="C773" s="80"/>
      <c r="D773" s="80"/>
      <c r="E773" s="259"/>
      <c r="F773" s="250"/>
      <c r="H773" s="8"/>
      <c r="I773" s="205"/>
      <c r="J773" s="201"/>
    </row>
    <row r="774" spans="1:10" x14ac:dyDescent="0.3">
      <c r="A774" s="46"/>
      <c r="B774" s="80"/>
      <c r="C774" s="80"/>
      <c r="D774" s="80"/>
      <c r="E774" s="259"/>
      <c r="F774" s="250"/>
      <c r="H774" s="8"/>
      <c r="I774" s="205"/>
      <c r="J774" s="201"/>
    </row>
    <row r="775" spans="1:10" x14ac:dyDescent="0.3">
      <c r="A775" s="46"/>
      <c r="B775" s="80"/>
      <c r="C775" s="80"/>
      <c r="D775" s="80"/>
      <c r="E775" s="259"/>
      <c r="F775" s="250"/>
      <c r="H775" s="8"/>
      <c r="I775" s="205"/>
      <c r="J775" s="201"/>
    </row>
    <row r="776" spans="1:10" x14ac:dyDescent="0.3">
      <c r="A776" s="46"/>
      <c r="B776" s="80"/>
      <c r="C776" s="80"/>
      <c r="D776" s="80"/>
      <c r="E776" s="259"/>
      <c r="F776" s="250"/>
      <c r="H776" s="8"/>
      <c r="I776" s="205"/>
      <c r="J776" s="201"/>
    </row>
    <row r="777" spans="1:10" x14ac:dyDescent="0.3">
      <c r="A777" s="46"/>
      <c r="B777" s="80"/>
      <c r="C777" s="80"/>
      <c r="D777" s="80"/>
      <c r="E777" s="259"/>
      <c r="F777" s="250"/>
      <c r="H777" s="8"/>
      <c r="I777" s="205"/>
      <c r="J777" s="201"/>
    </row>
    <row r="778" spans="1:10" x14ac:dyDescent="0.3">
      <c r="A778" s="46"/>
      <c r="B778" s="80"/>
      <c r="C778" s="80"/>
      <c r="D778" s="80"/>
      <c r="E778" s="259"/>
      <c r="F778" s="250"/>
      <c r="H778" s="8"/>
      <c r="I778" s="205"/>
      <c r="J778" s="201"/>
    </row>
    <row r="779" spans="1:10" x14ac:dyDescent="0.3">
      <c r="A779" s="46"/>
      <c r="B779" s="80"/>
      <c r="C779" s="80"/>
      <c r="D779" s="80"/>
      <c r="E779" s="259"/>
      <c r="F779" s="250"/>
      <c r="H779" s="8"/>
      <c r="I779" s="205"/>
      <c r="J779" s="201"/>
    </row>
    <row r="780" spans="1:10" x14ac:dyDescent="0.3">
      <c r="A780" s="46"/>
      <c r="B780" s="80"/>
      <c r="C780" s="80"/>
      <c r="D780" s="80"/>
      <c r="E780" s="259"/>
      <c r="F780" s="250"/>
      <c r="H780" s="8"/>
      <c r="I780" s="205"/>
      <c r="J780" s="201"/>
    </row>
    <row r="781" spans="1:10" x14ac:dyDescent="0.3">
      <c r="A781" s="46"/>
      <c r="B781" s="80"/>
      <c r="C781" s="80"/>
      <c r="D781" s="80"/>
      <c r="E781" s="259"/>
      <c r="F781" s="250"/>
      <c r="H781" s="8"/>
      <c r="I781" s="205"/>
      <c r="J781" s="201"/>
    </row>
    <row r="782" spans="1:10" x14ac:dyDescent="0.3">
      <c r="A782" s="46"/>
      <c r="B782" s="80"/>
      <c r="C782" s="80"/>
      <c r="D782" s="80"/>
      <c r="E782" s="259"/>
      <c r="F782" s="250"/>
      <c r="H782" s="8"/>
      <c r="I782" s="205"/>
      <c r="J782" s="201"/>
    </row>
    <row r="783" spans="1:10" x14ac:dyDescent="0.3">
      <c r="A783" s="46"/>
      <c r="B783" s="80"/>
      <c r="C783" s="80"/>
      <c r="D783" s="80"/>
      <c r="E783" s="259"/>
      <c r="F783" s="250"/>
      <c r="H783" s="8"/>
      <c r="I783" s="205"/>
      <c r="J783" s="201"/>
    </row>
    <row r="784" spans="1:10" x14ac:dyDescent="0.3">
      <c r="A784" s="46"/>
      <c r="B784" s="80"/>
      <c r="C784" s="80"/>
      <c r="D784" s="80"/>
      <c r="E784" s="259"/>
      <c r="F784" s="250"/>
      <c r="H784" s="8"/>
      <c r="I784" s="205"/>
      <c r="J784" s="201"/>
    </row>
    <row r="785" spans="1:10" x14ac:dyDescent="0.3">
      <c r="A785" s="46"/>
      <c r="B785" s="80"/>
      <c r="C785" s="80"/>
      <c r="D785" s="80"/>
      <c r="E785" s="259"/>
      <c r="F785" s="250"/>
      <c r="H785" s="8"/>
      <c r="I785" s="205"/>
      <c r="J785" s="201"/>
    </row>
    <row r="786" spans="1:10" x14ac:dyDescent="0.3">
      <c r="A786" s="46"/>
      <c r="B786" s="80"/>
      <c r="C786" s="80"/>
      <c r="D786" s="80"/>
      <c r="E786" s="259"/>
      <c r="F786" s="250"/>
      <c r="H786" s="8"/>
      <c r="I786" s="205"/>
      <c r="J786" s="201"/>
    </row>
    <row r="787" spans="1:10" x14ac:dyDescent="0.3">
      <c r="A787" s="46"/>
      <c r="B787" s="80"/>
      <c r="C787" s="80"/>
      <c r="D787" s="80"/>
      <c r="E787" s="259"/>
      <c r="F787" s="250"/>
      <c r="H787" s="8"/>
      <c r="I787" s="205"/>
      <c r="J787" s="201"/>
    </row>
    <row r="788" spans="1:10" x14ac:dyDescent="0.3">
      <c r="A788" s="46"/>
      <c r="B788" s="80"/>
      <c r="C788" s="80"/>
      <c r="D788" s="80"/>
      <c r="E788" s="259"/>
      <c r="F788" s="250"/>
      <c r="H788" s="8"/>
      <c r="I788" s="205"/>
      <c r="J788" s="201"/>
    </row>
    <row r="789" spans="1:10" x14ac:dyDescent="0.3">
      <c r="A789" s="46"/>
      <c r="B789" s="80"/>
      <c r="C789" s="80"/>
      <c r="D789" s="80"/>
      <c r="E789" s="259"/>
      <c r="F789" s="250"/>
      <c r="H789" s="8"/>
      <c r="I789" s="205"/>
      <c r="J789" s="201"/>
    </row>
    <row r="790" spans="1:10" x14ac:dyDescent="0.3">
      <c r="A790" s="46"/>
      <c r="B790" s="80"/>
      <c r="C790" s="80"/>
      <c r="D790" s="80"/>
      <c r="E790" s="259"/>
      <c r="F790" s="250"/>
      <c r="H790" s="8"/>
      <c r="I790" s="205"/>
      <c r="J790" s="201"/>
    </row>
    <row r="791" spans="1:10" x14ac:dyDescent="0.3">
      <c r="A791" s="46"/>
      <c r="B791" s="80"/>
      <c r="C791" s="80"/>
      <c r="D791" s="80"/>
      <c r="E791" s="259"/>
      <c r="F791" s="250"/>
      <c r="H791" s="8"/>
      <c r="I791" s="205"/>
      <c r="J791" s="201"/>
    </row>
    <row r="792" spans="1:10" x14ac:dyDescent="0.3">
      <c r="A792" s="46"/>
      <c r="B792" s="80"/>
      <c r="C792" s="80"/>
      <c r="D792" s="80"/>
      <c r="E792" s="259"/>
      <c r="F792" s="250"/>
      <c r="H792" s="8"/>
      <c r="I792" s="205"/>
      <c r="J792" s="201"/>
    </row>
    <row r="793" spans="1:10" x14ac:dyDescent="0.3">
      <c r="A793" s="46"/>
      <c r="B793" s="80"/>
      <c r="C793" s="80"/>
      <c r="D793" s="80"/>
      <c r="E793" s="259"/>
      <c r="F793" s="250"/>
      <c r="H793" s="8"/>
      <c r="I793" s="205"/>
      <c r="J793" s="201"/>
    </row>
    <row r="794" spans="1:10" x14ac:dyDescent="0.3">
      <c r="A794" s="46"/>
      <c r="B794" s="80"/>
      <c r="C794" s="80"/>
      <c r="D794" s="80"/>
      <c r="E794" s="259"/>
      <c r="F794" s="250"/>
      <c r="H794" s="8"/>
      <c r="I794" s="205"/>
      <c r="J794" s="201"/>
    </row>
    <row r="795" spans="1:10" x14ac:dyDescent="0.3">
      <c r="A795" s="46"/>
      <c r="B795" s="80"/>
      <c r="C795" s="80"/>
      <c r="D795" s="80"/>
      <c r="E795" s="259"/>
      <c r="F795" s="250"/>
      <c r="H795" s="8"/>
      <c r="I795" s="205"/>
      <c r="J795" s="201"/>
    </row>
    <row r="796" spans="1:10" x14ac:dyDescent="0.3">
      <c r="A796" s="46"/>
      <c r="B796" s="80"/>
      <c r="C796" s="80"/>
      <c r="D796" s="80"/>
      <c r="E796" s="259"/>
      <c r="F796" s="250"/>
      <c r="H796" s="8"/>
      <c r="I796" s="205"/>
      <c r="J796" s="201"/>
    </row>
    <row r="797" spans="1:10" x14ac:dyDescent="0.3">
      <c r="A797" s="46"/>
      <c r="B797" s="80"/>
      <c r="C797" s="80"/>
      <c r="D797" s="80"/>
      <c r="E797" s="259"/>
      <c r="F797" s="250"/>
      <c r="H797" s="8"/>
      <c r="I797" s="205"/>
      <c r="J797" s="201"/>
    </row>
    <row r="798" spans="1:10" x14ac:dyDescent="0.3">
      <c r="A798" s="46"/>
      <c r="B798" s="80"/>
      <c r="C798" s="80"/>
      <c r="D798" s="80"/>
      <c r="E798" s="259"/>
      <c r="F798" s="250"/>
      <c r="H798" s="8"/>
      <c r="I798" s="205"/>
      <c r="J798" s="201"/>
    </row>
    <row r="799" spans="1:10" x14ac:dyDescent="0.3">
      <c r="A799" s="46"/>
      <c r="B799" s="80"/>
      <c r="C799" s="80"/>
      <c r="D799" s="80"/>
      <c r="E799" s="259"/>
      <c r="F799" s="250"/>
      <c r="H799" s="8"/>
      <c r="I799" s="205"/>
      <c r="J799" s="201"/>
    </row>
    <row r="800" spans="1:10" x14ac:dyDescent="0.3">
      <c r="A800" s="46"/>
      <c r="B800" s="80"/>
      <c r="C800" s="80"/>
      <c r="D800" s="80"/>
      <c r="E800" s="259"/>
      <c r="F800" s="250"/>
      <c r="H800" s="8"/>
      <c r="I800" s="205"/>
      <c r="J800" s="201"/>
    </row>
    <row r="801" spans="1:10" x14ac:dyDescent="0.3">
      <c r="A801" s="46"/>
      <c r="B801" s="80"/>
      <c r="C801" s="80"/>
      <c r="D801" s="80"/>
      <c r="E801" s="259"/>
      <c r="F801" s="250"/>
      <c r="H801" s="8"/>
      <c r="I801" s="205"/>
      <c r="J801" s="201"/>
    </row>
    <row r="802" spans="1:10" x14ac:dyDescent="0.3">
      <c r="A802" s="46"/>
      <c r="B802" s="80"/>
      <c r="C802" s="80"/>
      <c r="D802" s="80"/>
      <c r="E802" s="259"/>
      <c r="F802" s="250"/>
      <c r="H802" s="8"/>
      <c r="I802" s="205"/>
      <c r="J802" s="201"/>
    </row>
    <row r="803" spans="1:10" x14ac:dyDescent="0.3">
      <c r="A803" s="46"/>
      <c r="B803" s="80"/>
      <c r="C803" s="80"/>
      <c r="D803" s="80"/>
      <c r="E803" s="259"/>
      <c r="F803" s="250"/>
      <c r="H803" s="8"/>
      <c r="I803" s="205"/>
      <c r="J803" s="201"/>
    </row>
    <row r="804" spans="1:10" x14ac:dyDescent="0.3">
      <c r="A804" s="46"/>
      <c r="B804" s="80"/>
      <c r="C804" s="80"/>
      <c r="D804" s="80"/>
      <c r="E804" s="259"/>
      <c r="F804" s="250"/>
      <c r="H804" s="8"/>
      <c r="I804" s="205"/>
      <c r="J804" s="201"/>
    </row>
    <row r="805" spans="1:10" x14ac:dyDescent="0.3">
      <c r="A805" s="46"/>
      <c r="B805" s="80"/>
      <c r="C805" s="80"/>
      <c r="D805" s="80"/>
      <c r="E805" s="259"/>
      <c r="F805" s="250"/>
      <c r="H805" s="8"/>
      <c r="I805" s="205"/>
      <c r="J805" s="201"/>
    </row>
    <row r="806" spans="1:10" x14ac:dyDescent="0.3">
      <c r="A806" s="46"/>
      <c r="B806" s="80"/>
      <c r="C806" s="80"/>
      <c r="D806" s="80"/>
      <c r="E806" s="259"/>
      <c r="F806" s="250"/>
      <c r="H806" s="8"/>
      <c r="I806" s="205"/>
      <c r="J806" s="201"/>
    </row>
    <row r="807" spans="1:10" x14ac:dyDescent="0.3">
      <c r="A807" s="46"/>
      <c r="B807" s="80"/>
      <c r="C807" s="80"/>
      <c r="D807" s="80"/>
      <c r="E807" s="259"/>
      <c r="F807" s="250"/>
      <c r="H807" s="8"/>
      <c r="I807" s="205"/>
      <c r="J807" s="201"/>
    </row>
    <row r="808" spans="1:10" x14ac:dyDescent="0.3">
      <c r="A808" s="46"/>
      <c r="B808" s="80"/>
      <c r="C808" s="80"/>
      <c r="D808" s="80"/>
      <c r="E808" s="259"/>
      <c r="F808" s="250"/>
      <c r="H808" s="8"/>
      <c r="I808" s="205"/>
      <c r="J808" s="201"/>
    </row>
    <row r="809" spans="1:10" x14ac:dyDescent="0.3">
      <c r="A809" s="46"/>
      <c r="B809" s="80"/>
      <c r="C809" s="80"/>
      <c r="D809" s="80"/>
      <c r="E809" s="259"/>
      <c r="F809" s="250"/>
      <c r="H809" s="8"/>
      <c r="I809" s="205"/>
      <c r="J809" s="201"/>
    </row>
    <row r="810" spans="1:10" x14ac:dyDescent="0.3">
      <c r="A810" s="46"/>
      <c r="B810" s="80"/>
      <c r="C810" s="80"/>
      <c r="D810" s="80"/>
      <c r="E810" s="259"/>
      <c r="F810" s="250"/>
      <c r="H810" s="8"/>
      <c r="I810" s="205"/>
      <c r="J810" s="201"/>
    </row>
    <row r="811" spans="1:10" x14ac:dyDescent="0.3">
      <c r="A811" s="46"/>
      <c r="B811" s="80"/>
      <c r="C811" s="80"/>
      <c r="D811" s="80"/>
      <c r="E811" s="259"/>
      <c r="F811" s="250"/>
      <c r="H811" s="8"/>
      <c r="I811" s="205"/>
      <c r="J811" s="201"/>
    </row>
    <row r="812" spans="1:10" x14ac:dyDescent="0.3">
      <c r="A812" s="46"/>
      <c r="B812" s="80"/>
      <c r="C812" s="80"/>
      <c r="D812" s="80"/>
      <c r="E812" s="259"/>
      <c r="F812" s="250"/>
      <c r="H812" s="8"/>
      <c r="I812" s="205"/>
      <c r="J812" s="201"/>
    </row>
    <row r="813" spans="1:10" x14ac:dyDescent="0.3">
      <c r="A813" s="46"/>
      <c r="B813" s="80"/>
      <c r="C813" s="80"/>
      <c r="D813" s="80"/>
      <c r="E813" s="259"/>
      <c r="F813" s="250"/>
      <c r="H813" s="8"/>
      <c r="I813" s="205"/>
      <c r="J813" s="201"/>
    </row>
    <row r="814" spans="1:10" x14ac:dyDescent="0.3">
      <c r="A814" s="46"/>
      <c r="B814" s="80"/>
      <c r="C814" s="80"/>
      <c r="D814" s="80"/>
      <c r="E814" s="259"/>
      <c r="F814" s="250"/>
      <c r="H814" s="8"/>
      <c r="I814" s="205"/>
      <c r="J814" s="201"/>
    </row>
    <row r="815" spans="1:10" x14ac:dyDescent="0.3">
      <c r="A815" s="46"/>
      <c r="B815" s="80"/>
      <c r="C815" s="80"/>
      <c r="D815" s="80"/>
      <c r="E815" s="259"/>
      <c r="F815" s="250"/>
      <c r="H815" s="8"/>
      <c r="I815" s="205"/>
      <c r="J815" s="201"/>
    </row>
    <row r="816" spans="1:10" x14ac:dyDescent="0.3">
      <c r="A816" s="46"/>
      <c r="B816" s="80"/>
      <c r="C816" s="80"/>
      <c r="D816" s="80"/>
      <c r="E816" s="259"/>
      <c r="F816" s="250"/>
      <c r="H816" s="8"/>
      <c r="I816" s="205"/>
      <c r="J816" s="201"/>
    </row>
    <row r="817" spans="1:10" x14ac:dyDescent="0.3">
      <c r="A817" s="46"/>
      <c r="B817" s="80"/>
      <c r="C817" s="80"/>
      <c r="D817" s="80"/>
      <c r="E817" s="259"/>
      <c r="F817" s="250"/>
      <c r="H817" s="8"/>
      <c r="I817" s="205"/>
      <c r="J817" s="201"/>
    </row>
    <row r="818" spans="1:10" x14ac:dyDescent="0.3">
      <c r="A818" s="46"/>
      <c r="B818" s="80"/>
      <c r="C818" s="80"/>
      <c r="D818" s="80"/>
      <c r="E818" s="259"/>
      <c r="F818" s="250"/>
      <c r="H818" s="8"/>
      <c r="I818" s="205"/>
      <c r="J818" s="201"/>
    </row>
    <row r="819" spans="1:10" x14ac:dyDescent="0.3">
      <c r="A819" s="46"/>
      <c r="B819" s="80"/>
      <c r="C819" s="80"/>
      <c r="D819" s="80"/>
      <c r="E819" s="259"/>
      <c r="F819" s="250"/>
      <c r="H819" s="8"/>
      <c r="I819" s="205"/>
      <c r="J819" s="201"/>
    </row>
    <row r="820" spans="1:10" x14ac:dyDescent="0.3">
      <c r="A820" s="46"/>
      <c r="B820" s="80"/>
      <c r="C820" s="80"/>
      <c r="D820" s="80"/>
      <c r="E820" s="259"/>
      <c r="F820" s="250"/>
      <c r="H820" s="8"/>
      <c r="I820" s="205"/>
      <c r="J820" s="201"/>
    </row>
    <row r="821" spans="1:10" x14ac:dyDescent="0.3">
      <c r="A821" s="46"/>
      <c r="B821" s="80"/>
      <c r="C821" s="80"/>
      <c r="D821" s="80"/>
      <c r="E821" s="259"/>
      <c r="F821" s="250"/>
      <c r="H821" s="8"/>
      <c r="I821" s="205"/>
      <c r="J821" s="201"/>
    </row>
    <row r="822" spans="1:10" x14ac:dyDescent="0.3">
      <c r="A822" s="46"/>
      <c r="B822" s="80"/>
      <c r="C822" s="80"/>
      <c r="D822" s="80"/>
      <c r="E822" s="259"/>
      <c r="F822" s="250"/>
      <c r="H822" s="8"/>
      <c r="I822" s="205"/>
      <c r="J822" s="201"/>
    </row>
    <row r="823" spans="1:10" x14ac:dyDescent="0.3">
      <c r="A823" s="46"/>
      <c r="B823" s="80"/>
      <c r="C823" s="80"/>
      <c r="D823" s="80"/>
      <c r="E823" s="259"/>
      <c r="F823" s="250"/>
      <c r="H823" s="8"/>
      <c r="I823" s="205"/>
      <c r="J823" s="201"/>
    </row>
    <row r="824" spans="1:10" x14ac:dyDescent="0.3">
      <c r="A824" s="46"/>
      <c r="B824" s="80"/>
      <c r="C824" s="80"/>
      <c r="D824" s="80"/>
      <c r="E824" s="259"/>
      <c r="F824" s="250"/>
      <c r="H824" s="8"/>
      <c r="I824" s="205"/>
      <c r="J824" s="201"/>
    </row>
    <row r="825" spans="1:10" x14ac:dyDescent="0.3">
      <c r="A825" s="46"/>
      <c r="B825" s="80"/>
      <c r="C825" s="80"/>
      <c r="D825" s="80"/>
      <c r="E825" s="259"/>
      <c r="F825" s="250"/>
      <c r="H825" s="8"/>
      <c r="I825" s="205"/>
      <c r="J825" s="201"/>
    </row>
    <row r="826" spans="1:10" x14ac:dyDescent="0.3">
      <c r="A826" s="46"/>
      <c r="B826" s="80"/>
      <c r="C826" s="80"/>
      <c r="D826" s="80"/>
      <c r="E826" s="259"/>
      <c r="F826" s="250"/>
      <c r="H826" s="8"/>
      <c r="I826" s="205"/>
      <c r="J826" s="201"/>
    </row>
    <row r="827" spans="1:10" x14ac:dyDescent="0.3">
      <c r="A827" s="46"/>
      <c r="B827" s="80"/>
      <c r="C827" s="80"/>
      <c r="D827" s="80"/>
      <c r="E827" s="259"/>
      <c r="F827" s="250"/>
      <c r="H827" s="8"/>
      <c r="I827" s="205"/>
      <c r="J827" s="201"/>
    </row>
    <row r="828" spans="1:10" x14ac:dyDescent="0.3">
      <c r="A828" s="46"/>
      <c r="B828" s="80"/>
      <c r="C828" s="80"/>
      <c r="D828" s="80"/>
      <c r="E828" s="259"/>
      <c r="F828" s="250"/>
      <c r="H828" s="8"/>
      <c r="I828" s="205"/>
      <c r="J828" s="201"/>
    </row>
    <row r="829" spans="1:10" x14ac:dyDescent="0.3">
      <c r="A829" s="46"/>
      <c r="B829" s="80"/>
      <c r="C829" s="80"/>
      <c r="D829" s="80"/>
      <c r="E829" s="259"/>
      <c r="F829" s="250"/>
      <c r="H829" s="8"/>
      <c r="I829" s="205"/>
      <c r="J829" s="201"/>
    </row>
    <row r="830" spans="1:10" x14ac:dyDescent="0.3">
      <c r="A830" s="46"/>
      <c r="B830" s="80"/>
      <c r="C830" s="80"/>
      <c r="D830" s="80"/>
      <c r="E830" s="259"/>
      <c r="F830" s="250"/>
      <c r="H830" s="8"/>
      <c r="I830" s="205"/>
      <c r="J830" s="201"/>
    </row>
    <row r="831" spans="1:10" x14ac:dyDescent="0.3">
      <c r="A831" s="46"/>
      <c r="B831" s="80"/>
      <c r="C831" s="80"/>
      <c r="D831" s="80"/>
      <c r="E831" s="259"/>
      <c r="F831" s="250"/>
      <c r="H831" s="8"/>
      <c r="I831" s="205"/>
      <c r="J831" s="201"/>
    </row>
    <row r="832" spans="1:10" x14ac:dyDescent="0.3">
      <c r="A832" s="46"/>
      <c r="B832" s="80"/>
      <c r="C832" s="80"/>
      <c r="D832" s="80"/>
      <c r="E832" s="259"/>
      <c r="F832" s="250"/>
      <c r="H832" s="8"/>
      <c r="I832" s="205"/>
      <c r="J832" s="201"/>
    </row>
    <row r="833" spans="1:10" x14ac:dyDescent="0.3">
      <c r="A833" s="46"/>
      <c r="B833" s="80"/>
      <c r="C833" s="80"/>
      <c r="D833" s="80"/>
      <c r="E833" s="259"/>
      <c r="F833" s="250"/>
      <c r="H833" s="8"/>
      <c r="I833" s="205"/>
      <c r="J833" s="201"/>
    </row>
    <row r="834" spans="1:10" x14ac:dyDescent="0.3">
      <c r="A834" s="46"/>
      <c r="B834" s="80"/>
      <c r="C834" s="80"/>
      <c r="D834" s="80"/>
      <c r="E834" s="259"/>
      <c r="F834" s="250"/>
      <c r="H834" s="8"/>
      <c r="I834" s="205"/>
      <c r="J834" s="201"/>
    </row>
    <row r="835" spans="1:10" x14ac:dyDescent="0.3">
      <c r="A835" s="46"/>
      <c r="B835" s="80"/>
      <c r="C835" s="80"/>
      <c r="D835" s="80"/>
      <c r="E835" s="259"/>
      <c r="F835" s="250"/>
      <c r="H835" s="8"/>
      <c r="I835" s="205"/>
      <c r="J835" s="201"/>
    </row>
    <row r="836" spans="1:10" x14ac:dyDescent="0.3">
      <c r="A836" s="46"/>
      <c r="B836" s="80"/>
      <c r="C836" s="80"/>
      <c r="D836" s="80"/>
      <c r="E836" s="259"/>
      <c r="F836" s="250"/>
      <c r="H836" s="8"/>
      <c r="I836" s="205"/>
      <c r="J836" s="201"/>
    </row>
    <row r="837" spans="1:10" x14ac:dyDescent="0.3">
      <c r="A837" s="46"/>
      <c r="B837" s="80"/>
      <c r="C837" s="80"/>
      <c r="D837" s="80"/>
      <c r="E837" s="259"/>
      <c r="F837" s="250"/>
      <c r="H837" s="8"/>
      <c r="I837" s="205"/>
      <c r="J837" s="201"/>
    </row>
    <row r="838" spans="1:10" x14ac:dyDescent="0.3">
      <c r="A838" s="46"/>
      <c r="B838" s="80"/>
      <c r="C838" s="80"/>
      <c r="D838" s="80"/>
      <c r="E838" s="259"/>
      <c r="F838" s="250"/>
      <c r="H838" s="8"/>
      <c r="I838" s="205"/>
      <c r="J838" s="201"/>
    </row>
    <row r="839" spans="1:10" x14ac:dyDescent="0.3">
      <c r="A839" s="46"/>
      <c r="B839" s="80"/>
      <c r="C839" s="80"/>
      <c r="D839" s="80"/>
      <c r="E839" s="259"/>
      <c r="F839" s="250"/>
      <c r="H839" s="8"/>
      <c r="I839" s="205"/>
      <c r="J839" s="201"/>
    </row>
    <row r="840" spans="1:10" x14ac:dyDescent="0.3">
      <c r="A840" s="46"/>
      <c r="B840" s="80"/>
      <c r="C840" s="80"/>
      <c r="D840" s="80"/>
      <c r="E840" s="259"/>
      <c r="F840" s="250"/>
      <c r="H840" s="8"/>
      <c r="I840" s="205"/>
      <c r="J840" s="201"/>
    </row>
    <row r="841" spans="1:10" x14ac:dyDescent="0.3">
      <c r="A841" s="46"/>
      <c r="B841" s="80"/>
      <c r="C841" s="80"/>
      <c r="D841" s="80"/>
      <c r="E841" s="259"/>
      <c r="F841" s="250"/>
      <c r="H841" s="8"/>
      <c r="I841" s="205"/>
      <c r="J841" s="201"/>
    </row>
    <row r="842" spans="1:10" x14ac:dyDescent="0.3">
      <c r="A842" s="46"/>
      <c r="B842" s="80"/>
      <c r="C842" s="80"/>
      <c r="D842" s="80"/>
      <c r="E842" s="259"/>
      <c r="F842" s="250"/>
      <c r="H842" s="8"/>
      <c r="I842" s="205"/>
      <c r="J842" s="201"/>
    </row>
    <row r="843" spans="1:10" x14ac:dyDescent="0.3">
      <c r="A843" s="46"/>
      <c r="B843" s="80"/>
      <c r="C843" s="80"/>
      <c r="D843" s="80"/>
      <c r="E843" s="259"/>
      <c r="F843" s="250"/>
      <c r="H843" s="8"/>
      <c r="I843" s="205"/>
      <c r="J843" s="201"/>
    </row>
    <row r="844" spans="1:10" x14ac:dyDescent="0.3">
      <c r="A844" s="46"/>
      <c r="B844" s="80"/>
      <c r="C844" s="80"/>
      <c r="D844" s="80"/>
      <c r="E844" s="259"/>
      <c r="F844" s="250"/>
      <c r="H844" s="8"/>
      <c r="I844" s="205"/>
      <c r="J844" s="201"/>
    </row>
    <row r="845" spans="1:10" x14ac:dyDescent="0.3">
      <c r="A845" s="46"/>
      <c r="B845" s="80"/>
      <c r="C845" s="80"/>
      <c r="D845" s="80"/>
      <c r="E845" s="259"/>
      <c r="F845" s="250"/>
      <c r="H845" s="8"/>
      <c r="I845" s="205"/>
      <c r="J845" s="201"/>
    </row>
    <row r="846" spans="1:10" x14ac:dyDescent="0.3">
      <c r="A846" s="46"/>
      <c r="B846" s="80"/>
      <c r="C846" s="80"/>
      <c r="D846" s="80"/>
      <c r="E846" s="259"/>
      <c r="F846" s="250"/>
      <c r="H846" s="8"/>
      <c r="I846" s="205"/>
      <c r="J846" s="201"/>
    </row>
    <row r="847" spans="1:10" x14ac:dyDescent="0.3">
      <c r="A847" s="46"/>
      <c r="B847" s="80"/>
      <c r="C847" s="80"/>
      <c r="D847" s="80"/>
      <c r="E847" s="259"/>
      <c r="F847" s="250"/>
      <c r="H847" s="8"/>
      <c r="I847" s="205"/>
      <c r="J847" s="201"/>
    </row>
    <row r="848" spans="1:10" x14ac:dyDescent="0.3">
      <c r="A848" s="46"/>
      <c r="B848" s="80"/>
      <c r="C848" s="80"/>
      <c r="D848" s="80"/>
      <c r="E848" s="259"/>
      <c r="F848" s="250"/>
      <c r="H848" s="8"/>
      <c r="I848" s="205"/>
      <c r="J848" s="201"/>
    </row>
    <row r="849" spans="1:10" x14ac:dyDescent="0.3">
      <c r="A849" s="46"/>
      <c r="B849" s="80"/>
      <c r="C849" s="80"/>
      <c r="D849" s="80"/>
      <c r="E849" s="259"/>
      <c r="F849" s="250"/>
      <c r="H849" s="8"/>
      <c r="I849" s="205"/>
      <c r="J849" s="201"/>
    </row>
    <row r="850" spans="1:10" x14ac:dyDescent="0.3">
      <c r="A850" s="46"/>
      <c r="B850" s="80"/>
      <c r="C850" s="80"/>
      <c r="D850" s="80"/>
      <c r="E850" s="259"/>
      <c r="F850" s="250"/>
      <c r="H850" s="8"/>
      <c r="I850" s="205"/>
      <c r="J850" s="201"/>
    </row>
    <row r="851" spans="1:10" x14ac:dyDescent="0.3">
      <c r="A851" s="46"/>
      <c r="B851" s="80"/>
      <c r="C851" s="80"/>
      <c r="D851" s="80"/>
      <c r="E851" s="259"/>
      <c r="F851" s="250"/>
      <c r="H851" s="8"/>
      <c r="I851" s="205"/>
      <c r="J851" s="201"/>
    </row>
    <row r="852" spans="1:10" x14ac:dyDescent="0.3">
      <c r="A852" s="46"/>
      <c r="B852" s="80"/>
      <c r="C852" s="80"/>
      <c r="D852" s="80"/>
      <c r="E852" s="259"/>
      <c r="F852" s="250"/>
      <c r="H852" s="8"/>
      <c r="I852" s="205"/>
      <c r="J852" s="201"/>
    </row>
    <row r="853" spans="1:10" x14ac:dyDescent="0.3">
      <c r="A853" s="46"/>
      <c r="B853" s="80"/>
      <c r="C853" s="80"/>
      <c r="D853" s="80"/>
      <c r="E853" s="259"/>
      <c r="F853" s="250"/>
      <c r="H853" s="8"/>
      <c r="I853" s="205"/>
      <c r="J853" s="201"/>
    </row>
    <row r="854" spans="1:10" x14ac:dyDescent="0.3">
      <c r="A854" s="46"/>
      <c r="B854" s="80"/>
      <c r="C854" s="80"/>
      <c r="D854" s="80"/>
      <c r="E854" s="259"/>
      <c r="F854" s="250"/>
      <c r="H854" s="8"/>
      <c r="I854" s="205"/>
      <c r="J854" s="201"/>
    </row>
    <row r="855" spans="1:10" x14ac:dyDescent="0.3">
      <c r="A855" s="46"/>
      <c r="B855" s="80"/>
      <c r="C855" s="80"/>
      <c r="D855" s="80"/>
      <c r="E855" s="259"/>
      <c r="F855" s="250"/>
      <c r="H855" s="8"/>
      <c r="I855" s="205"/>
      <c r="J855" s="201"/>
    </row>
    <row r="856" spans="1:10" x14ac:dyDescent="0.3">
      <c r="A856" s="46"/>
      <c r="B856" s="80"/>
      <c r="C856" s="80"/>
      <c r="D856" s="80"/>
      <c r="E856" s="259"/>
      <c r="F856" s="250"/>
      <c r="H856" s="8"/>
      <c r="I856" s="205"/>
      <c r="J856" s="201"/>
    </row>
    <row r="857" spans="1:10" x14ac:dyDescent="0.3">
      <c r="A857" s="46"/>
      <c r="B857" s="80"/>
      <c r="C857" s="80"/>
      <c r="D857" s="80"/>
      <c r="E857" s="259"/>
      <c r="F857" s="250"/>
      <c r="H857" s="8"/>
      <c r="I857" s="205"/>
      <c r="J857" s="201"/>
    </row>
    <row r="858" spans="1:10" x14ac:dyDescent="0.3">
      <c r="A858" s="46"/>
      <c r="B858" s="80"/>
      <c r="C858" s="80"/>
      <c r="D858" s="80"/>
      <c r="E858" s="259"/>
      <c r="F858" s="250"/>
      <c r="H858" s="8"/>
      <c r="I858" s="205"/>
      <c r="J858" s="201"/>
    </row>
    <row r="859" spans="1:10" x14ac:dyDescent="0.3">
      <c r="A859" s="46"/>
      <c r="B859" s="80"/>
      <c r="C859" s="80"/>
      <c r="D859" s="80"/>
      <c r="E859" s="259"/>
      <c r="F859" s="250"/>
      <c r="H859" s="8"/>
      <c r="I859" s="205"/>
      <c r="J859" s="201"/>
    </row>
    <row r="860" spans="1:10" x14ac:dyDescent="0.3">
      <c r="A860" s="46"/>
      <c r="B860" s="80"/>
      <c r="C860" s="80"/>
      <c r="D860" s="80"/>
      <c r="E860" s="259"/>
      <c r="F860" s="250"/>
      <c r="H860" s="8"/>
      <c r="I860" s="205"/>
      <c r="J860" s="201"/>
    </row>
    <row r="861" spans="1:10" x14ac:dyDescent="0.3">
      <c r="A861" s="50"/>
      <c r="B861" s="251"/>
      <c r="C861" s="251"/>
      <c r="D861" s="251"/>
      <c r="E861" s="273"/>
      <c r="F861" s="252"/>
      <c r="H861" s="11"/>
      <c r="I861" s="210"/>
      <c r="J861" s="211"/>
    </row>
    <row r="862" spans="1:10" x14ac:dyDescent="0.3">
      <c r="A862" s="55"/>
      <c r="E862" s="235"/>
      <c r="H862" s="246"/>
      <c r="I862" s="269"/>
      <c r="J862" s="269"/>
    </row>
    <row r="863" spans="1:10" x14ac:dyDescent="0.3">
      <c r="A863" s="55"/>
      <c r="E863" s="235"/>
      <c r="H863" s="246"/>
      <c r="I863" s="269"/>
      <c r="J863" s="269"/>
    </row>
    <row r="864" spans="1:10" x14ac:dyDescent="0.3">
      <c r="A864" s="55"/>
      <c r="E864" s="235"/>
      <c r="H864" s="246"/>
      <c r="I864" s="269"/>
      <c r="J864" s="269"/>
    </row>
    <row r="865" spans="1:10" x14ac:dyDescent="0.3">
      <c r="A865" s="55"/>
      <c r="E865" s="235"/>
      <c r="H865" s="246"/>
      <c r="I865" s="269"/>
      <c r="J865" s="269"/>
    </row>
    <row r="866" spans="1:10" x14ac:dyDescent="0.3">
      <c r="A866" s="55"/>
      <c r="E866" s="235"/>
      <c r="H866" s="246"/>
      <c r="I866" s="269"/>
      <c r="J866" s="269"/>
    </row>
    <row r="867" spans="1:10" x14ac:dyDescent="0.3">
      <c r="A867" s="55"/>
      <c r="E867" s="235"/>
      <c r="H867" s="246"/>
      <c r="I867" s="269"/>
      <c r="J867" s="269"/>
    </row>
    <row r="868" spans="1:10" x14ac:dyDescent="0.3">
      <c r="A868" s="55"/>
      <c r="E868" s="235"/>
      <c r="H868" s="246"/>
      <c r="I868" s="269"/>
      <c r="J868" s="269"/>
    </row>
    <row r="869" spans="1:10" x14ac:dyDescent="0.3">
      <c r="A869" s="55"/>
      <c r="E869" s="235"/>
      <c r="H869" s="246"/>
      <c r="I869" s="269"/>
      <c r="J869" s="269"/>
    </row>
    <row r="870" spans="1:10" x14ac:dyDescent="0.3">
      <c r="A870" s="55"/>
      <c r="E870" s="235"/>
      <c r="H870" s="246"/>
      <c r="I870" s="269"/>
      <c r="J870" s="269"/>
    </row>
    <row r="871" spans="1:10" x14ac:dyDescent="0.3">
      <c r="A871" s="55"/>
      <c r="E871" s="235"/>
      <c r="H871" s="246"/>
      <c r="I871" s="269"/>
      <c r="J871" s="269"/>
    </row>
    <row r="872" spans="1:10" x14ac:dyDescent="0.3">
      <c r="A872" s="55"/>
      <c r="E872" s="235"/>
      <c r="H872" s="246"/>
      <c r="I872" s="269"/>
      <c r="J872" s="269"/>
    </row>
    <row r="873" spans="1:10" x14ac:dyDescent="0.3">
      <c r="A873" s="55"/>
      <c r="E873" s="235"/>
      <c r="H873" s="246"/>
      <c r="I873" s="269"/>
      <c r="J873" s="269"/>
    </row>
    <row r="874" spans="1:10" x14ac:dyDescent="0.3">
      <c r="A874" s="55"/>
      <c r="E874" s="235"/>
      <c r="H874" s="246"/>
      <c r="I874" s="269"/>
      <c r="J874" s="269"/>
    </row>
    <row r="875" spans="1:10" x14ac:dyDescent="0.3">
      <c r="A875" s="55"/>
      <c r="E875" s="235"/>
      <c r="H875" s="246"/>
      <c r="I875" s="269"/>
      <c r="J875" s="269"/>
    </row>
    <row r="876" spans="1:10" x14ac:dyDescent="0.3">
      <c r="A876" s="55"/>
      <c r="E876" s="235"/>
      <c r="H876" s="246"/>
      <c r="I876" s="269"/>
      <c r="J876" s="269"/>
    </row>
    <row r="877" spans="1:10" x14ac:dyDescent="0.3">
      <c r="A877" s="55"/>
      <c r="E877" s="235"/>
      <c r="H877" s="246"/>
      <c r="I877" s="269"/>
      <c r="J877" s="269"/>
    </row>
    <row r="878" spans="1:10" x14ac:dyDescent="0.3">
      <c r="A878" s="55"/>
      <c r="E878" s="235"/>
      <c r="H878" s="246"/>
      <c r="I878" s="269"/>
      <c r="J878" s="269"/>
    </row>
    <row r="879" spans="1:10" x14ac:dyDescent="0.3">
      <c r="A879" s="55"/>
      <c r="E879" s="235"/>
      <c r="H879" s="246"/>
      <c r="I879" s="269"/>
      <c r="J879" s="269"/>
    </row>
    <row r="880" spans="1:10" x14ac:dyDescent="0.3">
      <c r="A880" s="55"/>
      <c r="E880" s="235"/>
      <c r="H880" s="246"/>
      <c r="I880" s="269"/>
      <c r="J880" s="269"/>
    </row>
    <row r="881" spans="1:10" x14ac:dyDescent="0.3">
      <c r="A881" s="55"/>
      <c r="E881" s="235"/>
      <c r="H881" s="246"/>
      <c r="I881" s="269"/>
      <c r="J881" s="269"/>
    </row>
    <row r="882" spans="1:10" x14ac:dyDescent="0.3">
      <c r="A882" s="55"/>
      <c r="E882" s="235"/>
      <c r="H882" s="246"/>
      <c r="I882" s="269"/>
      <c r="J882" s="269"/>
    </row>
    <row r="883" spans="1:10" x14ac:dyDescent="0.3">
      <c r="A883" s="55"/>
      <c r="E883" s="235"/>
      <c r="H883" s="246"/>
      <c r="I883" s="269"/>
      <c r="J883" s="269"/>
    </row>
    <row r="884" spans="1:10" x14ac:dyDescent="0.3">
      <c r="A884" s="55"/>
      <c r="E884" s="235"/>
      <c r="H884" s="246"/>
      <c r="I884" s="269"/>
      <c r="J884" s="269"/>
    </row>
    <row r="885" spans="1:10" x14ac:dyDescent="0.3">
      <c r="A885" s="55"/>
      <c r="E885" s="235"/>
      <c r="H885" s="246"/>
      <c r="I885" s="269"/>
      <c r="J885" s="269"/>
    </row>
    <row r="886" spans="1:10" x14ac:dyDescent="0.3">
      <c r="A886" s="55"/>
      <c r="E886" s="235"/>
      <c r="H886" s="246"/>
      <c r="I886" s="269"/>
      <c r="J886" s="269"/>
    </row>
    <row r="887" spans="1:10" x14ac:dyDescent="0.3">
      <c r="A887" s="55"/>
      <c r="E887" s="235"/>
      <c r="H887" s="246"/>
      <c r="I887" s="269"/>
      <c r="J887" s="269"/>
    </row>
    <row r="888" spans="1:10" x14ac:dyDescent="0.3">
      <c r="A888" s="55"/>
      <c r="E888" s="235"/>
      <c r="H888" s="246"/>
      <c r="I888" s="269"/>
      <c r="J888" s="269"/>
    </row>
    <row r="889" spans="1:10" x14ac:dyDescent="0.3">
      <c r="A889" s="55"/>
      <c r="E889" s="235"/>
      <c r="H889" s="246"/>
      <c r="I889" s="269"/>
      <c r="J889" s="269"/>
    </row>
    <row r="890" spans="1:10" x14ac:dyDescent="0.3">
      <c r="A890" s="55"/>
      <c r="E890" s="235"/>
      <c r="H890" s="246"/>
      <c r="I890" s="269"/>
      <c r="J890" s="269"/>
    </row>
    <row r="891" spans="1:10" x14ac:dyDescent="0.3">
      <c r="A891" s="55"/>
      <c r="E891" s="235"/>
      <c r="H891" s="246"/>
      <c r="I891" s="269"/>
      <c r="J891" s="269"/>
    </row>
    <row r="892" spans="1:10" x14ac:dyDescent="0.3">
      <c r="A892" s="55"/>
      <c r="E892" s="235"/>
      <c r="H892" s="246"/>
      <c r="I892" s="269"/>
      <c r="J892" s="269"/>
    </row>
    <row r="893" spans="1:10" x14ac:dyDescent="0.3">
      <c r="A893" s="55"/>
      <c r="E893" s="235"/>
      <c r="H893" s="246"/>
      <c r="I893" s="269"/>
      <c r="J893" s="269"/>
    </row>
    <row r="894" spans="1:10" x14ac:dyDescent="0.3">
      <c r="A894" s="55"/>
      <c r="E894" s="235"/>
      <c r="H894" s="246"/>
      <c r="I894" s="269"/>
      <c r="J894" s="269"/>
    </row>
    <row r="895" spans="1:10" x14ac:dyDescent="0.3">
      <c r="A895" s="55"/>
      <c r="E895" s="235"/>
      <c r="H895" s="246"/>
      <c r="I895" s="269"/>
      <c r="J895" s="269"/>
    </row>
    <row r="896" spans="1:10" x14ac:dyDescent="0.3">
      <c r="A896" s="55"/>
      <c r="E896" s="235"/>
      <c r="H896" s="246"/>
      <c r="I896" s="269"/>
      <c r="J896" s="269"/>
    </row>
    <row r="897" spans="1:10" x14ac:dyDescent="0.3">
      <c r="A897" s="55"/>
      <c r="E897" s="235"/>
      <c r="H897" s="246"/>
      <c r="I897" s="269"/>
      <c r="J897" s="269"/>
    </row>
    <row r="898" spans="1:10" x14ac:dyDescent="0.3">
      <c r="A898" s="55"/>
      <c r="E898" s="235"/>
      <c r="H898" s="246"/>
      <c r="I898" s="269"/>
      <c r="J898" s="269"/>
    </row>
    <row r="899" spans="1:10" x14ac:dyDescent="0.3">
      <c r="A899" s="55"/>
      <c r="E899" s="235"/>
      <c r="H899" s="246"/>
      <c r="I899" s="269"/>
      <c r="J899" s="269"/>
    </row>
    <row r="900" spans="1:10" x14ac:dyDescent="0.3">
      <c r="A900" s="55"/>
      <c r="E900" s="235"/>
      <c r="H900" s="246"/>
      <c r="I900" s="269"/>
      <c r="J900" s="269"/>
    </row>
    <row r="901" spans="1:10" x14ac:dyDescent="0.3">
      <c r="A901" s="55"/>
      <c r="E901" s="235"/>
      <c r="H901" s="246"/>
      <c r="I901" s="269"/>
      <c r="J901" s="269"/>
    </row>
    <row r="902" spans="1:10" x14ac:dyDescent="0.3">
      <c r="A902" s="55"/>
      <c r="E902" s="235"/>
      <c r="H902" s="246"/>
      <c r="I902" s="269"/>
      <c r="J902" s="269"/>
    </row>
    <row r="903" spans="1:10" x14ac:dyDescent="0.3">
      <c r="A903" s="55"/>
      <c r="E903" s="235"/>
      <c r="H903" s="246"/>
      <c r="I903" s="269"/>
      <c r="J903" s="269"/>
    </row>
    <row r="904" spans="1:10" x14ac:dyDescent="0.3">
      <c r="A904" s="55"/>
      <c r="E904" s="235"/>
      <c r="H904" s="246"/>
      <c r="I904" s="269"/>
      <c r="J904" s="269"/>
    </row>
    <row r="905" spans="1:10" x14ac:dyDescent="0.3">
      <c r="A905" s="55"/>
      <c r="E905" s="235"/>
      <c r="H905" s="246"/>
      <c r="I905" s="269"/>
      <c r="J905" s="269"/>
    </row>
    <row r="906" spans="1:10" x14ac:dyDescent="0.3">
      <c r="A906" s="55"/>
      <c r="E906" s="235"/>
      <c r="H906" s="246"/>
      <c r="I906" s="269"/>
      <c r="J906" s="269"/>
    </row>
    <row r="907" spans="1:10" x14ac:dyDescent="0.3">
      <c r="A907" s="55"/>
      <c r="E907" s="235"/>
      <c r="H907" s="246"/>
      <c r="I907" s="269"/>
      <c r="J907" s="269"/>
    </row>
    <row r="908" spans="1:10" x14ac:dyDescent="0.3">
      <c r="A908" s="55"/>
      <c r="E908" s="235"/>
      <c r="H908" s="246"/>
      <c r="I908" s="269"/>
      <c r="J908" s="269"/>
    </row>
    <row r="909" spans="1:10" x14ac:dyDescent="0.3">
      <c r="A909" s="55"/>
      <c r="E909" s="235"/>
      <c r="H909" s="246"/>
      <c r="I909" s="269"/>
      <c r="J909" s="269"/>
    </row>
    <row r="910" spans="1:10" x14ac:dyDescent="0.3">
      <c r="A910" s="55"/>
      <c r="E910" s="235"/>
      <c r="H910" s="246"/>
      <c r="I910" s="269"/>
      <c r="J910" s="269"/>
    </row>
    <row r="911" spans="1:10" x14ac:dyDescent="0.3">
      <c r="A911" s="55"/>
      <c r="E911" s="235"/>
      <c r="H911" s="246"/>
      <c r="I911" s="269"/>
      <c r="J911" s="269"/>
    </row>
    <row r="912" spans="1:10" x14ac:dyDescent="0.3">
      <c r="A912" s="55"/>
      <c r="E912" s="235"/>
      <c r="H912" s="246"/>
      <c r="I912" s="269"/>
      <c r="J912" s="269"/>
    </row>
    <row r="913" spans="1:10" x14ac:dyDescent="0.3">
      <c r="A913" s="55"/>
      <c r="E913" s="235"/>
      <c r="H913" s="246"/>
      <c r="I913" s="269"/>
      <c r="J913" s="269"/>
    </row>
    <row r="914" spans="1:10" x14ac:dyDescent="0.3">
      <c r="A914" s="55"/>
      <c r="E914" s="235"/>
      <c r="H914" s="246"/>
      <c r="I914" s="269"/>
      <c r="J914" s="269"/>
    </row>
    <row r="915" spans="1:10" x14ac:dyDescent="0.3">
      <c r="A915" s="55"/>
      <c r="E915" s="235"/>
      <c r="H915" s="246"/>
      <c r="I915" s="269"/>
      <c r="J915" s="269"/>
    </row>
    <row r="916" spans="1:10" x14ac:dyDescent="0.3">
      <c r="A916" s="55"/>
      <c r="E916" s="235"/>
      <c r="H916" s="246"/>
      <c r="I916" s="269"/>
      <c r="J916" s="269"/>
    </row>
    <row r="917" spans="1:10" x14ac:dyDescent="0.3">
      <c r="A917" s="55"/>
      <c r="E917" s="235"/>
      <c r="H917" s="246"/>
      <c r="I917" s="269"/>
      <c r="J917" s="269"/>
    </row>
    <row r="918" spans="1:10" x14ac:dyDescent="0.3">
      <c r="A918" s="55"/>
      <c r="E918" s="235"/>
      <c r="H918" s="246"/>
      <c r="I918" s="269"/>
      <c r="J918" s="269"/>
    </row>
    <row r="919" spans="1:10" x14ac:dyDescent="0.3">
      <c r="A919" s="55"/>
      <c r="E919" s="235"/>
      <c r="H919" s="246"/>
      <c r="I919" s="269"/>
      <c r="J919" s="269"/>
    </row>
    <row r="920" spans="1:10" x14ac:dyDescent="0.3">
      <c r="A920" s="55"/>
      <c r="E920" s="235"/>
      <c r="H920" s="246"/>
      <c r="I920" s="269"/>
      <c r="J920" s="269"/>
    </row>
    <row r="921" spans="1:10" x14ac:dyDescent="0.3">
      <c r="A921" s="55"/>
      <c r="E921" s="235"/>
      <c r="H921" s="246"/>
      <c r="I921" s="269"/>
      <c r="J921" s="269"/>
    </row>
    <row r="922" spans="1:10" x14ac:dyDescent="0.3">
      <c r="A922" s="55"/>
      <c r="E922" s="235"/>
      <c r="H922" s="246"/>
      <c r="I922" s="269"/>
      <c r="J922" s="269"/>
    </row>
    <row r="923" spans="1:10" x14ac:dyDescent="0.3">
      <c r="A923" s="55"/>
      <c r="E923" s="235"/>
      <c r="H923" s="246"/>
      <c r="I923" s="269"/>
      <c r="J923" s="269"/>
    </row>
    <row r="924" spans="1:10" x14ac:dyDescent="0.3">
      <c r="A924" s="55"/>
      <c r="E924" s="235"/>
      <c r="H924" s="246"/>
      <c r="I924" s="269"/>
      <c r="J924" s="269"/>
    </row>
    <row r="925" spans="1:10" x14ac:dyDescent="0.3">
      <c r="A925" s="55"/>
      <c r="E925" s="235"/>
      <c r="H925" s="246"/>
      <c r="I925" s="269"/>
      <c r="J925" s="269"/>
    </row>
    <row r="926" spans="1:10" x14ac:dyDescent="0.3">
      <c r="A926" s="55"/>
      <c r="E926" s="235"/>
      <c r="H926" s="246"/>
      <c r="I926" s="269"/>
      <c r="J926" s="269"/>
    </row>
    <row r="927" spans="1:10" x14ac:dyDescent="0.3">
      <c r="A927" s="55"/>
      <c r="E927" s="235"/>
      <c r="H927" s="246"/>
      <c r="I927" s="269"/>
      <c r="J927" s="269"/>
    </row>
    <row r="928" spans="1:10" x14ac:dyDescent="0.3">
      <c r="A928" s="55"/>
      <c r="E928" s="235"/>
      <c r="H928" s="246"/>
      <c r="I928" s="269"/>
      <c r="J928" s="269"/>
    </row>
    <row r="929" spans="1:10" x14ac:dyDescent="0.3">
      <c r="A929" s="55"/>
      <c r="E929" s="235"/>
      <c r="H929" s="246"/>
      <c r="I929" s="269"/>
      <c r="J929" s="269"/>
    </row>
    <row r="930" spans="1:10" x14ac:dyDescent="0.3">
      <c r="A930" s="55"/>
      <c r="E930" s="235"/>
      <c r="H930" s="246"/>
      <c r="I930" s="269"/>
      <c r="J930" s="269"/>
    </row>
    <row r="931" spans="1:10" x14ac:dyDescent="0.3">
      <c r="A931" s="55"/>
      <c r="E931" s="235"/>
      <c r="H931" s="246"/>
      <c r="I931" s="269"/>
      <c r="J931" s="269"/>
    </row>
    <row r="932" spans="1:10" x14ac:dyDescent="0.3">
      <c r="A932" s="55"/>
      <c r="E932" s="235"/>
      <c r="H932" s="246"/>
      <c r="I932" s="269"/>
      <c r="J932" s="269"/>
    </row>
    <row r="933" spans="1:10" x14ac:dyDescent="0.3">
      <c r="A933" s="55"/>
      <c r="E933" s="235"/>
      <c r="H933" s="246"/>
      <c r="I933" s="269"/>
      <c r="J933" s="269"/>
    </row>
    <row r="934" spans="1:10" x14ac:dyDescent="0.3">
      <c r="A934" s="55"/>
      <c r="E934" s="235"/>
      <c r="H934" s="246"/>
      <c r="I934" s="269"/>
      <c r="J934" s="269"/>
    </row>
    <row r="935" spans="1:10" x14ac:dyDescent="0.3">
      <c r="A935" s="55"/>
      <c r="E935" s="235"/>
      <c r="H935" s="246"/>
      <c r="I935" s="269"/>
      <c r="J935" s="269"/>
    </row>
    <row r="936" spans="1:10" x14ac:dyDescent="0.3">
      <c r="A936" s="55"/>
      <c r="E936" s="235"/>
      <c r="H936" s="246"/>
      <c r="I936" s="269"/>
      <c r="J936" s="269"/>
    </row>
    <row r="937" spans="1:10" x14ac:dyDescent="0.3">
      <c r="A937" s="55"/>
      <c r="E937" s="235"/>
      <c r="H937" s="246"/>
      <c r="I937" s="269"/>
      <c r="J937" s="269"/>
    </row>
    <row r="938" spans="1:10" x14ac:dyDescent="0.3">
      <c r="A938" s="55"/>
      <c r="E938" s="235"/>
      <c r="H938" s="246"/>
      <c r="I938" s="269"/>
      <c r="J938" s="269"/>
    </row>
    <row r="939" spans="1:10" x14ac:dyDescent="0.3">
      <c r="A939" s="55"/>
      <c r="E939" s="235"/>
      <c r="H939" s="246"/>
      <c r="I939" s="269"/>
      <c r="J939" s="269"/>
    </row>
    <row r="940" spans="1:10" x14ac:dyDescent="0.3">
      <c r="A940" s="55"/>
      <c r="E940" s="235"/>
      <c r="H940" s="246"/>
      <c r="I940" s="269"/>
      <c r="J940" s="269"/>
    </row>
    <row r="941" spans="1:10" x14ac:dyDescent="0.3">
      <c r="A941" s="55"/>
      <c r="E941" s="235"/>
      <c r="H941" s="246"/>
      <c r="I941" s="269"/>
      <c r="J941" s="269"/>
    </row>
    <row r="942" spans="1:10" x14ac:dyDescent="0.3">
      <c r="A942" s="55"/>
      <c r="E942" s="235"/>
      <c r="H942" s="246"/>
      <c r="I942" s="269"/>
      <c r="J942" s="269"/>
    </row>
    <row r="943" spans="1:10" x14ac:dyDescent="0.3">
      <c r="A943" s="55"/>
      <c r="E943" s="235"/>
      <c r="H943" s="246"/>
      <c r="I943" s="269"/>
      <c r="J943" s="269"/>
    </row>
    <row r="944" spans="1:10" x14ac:dyDescent="0.3">
      <c r="A944" s="55"/>
      <c r="E944" s="235"/>
      <c r="H944" s="246"/>
      <c r="I944" s="269"/>
      <c r="J944" s="269"/>
    </row>
    <row r="945" spans="1:10" x14ac:dyDescent="0.3">
      <c r="A945" s="55"/>
      <c r="E945" s="235"/>
      <c r="H945" s="246"/>
      <c r="I945" s="269"/>
      <c r="J945" s="269"/>
    </row>
    <row r="946" spans="1:10" x14ac:dyDescent="0.3">
      <c r="A946" s="55"/>
      <c r="E946" s="235"/>
      <c r="H946" s="246"/>
      <c r="I946" s="269"/>
      <c r="J946" s="269"/>
    </row>
    <row r="947" spans="1:10" x14ac:dyDescent="0.3">
      <c r="A947" s="55"/>
      <c r="E947" s="235"/>
      <c r="H947" s="246"/>
      <c r="I947" s="269"/>
      <c r="J947" s="269"/>
    </row>
    <row r="948" spans="1:10" x14ac:dyDescent="0.3">
      <c r="A948" s="55"/>
      <c r="E948" s="235"/>
      <c r="H948" s="246"/>
      <c r="I948" s="269"/>
      <c r="J948" s="269"/>
    </row>
    <row r="949" spans="1:10" x14ac:dyDescent="0.3">
      <c r="A949" s="55"/>
      <c r="E949" s="235"/>
      <c r="H949" s="246"/>
      <c r="I949" s="269"/>
      <c r="J949" s="269"/>
    </row>
    <row r="950" spans="1:10" x14ac:dyDescent="0.3">
      <c r="A950" s="55"/>
      <c r="E950" s="235"/>
      <c r="H950" s="246"/>
      <c r="I950" s="269"/>
      <c r="J950" s="269"/>
    </row>
    <row r="951" spans="1:10" x14ac:dyDescent="0.3">
      <c r="A951" s="55"/>
      <c r="E951" s="235"/>
      <c r="H951" s="246"/>
      <c r="I951" s="269"/>
      <c r="J951" s="269"/>
    </row>
    <row r="952" spans="1:10" x14ac:dyDescent="0.3">
      <c r="A952" s="55"/>
      <c r="E952" s="235"/>
      <c r="H952" s="246"/>
      <c r="I952" s="269"/>
      <c r="J952" s="269"/>
    </row>
    <row r="953" spans="1:10" x14ac:dyDescent="0.3">
      <c r="A953" s="55"/>
      <c r="E953" s="235"/>
      <c r="H953" s="246"/>
      <c r="I953" s="269"/>
      <c r="J953" s="269"/>
    </row>
    <row r="954" spans="1:10" x14ac:dyDescent="0.3">
      <c r="A954" s="55"/>
      <c r="E954" s="235"/>
      <c r="H954" s="246"/>
      <c r="I954" s="269"/>
      <c r="J954" s="269"/>
    </row>
    <row r="955" spans="1:10" x14ac:dyDescent="0.3">
      <c r="A955" s="55"/>
      <c r="E955" s="235"/>
      <c r="H955" s="246"/>
      <c r="I955" s="269"/>
      <c r="J955" s="269"/>
    </row>
    <row r="956" spans="1:10" x14ac:dyDescent="0.3">
      <c r="A956" s="55"/>
      <c r="E956" s="235"/>
      <c r="H956" s="246"/>
      <c r="I956" s="269"/>
      <c r="J956" s="269"/>
    </row>
    <row r="957" spans="1:10" x14ac:dyDescent="0.3">
      <c r="A957" s="55"/>
      <c r="E957" s="235"/>
      <c r="H957" s="246"/>
      <c r="I957" s="269"/>
      <c r="J957" s="269"/>
    </row>
    <row r="958" spans="1:10" x14ac:dyDescent="0.3">
      <c r="A958" s="55"/>
      <c r="E958" s="235"/>
      <c r="H958" s="246"/>
      <c r="I958" s="269"/>
      <c r="J958" s="269"/>
    </row>
    <row r="959" spans="1:10" x14ac:dyDescent="0.3">
      <c r="A959" s="55"/>
      <c r="E959" s="235"/>
      <c r="H959" s="246"/>
      <c r="I959" s="269"/>
      <c r="J959" s="269"/>
    </row>
    <row r="960" spans="1:10" x14ac:dyDescent="0.3">
      <c r="A960" s="55"/>
      <c r="E960" s="235"/>
      <c r="H960" s="246"/>
      <c r="I960" s="269"/>
      <c r="J960" s="269"/>
    </row>
    <row r="961" spans="1:10" x14ac:dyDescent="0.3">
      <c r="A961" s="55"/>
      <c r="E961" s="235"/>
      <c r="H961" s="246"/>
      <c r="I961" s="269"/>
      <c r="J961" s="269"/>
    </row>
    <row r="962" spans="1:10" x14ac:dyDescent="0.3">
      <c r="A962" s="55"/>
      <c r="E962" s="235"/>
      <c r="H962" s="246"/>
      <c r="I962" s="269"/>
      <c r="J962" s="269"/>
    </row>
    <row r="963" spans="1:10" x14ac:dyDescent="0.3">
      <c r="A963" s="55"/>
      <c r="E963" s="235"/>
      <c r="H963" s="246"/>
      <c r="I963" s="269"/>
      <c r="J963" s="269"/>
    </row>
    <row r="964" spans="1:10" x14ac:dyDescent="0.3">
      <c r="A964" s="55"/>
      <c r="E964" s="235"/>
      <c r="H964" s="246"/>
      <c r="I964" s="269"/>
      <c r="J964" s="269"/>
    </row>
    <row r="965" spans="1:10" x14ac:dyDescent="0.3">
      <c r="A965" s="55"/>
      <c r="E965" s="235"/>
      <c r="H965" s="246"/>
      <c r="I965" s="269"/>
      <c r="J965" s="269"/>
    </row>
    <row r="966" spans="1:10" x14ac:dyDescent="0.3">
      <c r="A966" s="55"/>
      <c r="E966" s="235"/>
      <c r="H966" s="246"/>
      <c r="I966" s="269"/>
      <c r="J966" s="269"/>
    </row>
    <row r="967" spans="1:10" x14ac:dyDescent="0.3">
      <c r="A967" s="55"/>
      <c r="E967" s="235"/>
      <c r="H967" s="246"/>
      <c r="I967" s="269"/>
      <c r="J967" s="269"/>
    </row>
    <row r="968" spans="1:10" x14ac:dyDescent="0.3">
      <c r="A968" s="55"/>
      <c r="E968" s="235"/>
      <c r="H968" s="246"/>
      <c r="I968" s="269"/>
      <c r="J968" s="269"/>
    </row>
    <row r="969" spans="1:10" x14ac:dyDescent="0.3">
      <c r="A969" s="55"/>
      <c r="E969" s="235"/>
      <c r="H969" s="246"/>
      <c r="I969" s="269"/>
      <c r="J969" s="269"/>
    </row>
    <row r="970" spans="1:10" x14ac:dyDescent="0.3">
      <c r="A970" s="55"/>
      <c r="E970" s="235"/>
      <c r="I970" s="235"/>
      <c r="J970" s="235"/>
    </row>
    <row r="971" spans="1:10" x14ac:dyDescent="0.3">
      <c r="A971" s="55"/>
      <c r="E971" s="235"/>
      <c r="I971" s="235"/>
      <c r="J971" s="235"/>
    </row>
    <row r="972" spans="1:10" x14ac:dyDescent="0.3">
      <c r="A972" s="55"/>
      <c r="E972" s="235"/>
      <c r="I972" s="235"/>
      <c r="J972" s="235"/>
    </row>
    <row r="973" spans="1:10" x14ac:dyDescent="0.3">
      <c r="A973" s="55"/>
      <c r="E973" s="235"/>
      <c r="I973" s="235"/>
      <c r="J973" s="235"/>
    </row>
    <row r="974" spans="1:10" x14ac:dyDescent="0.3">
      <c r="A974" s="55"/>
      <c r="E974" s="235"/>
      <c r="I974" s="235"/>
      <c r="J974" s="235"/>
    </row>
    <row r="975" spans="1:10" x14ac:dyDescent="0.3">
      <c r="A975" s="55"/>
      <c r="E975" s="235"/>
      <c r="I975" s="235"/>
      <c r="J975" s="235"/>
    </row>
    <row r="976" spans="1:10" x14ac:dyDescent="0.3">
      <c r="A976" s="55"/>
      <c r="E976" s="235"/>
      <c r="I976" s="235"/>
      <c r="J976" s="235"/>
    </row>
    <row r="977" spans="1:10" x14ac:dyDescent="0.3">
      <c r="A977" s="55"/>
      <c r="E977" s="235"/>
      <c r="I977" s="235"/>
      <c r="J977" s="235"/>
    </row>
    <row r="978" spans="1:10" x14ac:dyDescent="0.3">
      <c r="A978" s="55"/>
      <c r="E978" s="235"/>
      <c r="I978" s="235"/>
      <c r="J978" s="235"/>
    </row>
    <row r="979" spans="1:10" x14ac:dyDescent="0.3">
      <c r="A979" s="55"/>
      <c r="E979" s="235"/>
      <c r="I979" s="235"/>
      <c r="J979" s="235"/>
    </row>
    <row r="980" spans="1:10" x14ac:dyDescent="0.3">
      <c r="A980" s="55"/>
      <c r="E980" s="235"/>
      <c r="I980" s="235"/>
      <c r="J980" s="235"/>
    </row>
    <row r="981" spans="1:10" x14ac:dyDescent="0.3">
      <c r="A981" s="55"/>
      <c r="E981" s="235"/>
      <c r="I981" s="235"/>
      <c r="J981" s="235"/>
    </row>
    <row r="982" spans="1:10" x14ac:dyDescent="0.3">
      <c r="A982" s="55"/>
      <c r="E982" s="235"/>
      <c r="I982" s="235"/>
      <c r="J982" s="235"/>
    </row>
    <row r="983" spans="1:10" x14ac:dyDescent="0.3">
      <c r="A983" s="55"/>
      <c r="E983" s="235"/>
      <c r="I983" s="235"/>
      <c r="J983" s="235"/>
    </row>
    <row r="984" spans="1:10" x14ac:dyDescent="0.3">
      <c r="A984" s="55"/>
      <c r="E984" s="235"/>
      <c r="I984" s="235"/>
      <c r="J984" s="235"/>
    </row>
    <row r="985" spans="1:10" x14ac:dyDescent="0.3">
      <c r="A985" s="55"/>
      <c r="E985" s="235"/>
      <c r="I985" s="235"/>
      <c r="J985" s="235"/>
    </row>
    <row r="986" spans="1:10" x14ac:dyDescent="0.3">
      <c r="A986" s="55"/>
      <c r="E986" s="235"/>
      <c r="I986" s="235"/>
      <c r="J986" s="235"/>
    </row>
    <row r="987" spans="1:10" x14ac:dyDescent="0.3">
      <c r="A987" s="55"/>
      <c r="E987" s="235"/>
      <c r="I987" s="235"/>
      <c r="J987" s="235"/>
    </row>
    <row r="988" spans="1:10" x14ac:dyDescent="0.3">
      <c r="A988" s="55"/>
      <c r="E988" s="235"/>
      <c r="I988" s="235"/>
      <c r="J988" s="235"/>
    </row>
    <row r="989" spans="1:10" x14ac:dyDescent="0.3">
      <c r="A989" s="55"/>
      <c r="E989" s="235"/>
      <c r="I989" s="235"/>
      <c r="J989" s="235"/>
    </row>
    <row r="990" spans="1:10" x14ac:dyDescent="0.3">
      <c r="A990" s="55"/>
      <c r="E990" s="235"/>
      <c r="I990" s="235"/>
      <c r="J990" s="235"/>
    </row>
    <row r="991" spans="1:10" x14ac:dyDescent="0.3">
      <c r="A991" s="55"/>
      <c r="E991" s="235"/>
      <c r="I991" s="235"/>
      <c r="J991" s="235"/>
    </row>
    <row r="992" spans="1:10" x14ac:dyDescent="0.3">
      <c r="A992" s="55"/>
      <c r="E992" s="235"/>
      <c r="I992" s="235"/>
      <c r="J992" s="235"/>
    </row>
    <row r="993" spans="1:10" x14ac:dyDescent="0.3">
      <c r="A993" s="55"/>
      <c r="E993" s="235"/>
      <c r="I993" s="235"/>
      <c r="J993" s="235"/>
    </row>
    <row r="994" spans="1:10" x14ac:dyDescent="0.3">
      <c r="A994" s="55"/>
      <c r="E994" s="235"/>
      <c r="I994" s="235"/>
      <c r="J994" s="235"/>
    </row>
    <row r="995" spans="1:10" x14ac:dyDescent="0.3">
      <c r="A995" s="55"/>
      <c r="E995" s="235"/>
      <c r="I995" s="235"/>
      <c r="J995" s="235"/>
    </row>
    <row r="996" spans="1:10" x14ac:dyDescent="0.3">
      <c r="A996" s="55"/>
      <c r="E996" s="235"/>
      <c r="I996" s="235"/>
      <c r="J996" s="235"/>
    </row>
    <row r="997" spans="1:10" x14ac:dyDescent="0.3">
      <c r="A997" s="55"/>
      <c r="E997" s="235"/>
      <c r="I997" s="235"/>
      <c r="J997" s="235"/>
    </row>
    <row r="998" spans="1:10" x14ac:dyDescent="0.3">
      <c r="A998" s="55"/>
      <c r="E998" s="235"/>
      <c r="I998" s="235"/>
      <c r="J998" s="235"/>
    </row>
    <row r="999" spans="1:10" x14ac:dyDescent="0.3">
      <c r="A999" s="55"/>
      <c r="E999" s="235"/>
      <c r="I999" s="235"/>
      <c r="J999" s="235"/>
    </row>
    <row r="1000" spans="1:10" x14ac:dyDescent="0.3">
      <c r="A1000" s="55"/>
      <c r="E1000" s="235"/>
      <c r="I1000" s="235"/>
      <c r="J1000" s="235"/>
    </row>
    <row r="1001" spans="1:10" x14ac:dyDescent="0.3">
      <c r="A1001" s="55"/>
      <c r="E1001" s="235"/>
      <c r="I1001" s="235"/>
      <c r="J1001" s="235"/>
    </row>
    <row r="1002" spans="1:10" x14ac:dyDescent="0.3">
      <c r="A1002" s="55"/>
      <c r="E1002" s="235"/>
      <c r="I1002" s="235"/>
      <c r="J1002" s="235"/>
    </row>
    <row r="1003" spans="1:10" x14ac:dyDescent="0.3">
      <c r="A1003" s="55"/>
      <c r="E1003" s="235"/>
      <c r="I1003" s="235"/>
      <c r="J1003" s="235"/>
    </row>
    <row r="1004" spans="1:10" x14ac:dyDescent="0.3">
      <c r="A1004" s="55"/>
      <c r="E1004" s="235"/>
      <c r="I1004" s="235"/>
      <c r="J1004" s="235"/>
    </row>
    <row r="1005" spans="1:10" x14ac:dyDescent="0.3">
      <c r="A1005" s="55"/>
      <c r="E1005" s="235"/>
      <c r="I1005" s="235"/>
      <c r="J1005" s="235"/>
    </row>
    <row r="1006" spans="1:10" x14ac:dyDescent="0.3">
      <c r="A1006" s="55"/>
      <c r="E1006" s="235"/>
      <c r="I1006" s="235"/>
      <c r="J1006" s="235"/>
    </row>
    <row r="1007" spans="1:10" x14ac:dyDescent="0.3">
      <c r="A1007" s="55"/>
      <c r="E1007" s="235"/>
      <c r="I1007" s="235"/>
      <c r="J1007" s="235"/>
    </row>
    <row r="1008" spans="1:10" x14ac:dyDescent="0.3">
      <c r="A1008" s="55"/>
      <c r="E1008" s="235"/>
      <c r="I1008" s="235"/>
      <c r="J1008" s="235"/>
    </row>
    <row r="1009" spans="1:10" x14ac:dyDescent="0.3">
      <c r="A1009" s="55"/>
      <c r="E1009" s="235"/>
      <c r="I1009" s="235"/>
      <c r="J1009" s="235"/>
    </row>
    <row r="1010" spans="1:10" x14ac:dyDescent="0.3">
      <c r="A1010" s="55"/>
      <c r="E1010" s="235"/>
      <c r="I1010" s="235"/>
      <c r="J1010" s="235"/>
    </row>
    <row r="1011" spans="1:10" x14ac:dyDescent="0.3">
      <c r="A1011" s="55"/>
      <c r="E1011" s="235"/>
      <c r="I1011" s="235"/>
      <c r="J1011" s="235"/>
    </row>
    <row r="1012" spans="1:10" x14ac:dyDescent="0.3">
      <c r="A1012" s="55"/>
      <c r="E1012" s="235"/>
      <c r="I1012" s="235"/>
      <c r="J1012" s="235"/>
    </row>
    <row r="1013" spans="1:10" x14ac:dyDescent="0.3">
      <c r="A1013" s="55"/>
      <c r="E1013" s="235"/>
      <c r="I1013" s="235"/>
      <c r="J1013" s="235"/>
    </row>
    <row r="1014" spans="1:10" x14ac:dyDescent="0.3">
      <c r="A1014" s="55"/>
      <c r="E1014" s="235"/>
      <c r="I1014" s="235"/>
      <c r="J1014" s="235"/>
    </row>
    <row r="1015" spans="1:10" x14ac:dyDescent="0.3">
      <c r="A1015" s="55"/>
      <c r="E1015" s="235"/>
      <c r="I1015" s="235"/>
      <c r="J1015" s="235"/>
    </row>
    <row r="1016" spans="1:10" x14ac:dyDescent="0.3">
      <c r="A1016" s="55"/>
      <c r="E1016" s="235"/>
      <c r="I1016" s="235"/>
      <c r="J1016" s="235"/>
    </row>
    <row r="1017" spans="1:10" x14ac:dyDescent="0.3">
      <c r="A1017" s="55"/>
      <c r="E1017" s="235"/>
      <c r="I1017" s="235"/>
      <c r="J1017" s="235"/>
    </row>
    <row r="1018" spans="1:10" x14ac:dyDescent="0.3">
      <c r="A1018" s="55"/>
      <c r="E1018" s="235"/>
      <c r="I1018" s="235"/>
      <c r="J1018" s="235"/>
    </row>
    <row r="1019" spans="1:10" x14ac:dyDescent="0.3">
      <c r="A1019" s="55"/>
      <c r="E1019" s="235"/>
      <c r="I1019" s="235"/>
      <c r="J1019" s="235"/>
    </row>
    <row r="1020" spans="1:10" x14ac:dyDescent="0.3">
      <c r="A1020" s="55"/>
      <c r="E1020" s="235"/>
      <c r="I1020" s="235"/>
      <c r="J1020" s="235"/>
    </row>
    <row r="1021" spans="1:10" x14ac:dyDescent="0.3">
      <c r="A1021" s="55"/>
      <c r="E1021" s="235"/>
      <c r="I1021" s="235"/>
      <c r="J1021" s="235"/>
    </row>
    <row r="1022" spans="1:10" x14ac:dyDescent="0.3">
      <c r="A1022" s="55"/>
      <c r="E1022" s="235"/>
      <c r="I1022" s="235"/>
      <c r="J1022" s="235"/>
    </row>
    <row r="1023" spans="1:10" x14ac:dyDescent="0.3">
      <c r="A1023" s="55"/>
      <c r="E1023" s="235"/>
      <c r="I1023" s="235"/>
      <c r="J1023" s="235"/>
    </row>
    <row r="1024" spans="1:10" x14ac:dyDescent="0.3">
      <c r="A1024" s="55"/>
      <c r="E1024" s="235"/>
      <c r="I1024" s="235"/>
      <c r="J1024" s="235"/>
    </row>
    <row r="1025" spans="1:10" x14ac:dyDescent="0.3">
      <c r="A1025" s="55"/>
      <c r="E1025" s="235"/>
      <c r="I1025" s="235"/>
      <c r="J1025" s="235"/>
    </row>
    <row r="1026" spans="1:10" x14ac:dyDescent="0.3">
      <c r="A1026" s="55"/>
      <c r="E1026" s="235"/>
      <c r="I1026" s="235"/>
      <c r="J1026" s="235"/>
    </row>
    <row r="1027" spans="1:10" x14ac:dyDescent="0.3">
      <c r="A1027" s="55"/>
      <c r="E1027" s="235"/>
      <c r="I1027" s="235"/>
      <c r="J1027" s="235"/>
    </row>
    <row r="1028" spans="1:10" x14ac:dyDescent="0.3">
      <c r="A1028" s="55"/>
      <c r="E1028" s="235"/>
      <c r="I1028" s="235"/>
      <c r="J1028" s="235"/>
    </row>
    <row r="1029" spans="1:10" x14ac:dyDescent="0.3">
      <c r="A1029" s="55"/>
      <c r="E1029" s="235"/>
      <c r="I1029" s="235"/>
      <c r="J1029" s="235"/>
    </row>
    <row r="1030" spans="1:10" x14ac:dyDescent="0.3">
      <c r="A1030" s="55"/>
      <c r="E1030" s="235"/>
      <c r="I1030" s="235"/>
      <c r="J1030" s="235"/>
    </row>
    <row r="1031" spans="1:10" x14ac:dyDescent="0.3">
      <c r="A1031" s="55"/>
      <c r="E1031" s="235"/>
      <c r="I1031" s="235"/>
      <c r="J1031" s="235"/>
    </row>
    <row r="1032" spans="1:10" x14ac:dyDescent="0.3">
      <c r="A1032" s="55"/>
      <c r="E1032" s="235"/>
      <c r="I1032" s="235"/>
      <c r="J1032" s="235"/>
    </row>
    <row r="1033" spans="1:10" x14ac:dyDescent="0.3">
      <c r="A1033" s="55"/>
      <c r="E1033" s="235"/>
      <c r="I1033" s="235"/>
      <c r="J1033" s="235"/>
    </row>
    <row r="1034" spans="1:10" x14ac:dyDescent="0.3">
      <c r="A1034" s="55"/>
      <c r="E1034" s="235"/>
      <c r="I1034" s="235"/>
      <c r="J1034" s="235"/>
    </row>
    <row r="1035" spans="1:10" x14ac:dyDescent="0.3">
      <c r="A1035" s="55"/>
      <c r="E1035" s="235"/>
      <c r="I1035" s="235"/>
      <c r="J1035" s="235"/>
    </row>
    <row r="1036" spans="1:10" x14ac:dyDescent="0.3">
      <c r="A1036" s="55"/>
      <c r="E1036" s="235"/>
      <c r="I1036" s="235"/>
      <c r="J1036" s="235"/>
    </row>
    <row r="1037" spans="1:10" x14ac:dyDescent="0.3">
      <c r="A1037" s="55"/>
      <c r="E1037" s="235"/>
      <c r="I1037" s="235"/>
      <c r="J1037" s="235"/>
    </row>
    <row r="1038" spans="1:10" x14ac:dyDescent="0.3">
      <c r="A1038" s="55"/>
      <c r="E1038" s="235"/>
      <c r="I1038" s="235"/>
      <c r="J1038" s="235"/>
    </row>
    <row r="1039" spans="1:10" x14ac:dyDescent="0.3">
      <c r="A1039" s="55"/>
      <c r="E1039" s="235"/>
      <c r="I1039" s="235"/>
      <c r="J1039" s="235"/>
    </row>
    <row r="1040" spans="1:10" x14ac:dyDescent="0.3">
      <c r="A1040" s="55"/>
      <c r="E1040" s="235"/>
      <c r="I1040" s="235"/>
      <c r="J1040" s="235"/>
    </row>
    <row r="1041" spans="1:10" x14ac:dyDescent="0.3">
      <c r="A1041" s="55"/>
      <c r="E1041" s="235"/>
      <c r="I1041" s="235"/>
      <c r="J1041" s="235"/>
    </row>
    <row r="1042" spans="1:10" x14ac:dyDescent="0.3">
      <c r="A1042" s="55"/>
      <c r="E1042" s="235"/>
      <c r="I1042" s="235"/>
      <c r="J1042" s="235"/>
    </row>
    <row r="1043" spans="1:10" x14ac:dyDescent="0.3">
      <c r="A1043" s="55"/>
      <c r="E1043" s="235"/>
      <c r="I1043" s="235"/>
      <c r="J1043" s="235"/>
    </row>
    <row r="1044" spans="1:10" x14ac:dyDescent="0.3">
      <c r="A1044" s="55"/>
      <c r="E1044" s="235"/>
      <c r="I1044" s="235"/>
      <c r="J1044" s="235"/>
    </row>
    <row r="1045" spans="1:10" x14ac:dyDescent="0.3">
      <c r="A1045" s="55"/>
      <c r="E1045" s="235"/>
      <c r="I1045" s="235"/>
      <c r="J1045" s="235"/>
    </row>
    <row r="1046" spans="1:10" x14ac:dyDescent="0.3">
      <c r="A1046" s="55"/>
      <c r="E1046" s="235"/>
      <c r="I1046" s="235"/>
      <c r="J1046" s="235"/>
    </row>
    <row r="1047" spans="1:10" x14ac:dyDescent="0.3">
      <c r="A1047" s="55"/>
      <c r="E1047" s="235"/>
      <c r="I1047" s="235"/>
      <c r="J1047" s="235"/>
    </row>
    <row r="1048" spans="1:10" x14ac:dyDescent="0.3">
      <c r="A1048" s="55"/>
      <c r="E1048" s="235"/>
      <c r="I1048" s="235"/>
      <c r="J1048" s="235"/>
    </row>
    <row r="1049" spans="1:10" x14ac:dyDescent="0.3">
      <c r="A1049" s="55"/>
      <c r="E1049" s="235"/>
      <c r="I1049" s="235"/>
      <c r="J1049" s="235"/>
    </row>
    <row r="1050" spans="1:10" x14ac:dyDescent="0.3">
      <c r="A1050" s="55"/>
      <c r="E1050" s="235"/>
      <c r="I1050" s="235"/>
      <c r="J1050" s="235"/>
    </row>
    <row r="1051" spans="1:10" x14ac:dyDescent="0.3">
      <c r="A1051" s="55"/>
      <c r="I1051" s="235"/>
      <c r="J1051" s="235"/>
    </row>
    <row r="1052" spans="1:10" x14ac:dyDescent="0.3">
      <c r="A1052" s="55"/>
      <c r="I1052" s="235"/>
      <c r="J1052" s="235"/>
    </row>
    <row r="1053" spans="1:10" x14ac:dyDescent="0.3">
      <c r="A1053" s="55"/>
      <c r="I1053" s="235"/>
      <c r="J1053" s="235"/>
    </row>
    <row r="1054" spans="1:10" x14ac:dyDescent="0.3">
      <c r="A1054" s="55"/>
      <c r="I1054" s="235"/>
      <c r="J1054" s="235"/>
    </row>
    <row r="1055" spans="1:10" x14ac:dyDescent="0.3">
      <c r="A1055" s="55"/>
      <c r="I1055" s="235"/>
      <c r="J1055" s="235"/>
    </row>
    <row r="1056" spans="1:10" x14ac:dyDescent="0.3">
      <c r="A1056" s="55"/>
      <c r="I1056" s="235"/>
      <c r="J1056" s="235"/>
    </row>
    <row r="1057" spans="1:10" x14ac:dyDescent="0.3">
      <c r="A1057" s="55"/>
      <c r="I1057" s="235"/>
      <c r="J1057" s="235"/>
    </row>
    <row r="1058" spans="1:10" x14ac:dyDescent="0.3">
      <c r="A1058" s="55"/>
      <c r="I1058" s="235"/>
      <c r="J1058" s="235"/>
    </row>
    <row r="1059" spans="1:10" x14ac:dyDescent="0.3">
      <c r="A1059" s="55"/>
      <c r="I1059" s="235"/>
      <c r="J1059" s="235"/>
    </row>
    <row r="1060" spans="1:10" x14ac:dyDescent="0.3">
      <c r="A1060" s="55"/>
      <c r="I1060" s="235"/>
      <c r="J1060" s="235"/>
    </row>
    <row r="1061" spans="1:10" x14ac:dyDescent="0.3">
      <c r="A1061" s="55"/>
      <c r="I1061" s="235"/>
      <c r="J1061" s="235"/>
    </row>
    <row r="1062" spans="1:10" x14ac:dyDescent="0.3">
      <c r="A1062" s="55"/>
      <c r="I1062" s="235"/>
      <c r="J1062" s="235"/>
    </row>
    <row r="1063" spans="1:10" x14ac:dyDescent="0.3">
      <c r="A1063" s="55"/>
      <c r="I1063" s="235"/>
      <c r="J1063" s="235"/>
    </row>
    <row r="1064" spans="1:10" x14ac:dyDescent="0.3">
      <c r="A1064" s="55"/>
      <c r="I1064" s="235"/>
      <c r="J1064" s="235"/>
    </row>
    <row r="1065" spans="1:10" x14ac:dyDescent="0.3">
      <c r="A1065" s="55"/>
      <c r="I1065" s="235"/>
      <c r="J1065" s="235"/>
    </row>
    <row r="1066" spans="1:10" x14ac:dyDescent="0.3">
      <c r="A1066" s="55"/>
      <c r="I1066" s="235"/>
      <c r="J1066" s="235"/>
    </row>
    <row r="1067" spans="1:10" x14ac:dyDescent="0.3">
      <c r="A1067" s="55"/>
      <c r="I1067" s="235"/>
      <c r="J1067" s="235"/>
    </row>
    <row r="1068" spans="1:10" x14ac:dyDescent="0.3">
      <c r="A1068" s="55"/>
      <c r="I1068" s="235"/>
      <c r="J1068" s="235"/>
    </row>
    <row r="1069" spans="1:10" x14ac:dyDescent="0.3">
      <c r="A1069" s="55"/>
      <c r="I1069" s="235"/>
      <c r="J1069" s="235"/>
    </row>
    <row r="1070" spans="1:10" x14ac:dyDescent="0.3">
      <c r="A1070" s="55"/>
      <c r="I1070" s="235"/>
      <c r="J1070" s="235"/>
    </row>
    <row r="1071" spans="1:10" x14ac:dyDescent="0.3">
      <c r="A1071" s="55"/>
      <c r="I1071" s="235"/>
      <c r="J1071" s="235"/>
    </row>
    <row r="1072" spans="1:10" x14ac:dyDescent="0.3">
      <c r="A1072" s="55"/>
      <c r="I1072" s="235"/>
      <c r="J1072" s="235"/>
    </row>
    <row r="1073" spans="1:10" x14ac:dyDescent="0.3">
      <c r="A1073" s="55"/>
      <c r="I1073" s="235"/>
      <c r="J1073" s="235"/>
    </row>
    <row r="1074" spans="1:10" x14ac:dyDescent="0.3">
      <c r="A1074" s="55"/>
      <c r="I1074" s="235"/>
      <c r="J1074" s="235"/>
    </row>
    <row r="1075" spans="1:10" x14ac:dyDescent="0.3">
      <c r="A1075" s="55"/>
      <c r="I1075" s="235"/>
      <c r="J1075" s="235"/>
    </row>
    <row r="1076" spans="1:10" x14ac:dyDescent="0.3">
      <c r="A1076" s="55"/>
      <c r="I1076" s="235"/>
      <c r="J1076" s="235"/>
    </row>
    <row r="1077" spans="1:10" x14ac:dyDescent="0.3">
      <c r="A1077" s="55"/>
      <c r="I1077" s="235"/>
      <c r="J1077" s="235"/>
    </row>
    <row r="1078" spans="1:10" x14ac:dyDescent="0.3">
      <c r="A1078" s="55"/>
      <c r="I1078" s="235"/>
      <c r="J1078" s="235"/>
    </row>
    <row r="1079" spans="1:10" x14ac:dyDescent="0.3">
      <c r="A1079" s="55"/>
      <c r="I1079" s="235"/>
      <c r="J1079" s="235"/>
    </row>
    <row r="1080" spans="1:10" x14ac:dyDescent="0.3">
      <c r="A1080" s="55"/>
      <c r="I1080" s="235"/>
      <c r="J1080" s="235"/>
    </row>
    <row r="1081" spans="1:10" x14ac:dyDescent="0.3">
      <c r="A1081" s="55"/>
      <c r="I1081" s="235"/>
      <c r="J1081" s="235"/>
    </row>
    <row r="1082" spans="1:10" x14ac:dyDescent="0.3">
      <c r="A1082" s="55"/>
      <c r="I1082" s="235"/>
      <c r="J1082" s="235"/>
    </row>
    <row r="1083" spans="1:10" x14ac:dyDescent="0.3">
      <c r="A1083" s="55"/>
      <c r="I1083" s="235"/>
      <c r="J1083" s="235"/>
    </row>
    <row r="1084" spans="1:10" x14ac:dyDescent="0.3">
      <c r="A1084" s="55"/>
      <c r="I1084" s="235"/>
      <c r="J1084" s="235"/>
    </row>
    <row r="1085" spans="1:10" x14ac:dyDescent="0.3">
      <c r="A1085" s="55"/>
      <c r="I1085" s="235"/>
      <c r="J1085" s="235"/>
    </row>
    <row r="1086" spans="1:10" x14ac:dyDescent="0.3">
      <c r="A1086" s="55"/>
      <c r="I1086" s="235"/>
      <c r="J1086" s="235"/>
    </row>
    <row r="1087" spans="1:10" x14ac:dyDescent="0.3">
      <c r="A1087" s="55"/>
      <c r="I1087" s="235"/>
      <c r="J1087" s="235"/>
    </row>
    <row r="1088" spans="1:10" x14ac:dyDescent="0.3">
      <c r="A1088" s="55"/>
      <c r="I1088" s="235"/>
      <c r="J1088" s="235"/>
    </row>
    <row r="1089" spans="1:10" x14ac:dyDescent="0.3">
      <c r="A1089" s="55"/>
      <c r="I1089" s="235"/>
      <c r="J1089" s="235"/>
    </row>
    <row r="1090" spans="1:10" x14ac:dyDescent="0.3">
      <c r="A1090" s="55"/>
      <c r="I1090" s="235"/>
      <c r="J1090" s="235"/>
    </row>
    <row r="1091" spans="1:10" x14ac:dyDescent="0.3">
      <c r="A1091" s="55"/>
      <c r="I1091" s="235"/>
      <c r="J1091" s="235"/>
    </row>
    <row r="1092" spans="1:10" x14ac:dyDescent="0.3">
      <c r="A1092" s="55"/>
      <c r="I1092" s="235"/>
      <c r="J1092" s="235"/>
    </row>
    <row r="1093" spans="1:10" x14ac:dyDescent="0.3">
      <c r="A1093" s="55"/>
      <c r="I1093" s="235"/>
      <c r="J1093" s="235"/>
    </row>
    <row r="1094" spans="1:10" x14ac:dyDescent="0.3">
      <c r="A1094" s="55"/>
      <c r="I1094" s="235"/>
      <c r="J1094" s="235"/>
    </row>
    <row r="1095" spans="1:10" x14ac:dyDescent="0.3">
      <c r="A1095" s="55"/>
      <c r="I1095" s="235"/>
      <c r="J1095" s="235"/>
    </row>
    <row r="1096" spans="1:10" x14ac:dyDescent="0.3">
      <c r="A1096" s="55"/>
      <c r="I1096" s="235"/>
      <c r="J1096" s="235"/>
    </row>
    <row r="1097" spans="1:10" x14ac:dyDescent="0.3">
      <c r="A1097" s="55"/>
      <c r="I1097" s="235"/>
      <c r="J1097" s="235"/>
    </row>
    <row r="1098" spans="1:10" x14ac:dyDescent="0.3">
      <c r="A1098" s="55"/>
      <c r="I1098" s="235"/>
      <c r="J1098" s="235"/>
    </row>
    <row r="1099" spans="1:10" x14ac:dyDescent="0.3">
      <c r="A1099" s="55"/>
      <c r="I1099" s="235"/>
      <c r="J1099" s="235"/>
    </row>
    <row r="1100" spans="1:10" x14ac:dyDescent="0.3">
      <c r="A1100" s="55"/>
      <c r="I1100" s="235"/>
      <c r="J1100" s="235"/>
    </row>
    <row r="1101" spans="1:10" x14ac:dyDescent="0.3">
      <c r="A1101" s="55"/>
      <c r="I1101" s="235"/>
      <c r="J1101" s="235"/>
    </row>
    <row r="1102" spans="1:10" x14ac:dyDescent="0.3">
      <c r="A1102" s="55"/>
      <c r="I1102" s="235"/>
      <c r="J1102" s="235"/>
    </row>
    <row r="1103" spans="1:10" x14ac:dyDescent="0.3">
      <c r="A1103" s="55"/>
      <c r="I1103" s="235"/>
      <c r="J1103" s="235"/>
    </row>
    <row r="1104" spans="1:10" x14ac:dyDescent="0.3">
      <c r="A1104" s="55"/>
      <c r="I1104" s="235"/>
      <c r="J1104" s="235"/>
    </row>
    <row r="1105" spans="1:10" x14ac:dyDescent="0.3">
      <c r="A1105" s="55"/>
      <c r="I1105" s="235"/>
      <c r="J1105" s="235"/>
    </row>
    <row r="1106" spans="1:10" x14ac:dyDescent="0.3">
      <c r="A1106" s="55"/>
      <c r="I1106" s="235"/>
      <c r="J1106" s="235"/>
    </row>
    <row r="1107" spans="1:10" x14ac:dyDescent="0.3">
      <c r="A1107" s="55"/>
      <c r="I1107" s="235"/>
      <c r="J1107" s="235"/>
    </row>
    <row r="1108" spans="1:10" x14ac:dyDescent="0.3">
      <c r="A1108" s="55"/>
      <c r="I1108" s="235"/>
      <c r="J1108" s="235"/>
    </row>
    <row r="1109" spans="1:10" x14ac:dyDescent="0.3">
      <c r="A1109" s="55"/>
      <c r="I1109" s="235"/>
      <c r="J1109" s="235"/>
    </row>
    <row r="1110" spans="1:10" x14ac:dyDescent="0.3">
      <c r="A1110" s="55"/>
      <c r="I1110" s="235"/>
      <c r="J1110" s="235"/>
    </row>
    <row r="1111" spans="1:10" x14ac:dyDescent="0.3">
      <c r="A1111" s="55"/>
      <c r="I1111" s="235"/>
      <c r="J1111" s="235"/>
    </row>
    <row r="1112" spans="1:10" x14ac:dyDescent="0.3">
      <c r="A1112" s="55"/>
      <c r="I1112" s="235"/>
      <c r="J1112" s="235"/>
    </row>
    <row r="1113" spans="1:10" x14ac:dyDescent="0.3">
      <c r="A1113" s="55"/>
      <c r="I1113" s="235"/>
      <c r="J1113" s="235"/>
    </row>
    <row r="1114" spans="1:10" x14ac:dyDescent="0.3">
      <c r="A1114" s="55"/>
      <c r="I1114" s="235"/>
      <c r="J1114" s="235"/>
    </row>
    <row r="1115" spans="1:10" x14ac:dyDescent="0.3">
      <c r="A1115" s="55"/>
      <c r="I1115" s="235"/>
      <c r="J1115" s="235"/>
    </row>
    <row r="1116" spans="1:10" x14ac:dyDescent="0.3">
      <c r="A1116" s="55"/>
      <c r="I1116" s="235"/>
      <c r="J1116" s="235"/>
    </row>
    <row r="1117" spans="1:10" x14ac:dyDescent="0.3">
      <c r="A1117" s="55"/>
      <c r="I1117" s="235"/>
      <c r="J1117" s="235"/>
    </row>
    <row r="1118" spans="1:10" x14ac:dyDescent="0.3">
      <c r="A1118" s="55"/>
      <c r="I1118" s="235"/>
      <c r="J1118" s="235"/>
    </row>
    <row r="1119" spans="1:10" x14ac:dyDescent="0.3">
      <c r="A1119" s="55"/>
      <c r="I1119" s="235"/>
      <c r="J1119" s="235"/>
    </row>
    <row r="1120" spans="1:10" x14ac:dyDescent="0.3">
      <c r="A1120" s="55"/>
      <c r="I1120" s="235"/>
      <c r="J1120" s="235"/>
    </row>
    <row r="1121" spans="1:10" x14ac:dyDescent="0.3">
      <c r="A1121" s="55"/>
      <c r="I1121" s="235"/>
      <c r="J1121" s="235"/>
    </row>
    <row r="1122" spans="1:10" x14ac:dyDescent="0.3">
      <c r="A1122" s="55"/>
      <c r="I1122" s="235"/>
      <c r="J1122" s="235"/>
    </row>
    <row r="1123" spans="1:10" x14ac:dyDescent="0.3">
      <c r="A1123" s="55"/>
      <c r="I1123" s="235"/>
      <c r="J1123" s="235"/>
    </row>
    <row r="1124" spans="1:10" x14ac:dyDescent="0.3">
      <c r="A1124" s="55"/>
      <c r="I1124" s="235"/>
      <c r="J1124" s="235"/>
    </row>
    <row r="1125" spans="1:10" x14ac:dyDescent="0.3">
      <c r="A1125" s="55"/>
      <c r="I1125" s="235"/>
      <c r="J1125" s="235"/>
    </row>
    <row r="1126" spans="1:10" x14ac:dyDescent="0.3">
      <c r="A1126" s="55"/>
      <c r="I1126" s="235"/>
      <c r="J1126" s="235"/>
    </row>
    <row r="1127" spans="1:10" x14ac:dyDescent="0.3">
      <c r="A1127" s="55"/>
      <c r="I1127" s="235"/>
      <c r="J1127" s="235"/>
    </row>
    <row r="1128" spans="1:10" x14ac:dyDescent="0.3">
      <c r="A1128" s="55"/>
      <c r="I1128" s="235"/>
      <c r="J1128" s="235"/>
    </row>
    <row r="1129" spans="1:10" x14ac:dyDescent="0.3">
      <c r="A1129" s="55"/>
      <c r="I1129" s="235"/>
      <c r="J1129" s="235"/>
    </row>
    <row r="1130" spans="1:10" x14ac:dyDescent="0.3">
      <c r="A1130" s="55"/>
      <c r="I1130" s="235"/>
      <c r="J1130" s="235"/>
    </row>
    <row r="1131" spans="1:10" x14ac:dyDescent="0.3">
      <c r="A1131" s="55"/>
      <c r="I1131" s="235"/>
      <c r="J1131" s="235"/>
    </row>
    <row r="1132" spans="1:10" x14ac:dyDescent="0.3">
      <c r="A1132" s="55"/>
      <c r="I1132" s="235"/>
      <c r="J1132" s="235"/>
    </row>
    <row r="1133" spans="1:10" x14ac:dyDescent="0.3">
      <c r="A1133" s="55"/>
      <c r="I1133" s="235"/>
      <c r="J1133" s="235"/>
    </row>
    <row r="1134" spans="1:10" x14ac:dyDescent="0.3">
      <c r="A1134" s="55"/>
      <c r="I1134" s="235"/>
      <c r="J1134" s="235"/>
    </row>
    <row r="1135" spans="1:10" x14ac:dyDescent="0.3">
      <c r="A1135" s="55"/>
      <c r="I1135" s="235"/>
      <c r="J1135" s="235"/>
    </row>
    <row r="1136" spans="1:10" x14ac:dyDescent="0.3">
      <c r="A1136" s="55"/>
      <c r="I1136" s="235"/>
      <c r="J1136" s="235"/>
    </row>
    <row r="1137" spans="1:10" x14ac:dyDescent="0.3">
      <c r="A1137" s="55"/>
      <c r="I1137" s="235"/>
      <c r="J1137" s="235"/>
    </row>
    <row r="1138" spans="1:10" x14ac:dyDescent="0.3">
      <c r="A1138" s="55"/>
      <c r="I1138" s="235"/>
      <c r="J1138" s="235"/>
    </row>
    <row r="1139" spans="1:10" x14ac:dyDescent="0.3">
      <c r="A1139" s="55"/>
      <c r="I1139" s="235"/>
      <c r="J1139" s="235"/>
    </row>
    <row r="1140" spans="1:10" x14ac:dyDescent="0.3">
      <c r="A1140" s="55"/>
      <c r="I1140" s="235"/>
      <c r="J1140" s="235"/>
    </row>
    <row r="1141" spans="1:10" x14ac:dyDescent="0.3">
      <c r="A1141" s="55"/>
      <c r="I1141" s="235"/>
      <c r="J1141" s="235"/>
    </row>
    <row r="1142" spans="1:10" x14ac:dyDescent="0.3">
      <c r="A1142" s="55"/>
      <c r="I1142" s="235"/>
      <c r="J1142" s="235"/>
    </row>
    <row r="1143" spans="1:10" x14ac:dyDescent="0.3">
      <c r="A1143" s="55"/>
      <c r="I1143" s="235"/>
      <c r="J1143" s="235"/>
    </row>
    <row r="1144" spans="1:10" x14ac:dyDescent="0.3">
      <c r="A1144" s="55"/>
      <c r="I1144" s="235"/>
      <c r="J1144" s="235"/>
    </row>
    <row r="1145" spans="1:10" x14ac:dyDescent="0.3">
      <c r="A1145" s="55"/>
      <c r="I1145" s="235"/>
      <c r="J1145" s="235"/>
    </row>
    <row r="1146" spans="1:10" x14ac:dyDescent="0.3">
      <c r="A1146" s="55"/>
      <c r="I1146" s="235"/>
      <c r="J1146" s="235"/>
    </row>
    <row r="1147" spans="1:10" x14ac:dyDescent="0.3">
      <c r="A1147" s="55"/>
      <c r="I1147" s="235"/>
      <c r="J1147" s="235"/>
    </row>
    <row r="1148" spans="1:10" x14ac:dyDescent="0.3">
      <c r="A1148" s="55"/>
      <c r="I1148" s="235"/>
      <c r="J1148" s="235"/>
    </row>
    <row r="1149" spans="1:10" x14ac:dyDescent="0.3">
      <c r="A1149" s="55"/>
      <c r="I1149" s="235"/>
      <c r="J1149" s="235"/>
    </row>
    <row r="1150" spans="1:10" x14ac:dyDescent="0.3">
      <c r="A1150" s="55"/>
      <c r="I1150" s="235"/>
      <c r="J1150" s="235"/>
    </row>
    <row r="1151" spans="1:10" x14ac:dyDescent="0.3">
      <c r="A1151" s="55"/>
      <c r="I1151" s="235"/>
      <c r="J1151" s="235"/>
    </row>
    <row r="1152" spans="1:10" x14ac:dyDescent="0.3">
      <c r="A1152" s="55"/>
      <c r="I1152" s="235"/>
      <c r="J1152" s="235"/>
    </row>
    <row r="1153" spans="1:10" x14ac:dyDescent="0.3">
      <c r="A1153" s="55"/>
      <c r="I1153" s="235"/>
      <c r="J1153" s="235"/>
    </row>
    <row r="1154" spans="1:10" x14ac:dyDescent="0.3">
      <c r="A1154" s="55"/>
      <c r="I1154" s="235"/>
      <c r="J1154" s="235"/>
    </row>
    <row r="1155" spans="1:10" x14ac:dyDescent="0.3">
      <c r="A1155" s="55"/>
    </row>
    <row r="1156" spans="1:10" x14ac:dyDescent="0.3">
      <c r="A1156" s="55"/>
    </row>
    <row r="1157" spans="1:10" x14ac:dyDescent="0.3">
      <c r="A1157" s="55"/>
    </row>
    <row r="1158" spans="1:10" x14ac:dyDescent="0.3">
      <c r="A1158" s="55"/>
    </row>
    <row r="1159" spans="1:10" x14ac:dyDescent="0.3">
      <c r="A1159" s="55"/>
    </row>
    <row r="1160" spans="1:10" x14ac:dyDescent="0.3">
      <c r="A1160" s="55"/>
    </row>
    <row r="1161" spans="1:10" x14ac:dyDescent="0.3">
      <c r="A1161" s="55"/>
    </row>
    <row r="1162" spans="1:10" x14ac:dyDescent="0.3">
      <c r="A1162" s="55"/>
    </row>
    <row r="1163" spans="1:10" x14ac:dyDescent="0.3">
      <c r="A1163" s="55"/>
    </row>
    <row r="1164" spans="1:10" x14ac:dyDescent="0.3">
      <c r="A1164" s="55"/>
    </row>
    <row r="1165" spans="1:10" x14ac:dyDescent="0.3">
      <c r="A1165" s="55"/>
    </row>
    <row r="1166" spans="1:10" x14ac:dyDescent="0.3">
      <c r="A1166" s="55"/>
    </row>
    <row r="1167" spans="1:10" x14ac:dyDescent="0.3">
      <c r="A1167" s="55"/>
    </row>
    <row r="1168" spans="1:10" x14ac:dyDescent="0.3">
      <c r="A1168" s="55"/>
    </row>
    <row r="1169" spans="1:1" x14ac:dyDescent="0.3">
      <c r="A1169" s="55"/>
    </row>
    <row r="1170" spans="1:1" x14ac:dyDescent="0.3">
      <c r="A1170" s="55"/>
    </row>
    <row r="1171" spans="1:1" x14ac:dyDescent="0.3">
      <c r="A1171" s="55"/>
    </row>
    <row r="1172" spans="1:1" x14ac:dyDescent="0.3">
      <c r="A1172" s="55"/>
    </row>
    <row r="1173" spans="1:1" x14ac:dyDescent="0.3">
      <c r="A1173" s="55"/>
    </row>
    <row r="1174" spans="1:1" x14ac:dyDescent="0.3">
      <c r="A1174" s="55"/>
    </row>
    <row r="1175" spans="1:1" x14ac:dyDescent="0.3">
      <c r="A1175" s="55"/>
    </row>
    <row r="1176" spans="1:1" x14ac:dyDescent="0.3">
      <c r="A1176" s="55"/>
    </row>
    <row r="1177" spans="1:1" x14ac:dyDescent="0.3">
      <c r="A1177" s="55"/>
    </row>
    <row r="1178" spans="1:1" x14ac:dyDescent="0.3">
      <c r="A1178" s="55"/>
    </row>
    <row r="1179" spans="1:1" x14ac:dyDescent="0.3">
      <c r="A1179" s="55"/>
    </row>
    <row r="1180" spans="1:1" x14ac:dyDescent="0.3">
      <c r="A1180" s="55"/>
    </row>
    <row r="1181" spans="1:1" x14ac:dyDescent="0.3">
      <c r="A1181" s="55"/>
    </row>
    <row r="1182" spans="1:1" x14ac:dyDescent="0.3">
      <c r="A1182" s="55"/>
    </row>
    <row r="1183" spans="1:1" x14ac:dyDescent="0.3">
      <c r="A1183" s="55"/>
    </row>
    <row r="1184" spans="1:1" x14ac:dyDescent="0.3">
      <c r="A1184" s="55"/>
    </row>
    <row r="1185" spans="1:1" x14ac:dyDescent="0.3">
      <c r="A1185" s="55"/>
    </row>
    <row r="1186" spans="1:1" x14ac:dyDescent="0.3">
      <c r="A1186" s="55"/>
    </row>
    <row r="1187" spans="1:1" x14ac:dyDescent="0.3">
      <c r="A1187" s="55"/>
    </row>
    <row r="1188" spans="1:1" x14ac:dyDescent="0.3">
      <c r="A1188" s="55"/>
    </row>
    <row r="1189" spans="1:1" x14ac:dyDescent="0.3">
      <c r="A1189" s="55"/>
    </row>
    <row r="1190" spans="1:1" x14ac:dyDescent="0.3">
      <c r="A1190" s="55"/>
    </row>
    <row r="1191" spans="1:1" x14ac:dyDescent="0.3">
      <c r="A1191" s="55"/>
    </row>
    <row r="1192" spans="1:1" x14ac:dyDescent="0.3">
      <c r="A1192" s="55"/>
    </row>
    <row r="1193" spans="1:1" x14ac:dyDescent="0.3">
      <c r="A1193" s="55"/>
    </row>
    <row r="1194" spans="1:1" x14ac:dyDescent="0.3">
      <c r="A1194" s="55"/>
    </row>
    <row r="1195" spans="1:1" x14ac:dyDescent="0.3">
      <c r="A1195" s="55"/>
    </row>
    <row r="1196" spans="1:1" x14ac:dyDescent="0.3">
      <c r="A1196" s="55"/>
    </row>
    <row r="1197" spans="1:1" x14ac:dyDescent="0.3">
      <c r="A1197" s="55"/>
    </row>
    <row r="1198" spans="1:1" x14ac:dyDescent="0.3">
      <c r="A1198" s="55"/>
    </row>
    <row r="1199" spans="1:1" x14ac:dyDescent="0.3">
      <c r="A1199" s="55"/>
    </row>
    <row r="1200" spans="1:1" x14ac:dyDescent="0.3">
      <c r="A1200" s="55"/>
    </row>
    <row r="1201" spans="1:1" x14ac:dyDescent="0.3">
      <c r="A1201" s="55"/>
    </row>
    <row r="1202" spans="1:1" x14ac:dyDescent="0.3">
      <c r="A1202" s="55"/>
    </row>
    <row r="1203" spans="1:1" x14ac:dyDescent="0.3">
      <c r="A1203" s="55"/>
    </row>
    <row r="1204" spans="1:1" x14ac:dyDescent="0.3">
      <c r="A1204" s="55"/>
    </row>
    <row r="1205" spans="1:1" x14ac:dyDescent="0.3">
      <c r="A1205" s="55"/>
    </row>
    <row r="1206" spans="1:1" x14ac:dyDescent="0.3">
      <c r="A1206" s="55"/>
    </row>
    <row r="1207" spans="1:1" x14ac:dyDescent="0.3">
      <c r="A1207" s="55"/>
    </row>
    <row r="1208" spans="1:1" x14ac:dyDescent="0.3">
      <c r="A1208" s="55"/>
    </row>
    <row r="1209" spans="1:1" x14ac:dyDescent="0.3">
      <c r="A1209" s="55"/>
    </row>
    <row r="1210" spans="1:1" x14ac:dyDescent="0.3">
      <c r="A1210" s="55"/>
    </row>
    <row r="1211" spans="1:1" x14ac:dyDescent="0.3">
      <c r="A1211" s="55"/>
    </row>
    <row r="1212" spans="1:1" x14ac:dyDescent="0.3">
      <c r="A1212" s="55"/>
    </row>
    <row r="1213" spans="1:1" x14ac:dyDescent="0.3">
      <c r="A1213" s="55"/>
    </row>
    <row r="1214" spans="1:1" x14ac:dyDescent="0.3">
      <c r="A1214" s="55"/>
    </row>
    <row r="1215" spans="1:1" x14ac:dyDescent="0.3">
      <c r="A1215" s="55"/>
    </row>
    <row r="1216" spans="1:1" x14ac:dyDescent="0.3">
      <c r="A1216" s="55"/>
    </row>
    <row r="1217" spans="1:1" x14ac:dyDescent="0.3">
      <c r="A1217" s="55"/>
    </row>
    <row r="1218" spans="1:1" x14ac:dyDescent="0.3">
      <c r="A1218" s="55"/>
    </row>
  </sheetData>
  <mergeCells count="1">
    <mergeCell ref="A1:D2"/>
  </mergeCells>
  <conditionalFormatting sqref="F11:F131">
    <cfRule type="expression" dxfId="11" priority="5">
      <formula>$F11&lt;0</formula>
    </cfRule>
    <cfRule type="expression" dxfId="10" priority="6">
      <formula>$F11=0</formula>
    </cfRule>
  </conditionalFormatting>
  <conditionalFormatting sqref="C12:C131">
    <cfRule type="expression" dxfId="9" priority="3">
      <formula>$C12&lt;0</formula>
    </cfRule>
    <cfRule type="expression" dxfId="8" priority="4">
      <formula>$C12=0</formula>
    </cfRule>
  </conditionalFormatting>
  <conditionalFormatting sqref="B12:B131">
    <cfRule type="expression" dxfId="7" priority="1">
      <formula>$B12&lt;0</formula>
    </cfRule>
    <cfRule type="expression" dxfId="6" priority="2">
      <formula>$B12=0</formula>
    </cfRule>
  </conditionalFormatting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Botón_cuota_aleman">
                <anchor moveWithCells="1" sizeWithCells="1">
                  <from>
                    <xdr:col>5</xdr:col>
                    <xdr:colOff>45720</xdr:colOff>
                    <xdr:row>0</xdr:row>
                    <xdr:rowOff>152400</xdr:rowOff>
                  </from>
                  <to>
                    <xdr:col>6</xdr:col>
                    <xdr:colOff>30480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1:AI1218"/>
  <sheetViews>
    <sheetView workbookViewId="0">
      <selection activeCell="G29" sqref="G29"/>
    </sheetView>
  </sheetViews>
  <sheetFormatPr baseColWidth="10" defaultRowHeight="14.4" x14ac:dyDescent="0.3"/>
  <cols>
    <col min="2" max="2" width="15.109375" bestFit="1" customWidth="1"/>
    <col min="3" max="3" width="14.88671875" customWidth="1"/>
    <col min="4" max="5" width="14.33203125" customWidth="1"/>
    <col min="6" max="6" width="17.33203125" customWidth="1"/>
    <col min="9" max="9" width="20.33203125" customWidth="1"/>
    <col min="10" max="10" width="16.88671875" customWidth="1"/>
  </cols>
  <sheetData>
    <row r="1" spans="1:35" ht="15.6" x14ac:dyDescent="0.3">
      <c r="A1" s="360" t="s">
        <v>150</v>
      </c>
      <c r="B1" s="360"/>
      <c r="C1" s="360"/>
      <c r="D1" s="360"/>
      <c r="E1" s="231"/>
    </row>
    <row r="2" spans="1:35" ht="16.2" thickBot="1" x14ac:dyDescent="0.35">
      <c r="A2" s="360"/>
      <c r="B2" s="360"/>
      <c r="C2" s="360"/>
      <c r="D2" s="360"/>
      <c r="E2" s="231"/>
      <c r="H2" s="254"/>
    </row>
    <row r="3" spans="1:35" ht="15" thickBot="1" x14ac:dyDescent="0.35">
      <c r="A3" s="30" t="s">
        <v>47</v>
      </c>
      <c r="B3" s="345">
        <v>550</v>
      </c>
      <c r="C3" s="346" t="s">
        <v>205</v>
      </c>
    </row>
    <row r="4" spans="1:35" x14ac:dyDescent="0.3">
      <c r="A4" s="27" t="s">
        <v>140</v>
      </c>
      <c r="B4" s="8">
        <v>12</v>
      </c>
      <c r="C4" s="27" t="s">
        <v>158</v>
      </c>
      <c r="D4" s="270">
        <f>D7/B4</f>
        <v>10</v>
      </c>
    </row>
    <row r="5" spans="1:35" x14ac:dyDescent="0.3">
      <c r="A5" s="27" t="s">
        <v>54</v>
      </c>
      <c r="B5" s="8">
        <v>9</v>
      </c>
      <c r="C5" s="27" t="s">
        <v>153</v>
      </c>
      <c r="D5" s="221">
        <f>(B3/(B5*B4))</f>
        <v>5.0925925925925926</v>
      </c>
      <c r="E5" s="205"/>
    </row>
    <row r="6" spans="1:35" x14ac:dyDescent="0.3">
      <c r="A6" s="27" t="s">
        <v>141</v>
      </c>
      <c r="B6" s="8">
        <v>1</v>
      </c>
      <c r="C6" s="27" t="s">
        <v>145</v>
      </c>
      <c r="D6" s="199">
        <f>(1+(B7/B6))^((B6/B4))-1</f>
        <v>7.2073233161367156E-3</v>
      </c>
      <c r="E6" s="257"/>
    </row>
    <row r="7" spans="1:35" x14ac:dyDescent="0.3">
      <c r="A7" s="27" t="s">
        <v>142</v>
      </c>
      <c r="B7" s="255">
        <v>0.09</v>
      </c>
      <c r="C7" s="27" t="s">
        <v>144</v>
      </c>
      <c r="D7" s="26">
        <f>(B8+B5)*B4</f>
        <v>120</v>
      </c>
      <c r="E7" s="10"/>
    </row>
    <row r="8" spans="1:35" x14ac:dyDescent="0.3">
      <c r="A8" s="28" t="s">
        <v>28</v>
      </c>
      <c r="B8" s="256">
        <v>1</v>
      </c>
      <c r="C8" s="28" t="s">
        <v>159</v>
      </c>
      <c r="D8" s="29">
        <f>B8*B4</f>
        <v>12</v>
      </c>
      <c r="E8" s="10"/>
    </row>
    <row r="9" spans="1:35" x14ac:dyDescent="0.3">
      <c r="H9" s="275" t="s">
        <v>162</v>
      </c>
      <c r="I9" s="277">
        <v>263.61</v>
      </c>
      <c r="J9" s="276">
        <v>549.72</v>
      </c>
      <c r="K9" s="333">
        <f>SUM(K11:K831)</f>
        <v>0</v>
      </c>
      <c r="L9" s="333">
        <f>SUM(L11:L424)</f>
        <v>0</v>
      </c>
      <c r="M9" s="334"/>
    </row>
    <row r="10" spans="1:35" x14ac:dyDescent="0.3">
      <c r="A10" s="30" t="s">
        <v>154</v>
      </c>
      <c r="B10" s="30" t="s">
        <v>151</v>
      </c>
      <c r="C10" s="30" t="s">
        <v>146</v>
      </c>
      <c r="D10" s="30" t="s">
        <v>153</v>
      </c>
      <c r="E10" s="30" t="s">
        <v>160</v>
      </c>
      <c r="F10" s="30" t="s">
        <v>152</v>
      </c>
      <c r="G10" s="336" t="s">
        <v>205</v>
      </c>
      <c r="H10" s="230" t="s">
        <v>158</v>
      </c>
      <c r="I10" s="230" t="s">
        <v>157</v>
      </c>
      <c r="J10" s="314" t="s">
        <v>152</v>
      </c>
      <c r="K10" s="330" t="s">
        <v>157</v>
      </c>
      <c r="L10" s="330" t="s">
        <v>152</v>
      </c>
      <c r="M10" s="327"/>
      <c r="O10" s="332" t="s">
        <v>157</v>
      </c>
      <c r="P10" s="320">
        <v>40.57</v>
      </c>
      <c r="Q10" s="320">
        <v>45.15</v>
      </c>
      <c r="R10" s="320">
        <v>39.86</v>
      </c>
      <c r="S10" s="320">
        <v>34.58</v>
      </c>
      <c r="T10" s="320">
        <v>29.29</v>
      </c>
      <c r="U10" s="320">
        <v>24</v>
      </c>
      <c r="V10" s="320">
        <v>18.72</v>
      </c>
      <c r="W10" s="320">
        <v>13.43</v>
      </c>
      <c r="X10" s="320">
        <v>8.15</v>
      </c>
      <c r="Y10" s="320">
        <v>2.86</v>
      </c>
      <c r="Z10" s="319">
        <v>0</v>
      </c>
      <c r="AA10" s="319">
        <v>0</v>
      </c>
      <c r="AB10" s="319">
        <v>0</v>
      </c>
      <c r="AC10" s="319">
        <v>0</v>
      </c>
      <c r="AD10" s="319">
        <v>0</v>
      </c>
      <c r="AE10" s="319">
        <v>0</v>
      </c>
      <c r="AF10" s="319">
        <v>0</v>
      </c>
      <c r="AG10" s="319">
        <v>0</v>
      </c>
      <c r="AH10" s="319">
        <v>0</v>
      </c>
      <c r="AI10" s="319">
        <v>0</v>
      </c>
    </row>
    <row r="11" spans="1:35" x14ac:dyDescent="0.3">
      <c r="A11" s="200">
        <v>0</v>
      </c>
      <c r="B11" s="253">
        <v>0</v>
      </c>
      <c r="C11" s="253">
        <v>0</v>
      </c>
      <c r="D11" s="253">
        <v>0</v>
      </c>
      <c r="E11" s="253">
        <v>0</v>
      </c>
      <c r="F11" s="248">
        <f>B3</f>
        <v>550</v>
      </c>
      <c r="G11" s="340" t="s">
        <v>206</v>
      </c>
      <c r="H11" s="5">
        <v>1</v>
      </c>
      <c r="I11" s="268">
        <v>47.567999999999998</v>
      </c>
      <c r="J11" s="329">
        <v>0</v>
      </c>
      <c r="K11" s="282"/>
      <c r="L11" s="233"/>
      <c r="M11" s="317"/>
      <c r="O11" s="332" t="s">
        <v>203</v>
      </c>
      <c r="P11" s="319">
        <v>0</v>
      </c>
      <c r="Q11" s="319">
        <v>61.08</v>
      </c>
      <c r="R11" s="319">
        <v>61.08</v>
      </c>
      <c r="S11" s="319">
        <v>61.08</v>
      </c>
      <c r="T11" s="319">
        <v>61.08</v>
      </c>
      <c r="U11" s="319">
        <v>61.08</v>
      </c>
      <c r="V11" s="319">
        <v>61.08</v>
      </c>
      <c r="W11" s="319">
        <v>61.08</v>
      </c>
      <c r="X11" s="319">
        <v>61.08</v>
      </c>
      <c r="Y11" s="319">
        <v>61.08</v>
      </c>
      <c r="Z11" s="319">
        <v>0</v>
      </c>
      <c r="AA11" s="319">
        <v>0</v>
      </c>
      <c r="AB11" s="319">
        <v>0</v>
      </c>
      <c r="AC11" s="319">
        <v>0</v>
      </c>
      <c r="AD11" s="319">
        <v>0</v>
      </c>
      <c r="AE11" s="319">
        <v>0</v>
      </c>
      <c r="AF11" s="319">
        <v>0</v>
      </c>
      <c r="AG11" s="319">
        <v>0</v>
      </c>
      <c r="AH11" s="319">
        <v>0</v>
      </c>
      <c r="AI11" s="319">
        <v>0</v>
      </c>
    </row>
    <row r="12" spans="1:35" x14ac:dyDescent="0.3">
      <c r="A12" s="249">
        <v>1</v>
      </c>
      <c r="B12" s="260">
        <v>3.9640278238751936</v>
      </c>
      <c r="C12" s="247">
        <v>3.9640278238751936</v>
      </c>
      <c r="D12" s="260">
        <v>0</v>
      </c>
      <c r="E12" s="258"/>
      <c r="F12" s="261">
        <v>550</v>
      </c>
      <c r="G12" s="340" t="s">
        <v>207</v>
      </c>
      <c r="H12" s="8">
        <v>2</v>
      </c>
      <c r="I12" s="205">
        <v>45.145800000000001</v>
      </c>
      <c r="J12" s="215">
        <v>61.08</v>
      </c>
      <c r="K12" s="282"/>
      <c r="L12" s="233"/>
      <c r="M12" s="317"/>
      <c r="O12" s="315"/>
    </row>
    <row r="13" spans="1:35" x14ac:dyDescent="0.3">
      <c r="A13" s="249">
        <v>2</v>
      </c>
      <c r="B13" s="260">
        <v>3.9640278238751936</v>
      </c>
      <c r="C13" s="247">
        <v>3.9640278238751936</v>
      </c>
      <c r="D13" s="260">
        <v>0</v>
      </c>
      <c r="E13" s="258"/>
      <c r="F13" s="261">
        <v>550</v>
      </c>
      <c r="G13" s="340" t="s">
        <v>208</v>
      </c>
      <c r="H13" s="8">
        <v>3</v>
      </c>
      <c r="I13" s="205">
        <v>39.860599999999998</v>
      </c>
      <c r="J13" s="215">
        <v>61.08</v>
      </c>
      <c r="K13" s="282"/>
      <c r="L13" s="233"/>
      <c r="M13" s="317"/>
      <c r="O13" s="331" t="s">
        <v>157</v>
      </c>
      <c r="P13" s="319"/>
      <c r="Q13" s="320"/>
      <c r="R13" s="319"/>
      <c r="S13" s="319"/>
      <c r="T13" s="319"/>
      <c r="U13" s="319"/>
      <c r="V13" s="319"/>
      <c r="W13" s="319"/>
      <c r="X13" s="319"/>
      <c r="Y13" s="319"/>
      <c r="Z13" s="319">
        <v>0</v>
      </c>
      <c r="AA13" s="319">
        <v>0</v>
      </c>
      <c r="AB13" s="319">
        <v>0</v>
      </c>
      <c r="AC13" s="319">
        <v>0</v>
      </c>
      <c r="AD13" s="319">
        <v>0</v>
      </c>
      <c r="AE13" s="319">
        <v>0</v>
      </c>
      <c r="AF13" s="319">
        <v>0</v>
      </c>
      <c r="AG13" s="319">
        <v>0</v>
      </c>
      <c r="AH13" s="319">
        <v>0</v>
      </c>
      <c r="AI13" s="319">
        <v>1</v>
      </c>
    </row>
    <row r="14" spans="1:35" x14ac:dyDescent="0.3">
      <c r="A14" s="249">
        <v>3</v>
      </c>
      <c r="B14" s="260">
        <v>3.9640278238751936</v>
      </c>
      <c r="C14" s="247">
        <v>3.9640278238751936</v>
      </c>
      <c r="D14" s="260">
        <v>0</v>
      </c>
      <c r="E14" s="258"/>
      <c r="F14" s="261">
        <v>550</v>
      </c>
      <c r="G14" s="340" t="s">
        <v>209</v>
      </c>
      <c r="H14" s="8">
        <v>4</v>
      </c>
      <c r="I14" s="205">
        <v>34.575000000000003</v>
      </c>
      <c r="J14" s="215">
        <v>61.08</v>
      </c>
      <c r="K14" s="282"/>
      <c r="L14" s="233"/>
      <c r="M14" s="317"/>
      <c r="O14" s="331" t="s">
        <v>203</v>
      </c>
      <c r="P14" s="319">
        <v>0</v>
      </c>
      <c r="Q14" s="319">
        <v>0</v>
      </c>
      <c r="R14" s="319">
        <v>0</v>
      </c>
      <c r="S14" s="319">
        <v>0</v>
      </c>
      <c r="T14" s="319">
        <v>0</v>
      </c>
      <c r="U14" s="319">
        <v>0</v>
      </c>
      <c r="V14" s="319">
        <v>0</v>
      </c>
      <c r="W14" s="319">
        <v>0</v>
      </c>
      <c r="X14" s="319">
        <v>0</v>
      </c>
      <c r="Y14" s="319">
        <v>0</v>
      </c>
      <c r="Z14" s="319">
        <v>0</v>
      </c>
      <c r="AA14" s="319">
        <v>0</v>
      </c>
      <c r="AB14" s="319">
        <v>0</v>
      </c>
      <c r="AC14" s="319">
        <v>0</v>
      </c>
      <c r="AD14" s="319">
        <v>0</v>
      </c>
      <c r="AE14" s="319">
        <v>0</v>
      </c>
      <c r="AF14" s="319">
        <v>0</v>
      </c>
      <c r="AG14" s="319">
        <v>0</v>
      </c>
      <c r="AH14" s="319">
        <v>0</v>
      </c>
      <c r="AI14" s="319">
        <v>0</v>
      </c>
    </row>
    <row r="15" spans="1:35" x14ac:dyDescent="0.3">
      <c r="A15" s="249">
        <v>4</v>
      </c>
      <c r="B15" s="260">
        <v>3.9640278238751936</v>
      </c>
      <c r="C15" s="247">
        <v>3.9640278238751936</v>
      </c>
      <c r="D15" s="260">
        <v>0</v>
      </c>
      <c r="E15" s="258"/>
      <c r="F15" s="261">
        <v>550</v>
      </c>
      <c r="G15" s="340" t="s">
        <v>210</v>
      </c>
      <c r="H15" s="8">
        <v>5</v>
      </c>
      <c r="I15" s="205">
        <v>29.289899999999999</v>
      </c>
      <c r="J15" s="215">
        <v>61.08</v>
      </c>
      <c r="K15" s="282"/>
      <c r="L15" s="233"/>
      <c r="M15" s="317"/>
    </row>
    <row r="16" spans="1:35" x14ac:dyDescent="0.3">
      <c r="A16" s="249">
        <v>5</v>
      </c>
      <c r="B16" s="260">
        <v>3.9640278238751936</v>
      </c>
      <c r="C16" s="247">
        <v>3.9640278238751936</v>
      </c>
      <c r="D16" s="260">
        <v>0</v>
      </c>
      <c r="E16" s="258"/>
      <c r="F16" s="261">
        <v>550</v>
      </c>
      <c r="G16" s="340" t="s">
        <v>211</v>
      </c>
      <c r="H16" s="8">
        <v>6</v>
      </c>
      <c r="I16" s="205">
        <v>24.004200000000001</v>
      </c>
      <c r="J16" s="215">
        <v>61.08</v>
      </c>
      <c r="K16" s="282"/>
      <c r="L16" s="233"/>
      <c r="M16" s="317"/>
    </row>
    <row r="17" spans="1:13" x14ac:dyDescent="0.3">
      <c r="A17" s="249">
        <v>6</v>
      </c>
      <c r="B17" s="260">
        <v>3.9640278238751936</v>
      </c>
      <c r="C17" s="247">
        <v>3.9640278238751936</v>
      </c>
      <c r="D17" s="260">
        <v>0</v>
      </c>
      <c r="E17" s="258"/>
      <c r="F17" s="261">
        <v>550</v>
      </c>
      <c r="G17" s="340" t="s">
        <v>212</v>
      </c>
      <c r="H17" s="8">
        <v>7</v>
      </c>
      <c r="I17" s="205">
        <v>18.719200000000001</v>
      </c>
      <c r="J17" s="215">
        <v>61.08</v>
      </c>
      <c r="K17" s="282"/>
      <c r="L17" s="233"/>
      <c r="M17" s="317"/>
    </row>
    <row r="18" spans="1:13" x14ac:dyDescent="0.3">
      <c r="A18" s="249">
        <v>7</v>
      </c>
      <c r="B18" s="260">
        <v>3.9640278238751936</v>
      </c>
      <c r="C18" s="247">
        <v>3.9640278238751936</v>
      </c>
      <c r="D18" s="260">
        <v>0</v>
      </c>
      <c r="E18" s="258"/>
      <c r="F18" s="261">
        <v>550</v>
      </c>
      <c r="G18" s="340" t="s">
        <v>213</v>
      </c>
      <c r="H18" s="8">
        <v>8</v>
      </c>
      <c r="I18" s="205">
        <v>13.433400000000001</v>
      </c>
      <c r="J18" s="215">
        <v>61.08</v>
      </c>
      <c r="K18" s="282"/>
      <c r="L18" s="233"/>
      <c r="M18" s="317"/>
    </row>
    <row r="19" spans="1:13" x14ac:dyDescent="0.3">
      <c r="A19" s="249">
        <v>8</v>
      </c>
      <c r="B19" s="260">
        <v>3.9640278238751936</v>
      </c>
      <c r="C19" s="247">
        <v>3.9640278238751936</v>
      </c>
      <c r="D19" s="260">
        <v>0</v>
      </c>
      <c r="E19" s="258"/>
      <c r="F19" s="261">
        <v>550</v>
      </c>
      <c r="G19" s="340" t="s">
        <v>214</v>
      </c>
      <c r="H19" s="8">
        <v>9</v>
      </c>
      <c r="I19" s="205">
        <v>8.1485000000000003</v>
      </c>
      <c r="J19" s="215">
        <v>61.08</v>
      </c>
      <c r="K19" s="282"/>
      <c r="L19" s="233"/>
      <c r="M19" s="317"/>
    </row>
    <row r="20" spans="1:13" x14ac:dyDescent="0.3">
      <c r="A20" s="249">
        <v>9</v>
      </c>
      <c r="B20" s="260">
        <v>3.9640278238751936</v>
      </c>
      <c r="C20" s="247">
        <v>3.9640278238751936</v>
      </c>
      <c r="D20" s="260">
        <v>0</v>
      </c>
      <c r="E20" s="258"/>
      <c r="F20" s="261">
        <v>550</v>
      </c>
      <c r="G20" s="340" t="s">
        <v>215</v>
      </c>
      <c r="H20" s="8">
        <v>10</v>
      </c>
      <c r="I20" s="205">
        <v>2.8626</v>
      </c>
      <c r="J20" s="215">
        <v>61.08</v>
      </c>
      <c r="K20" s="282"/>
      <c r="L20" s="233"/>
      <c r="M20" s="317"/>
    </row>
    <row r="21" spans="1:13" x14ac:dyDescent="0.3">
      <c r="A21" s="249">
        <v>10</v>
      </c>
      <c r="B21" s="260">
        <v>3.9640278238751936</v>
      </c>
      <c r="C21" s="247">
        <v>3.9640278238751936</v>
      </c>
      <c r="D21" s="260">
        <v>0</v>
      </c>
      <c r="E21" s="258"/>
      <c r="F21" s="261">
        <v>550</v>
      </c>
      <c r="G21" s="340" t="s">
        <v>216</v>
      </c>
      <c r="H21" s="8"/>
      <c r="I21" s="205"/>
      <c r="J21" s="215"/>
      <c r="K21" s="282"/>
      <c r="L21" s="233"/>
      <c r="M21" s="317"/>
    </row>
    <row r="22" spans="1:13" x14ac:dyDescent="0.3">
      <c r="A22" s="249">
        <v>11</v>
      </c>
      <c r="B22" s="260">
        <v>3.9640278238751936</v>
      </c>
      <c r="C22" s="247">
        <v>3.9640278238751936</v>
      </c>
      <c r="D22" s="260">
        <v>0</v>
      </c>
      <c r="E22" s="258"/>
      <c r="F22" s="261">
        <v>550</v>
      </c>
      <c r="H22" s="8"/>
      <c r="I22" s="205"/>
      <c r="J22" s="215"/>
      <c r="K22" s="282"/>
      <c r="L22" s="233"/>
      <c r="M22" s="317"/>
    </row>
    <row r="23" spans="1:13" x14ac:dyDescent="0.3">
      <c r="A23" s="249">
        <v>12</v>
      </c>
      <c r="B23" s="260">
        <v>3.9640278238751936</v>
      </c>
      <c r="C23" s="247">
        <v>3.9640278238751936</v>
      </c>
      <c r="D23" s="260">
        <v>0</v>
      </c>
      <c r="E23" s="258"/>
      <c r="F23" s="261">
        <v>550</v>
      </c>
      <c r="H23" s="8"/>
      <c r="I23" s="205"/>
      <c r="J23" s="215"/>
      <c r="K23" s="282"/>
      <c r="L23" s="233"/>
      <c r="M23" s="317"/>
    </row>
    <row r="24" spans="1:13" x14ac:dyDescent="0.3">
      <c r="A24" s="249">
        <v>13</v>
      </c>
      <c r="B24" s="260">
        <v>9.06</v>
      </c>
      <c r="C24" s="247">
        <v>3.9640278238751936</v>
      </c>
      <c r="D24" s="260">
        <v>5.09</v>
      </c>
      <c r="E24" s="258"/>
      <c r="F24" s="261">
        <v>544.91</v>
      </c>
      <c r="H24" s="8"/>
      <c r="I24" s="205"/>
      <c r="J24" s="215"/>
      <c r="K24" s="282"/>
      <c r="L24" s="233"/>
      <c r="M24" s="317"/>
    </row>
    <row r="25" spans="1:13" x14ac:dyDescent="0.3">
      <c r="A25" s="249">
        <v>14</v>
      </c>
      <c r="B25" s="260">
        <v>9.02</v>
      </c>
      <c r="C25" s="247">
        <v>3.9273238091554359</v>
      </c>
      <c r="D25" s="260">
        <v>5.09</v>
      </c>
      <c r="E25" s="258"/>
      <c r="F25" s="261">
        <v>539.80999999999995</v>
      </c>
      <c r="H25" s="8"/>
      <c r="I25" s="205"/>
      <c r="J25" s="215"/>
      <c r="K25" s="282"/>
      <c r="L25" s="233"/>
      <c r="M25" s="317"/>
    </row>
    <row r="26" spans="1:13" x14ac:dyDescent="0.3">
      <c r="A26" s="249">
        <v>15</v>
      </c>
      <c r="B26" s="260">
        <v>8.98</v>
      </c>
      <c r="C26" s="247">
        <v>3.8906197944356777</v>
      </c>
      <c r="D26" s="260">
        <v>5.09</v>
      </c>
      <c r="E26" s="258"/>
      <c r="F26" s="261">
        <v>534.72</v>
      </c>
      <c r="H26" s="8"/>
      <c r="I26" s="205"/>
      <c r="J26" s="215"/>
      <c r="K26" s="282"/>
      <c r="L26" s="233"/>
      <c r="M26" s="317"/>
    </row>
    <row r="27" spans="1:13" x14ac:dyDescent="0.3">
      <c r="A27" s="249">
        <v>16</v>
      </c>
      <c r="B27" s="260">
        <v>8.9499999999999993</v>
      </c>
      <c r="C27" s="247">
        <v>3.85391577971592</v>
      </c>
      <c r="D27" s="260">
        <v>5.09</v>
      </c>
      <c r="E27" s="258"/>
      <c r="F27" s="261">
        <v>529.63</v>
      </c>
      <c r="H27" s="8"/>
      <c r="I27" s="205"/>
      <c r="J27" s="215"/>
      <c r="K27" s="282"/>
      <c r="L27" s="233"/>
      <c r="M27" s="317"/>
    </row>
    <row r="28" spans="1:13" x14ac:dyDescent="0.3">
      <c r="A28" s="249">
        <v>17</v>
      </c>
      <c r="B28" s="260">
        <v>8.91</v>
      </c>
      <c r="C28" s="247">
        <v>3.8172117649961623</v>
      </c>
      <c r="D28" s="260">
        <v>5.09</v>
      </c>
      <c r="E28" s="258"/>
      <c r="F28" s="261">
        <v>524.54</v>
      </c>
      <c r="H28" s="8"/>
      <c r="I28" s="205"/>
      <c r="J28" s="215"/>
      <c r="K28" s="282"/>
      <c r="L28" s="233"/>
      <c r="M28" s="317"/>
    </row>
    <row r="29" spans="1:13" x14ac:dyDescent="0.3">
      <c r="A29" s="249">
        <v>18</v>
      </c>
      <c r="B29" s="260">
        <v>8.8699999999999992</v>
      </c>
      <c r="C29" s="247">
        <v>3.7805077502764046</v>
      </c>
      <c r="D29" s="260">
        <v>5.09</v>
      </c>
      <c r="E29" s="258"/>
      <c r="F29" s="261">
        <v>519.44000000000005</v>
      </c>
      <c r="H29" s="8"/>
      <c r="I29" s="205"/>
      <c r="J29" s="205"/>
      <c r="K29" s="282"/>
      <c r="L29" s="233"/>
      <c r="M29" s="317"/>
    </row>
    <row r="30" spans="1:13" x14ac:dyDescent="0.3">
      <c r="A30" s="249">
        <v>19</v>
      </c>
      <c r="B30" s="260">
        <v>8.84</v>
      </c>
      <c r="C30" s="247">
        <v>3.7438037355566465</v>
      </c>
      <c r="D30" s="260">
        <v>5.09</v>
      </c>
      <c r="E30" s="258"/>
      <c r="F30" s="261">
        <v>514.35</v>
      </c>
      <c r="H30" s="8"/>
      <c r="I30" s="205"/>
      <c r="J30" s="205"/>
      <c r="K30" s="282"/>
      <c r="L30" s="233"/>
      <c r="M30" s="317"/>
    </row>
    <row r="31" spans="1:13" x14ac:dyDescent="0.3">
      <c r="A31" s="249">
        <v>20</v>
      </c>
      <c r="B31" s="260">
        <v>8.8000000000000007</v>
      </c>
      <c r="C31" s="247">
        <v>3.7070997208368888</v>
      </c>
      <c r="D31" s="260">
        <v>5.09</v>
      </c>
      <c r="E31" s="258"/>
      <c r="F31" s="261">
        <v>509.26</v>
      </c>
      <c r="H31" s="8"/>
      <c r="I31" s="205"/>
      <c r="J31" s="205"/>
      <c r="K31" s="282"/>
      <c r="L31" s="233"/>
      <c r="M31" s="317"/>
    </row>
    <row r="32" spans="1:13" x14ac:dyDescent="0.3">
      <c r="A32" s="249">
        <v>21</v>
      </c>
      <c r="B32" s="260">
        <v>8.76</v>
      </c>
      <c r="C32" s="247">
        <v>3.6703957061171311</v>
      </c>
      <c r="D32" s="260">
        <v>5.09</v>
      </c>
      <c r="E32" s="258"/>
      <c r="F32" s="261">
        <v>504.17</v>
      </c>
      <c r="H32" s="8"/>
      <c r="I32" s="205"/>
      <c r="J32" s="205"/>
      <c r="K32" s="282"/>
      <c r="L32" s="233"/>
      <c r="M32" s="317"/>
    </row>
    <row r="33" spans="1:13" x14ac:dyDescent="0.3">
      <c r="A33" s="249">
        <v>22</v>
      </c>
      <c r="B33" s="260">
        <v>8.73</v>
      </c>
      <c r="C33" s="247">
        <v>3.6336916913973729</v>
      </c>
      <c r="D33" s="260">
        <v>5.09</v>
      </c>
      <c r="E33" s="258"/>
      <c r="F33" s="261">
        <v>499.07</v>
      </c>
      <c r="H33" s="8"/>
      <c r="I33" s="205"/>
      <c r="J33" s="205"/>
      <c r="K33" s="282"/>
      <c r="L33" s="233"/>
      <c r="M33" s="317"/>
    </row>
    <row r="34" spans="1:13" x14ac:dyDescent="0.3">
      <c r="A34" s="249">
        <v>23</v>
      </c>
      <c r="B34" s="260">
        <v>8.69</v>
      </c>
      <c r="C34" s="247">
        <v>3.5969876766776152</v>
      </c>
      <c r="D34" s="260">
        <v>5.09</v>
      </c>
      <c r="E34" s="258"/>
      <c r="F34" s="261">
        <v>493.98</v>
      </c>
      <c r="H34" s="8"/>
      <c r="I34" s="205"/>
      <c r="J34" s="205"/>
      <c r="K34" s="282"/>
      <c r="L34" s="233"/>
      <c r="M34" s="317"/>
    </row>
    <row r="35" spans="1:13" x14ac:dyDescent="0.3">
      <c r="A35" s="249">
        <v>24</v>
      </c>
      <c r="B35" s="260">
        <v>8.65</v>
      </c>
      <c r="C35" s="247">
        <v>3.5602836619578575</v>
      </c>
      <c r="D35" s="260">
        <v>5.09</v>
      </c>
      <c r="E35" s="258"/>
      <c r="F35" s="261">
        <v>488.89</v>
      </c>
      <c r="H35" s="8"/>
      <c r="I35" s="205"/>
      <c r="J35" s="205"/>
      <c r="K35" s="282"/>
      <c r="L35" s="233"/>
      <c r="M35" s="317"/>
    </row>
    <row r="36" spans="1:13" x14ac:dyDescent="0.3">
      <c r="A36" s="249">
        <v>25</v>
      </c>
      <c r="B36" s="260">
        <v>8.6199999999999992</v>
      </c>
      <c r="C36" s="247">
        <v>3.5235796472380994</v>
      </c>
      <c r="D36" s="260">
        <v>5.09</v>
      </c>
      <c r="E36" s="258"/>
      <c r="F36" s="261">
        <v>483.8</v>
      </c>
      <c r="H36" s="8"/>
      <c r="I36" s="205"/>
      <c r="J36" s="205"/>
      <c r="K36" s="282"/>
      <c r="L36" s="233"/>
      <c r="M36" s="317"/>
    </row>
    <row r="37" spans="1:13" x14ac:dyDescent="0.3">
      <c r="A37" s="249">
        <v>26</v>
      </c>
      <c r="B37" s="260">
        <v>8.58</v>
      </c>
      <c r="C37" s="247">
        <v>3.4868756325183417</v>
      </c>
      <c r="D37" s="260">
        <v>5.09</v>
      </c>
      <c r="E37" s="258"/>
      <c r="F37" s="261">
        <v>478.7</v>
      </c>
      <c r="H37" s="8"/>
      <c r="I37" s="205"/>
      <c r="J37" s="205"/>
      <c r="K37" s="282"/>
      <c r="L37" s="233"/>
      <c r="M37" s="317"/>
    </row>
    <row r="38" spans="1:13" x14ac:dyDescent="0.3">
      <c r="A38" s="249">
        <v>27</v>
      </c>
      <c r="B38" s="260">
        <v>8.5399999999999991</v>
      </c>
      <c r="C38" s="247">
        <v>3.4501716177985839</v>
      </c>
      <c r="D38" s="260">
        <v>5.09</v>
      </c>
      <c r="E38" s="258"/>
      <c r="F38" s="261">
        <v>473.61</v>
      </c>
      <c r="H38" s="8"/>
      <c r="I38" s="205"/>
      <c r="J38" s="205"/>
      <c r="K38" s="282"/>
      <c r="L38" s="233"/>
      <c r="M38" s="317"/>
    </row>
    <row r="39" spans="1:13" x14ac:dyDescent="0.3">
      <c r="A39" s="249">
        <v>28</v>
      </c>
      <c r="B39" s="260">
        <v>8.51</v>
      </c>
      <c r="C39" s="247">
        <v>3.4134676030788262</v>
      </c>
      <c r="D39" s="260">
        <v>5.09</v>
      </c>
      <c r="E39" s="258"/>
      <c r="F39" s="261">
        <v>468.52</v>
      </c>
      <c r="H39" s="8"/>
      <c r="I39" s="205"/>
      <c r="J39" s="205"/>
      <c r="K39" s="282"/>
      <c r="L39" s="233"/>
      <c r="M39" s="317"/>
    </row>
    <row r="40" spans="1:13" x14ac:dyDescent="0.3">
      <c r="A40" s="249">
        <v>29</v>
      </c>
      <c r="B40" s="260">
        <v>8.4700000000000006</v>
      </c>
      <c r="C40" s="247">
        <v>3.3767635883590681</v>
      </c>
      <c r="D40" s="260">
        <v>5.09</v>
      </c>
      <c r="E40" s="258"/>
      <c r="F40" s="261">
        <v>463.43</v>
      </c>
      <c r="H40" s="8"/>
      <c r="I40" s="205"/>
      <c r="J40" s="205"/>
      <c r="K40" s="282"/>
      <c r="L40" s="233"/>
      <c r="M40" s="317"/>
    </row>
    <row r="41" spans="1:13" x14ac:dyDescent="0.3">
      <c r="A41" s="249">
        <v>30</v>
      </c>
      <c r="B41" s="260">
        <v>8.43</v>
      </c>
      <c r="C41" s="247">
        <v>3.3400595736393104</v>
      </c>
      <c r="D41" s="260">
        <v>5.09</v>
      </c>
      <c r="E41" s="258"/>
      <c r="F41" s="261">
        <v>458.33</v>
      </c>
      <c r="H41" s="8"/>
      <c r="I41" s="205"/>
      <c r="J41" s="205"/>
      <c r="K41" s="282"/>
      <c r="L41" s="233"/>
      <c r="M41" s="317"/>
    </row>
    <row r="42" spans="1:13" x14ac:dyDescent="0.3">
      <c r="A42" s="249">
        <v>31</v>
      </c>
      <c r="B42" s="260">
        <v>8.4</v>
      </c>
      <c r="C42" s="247">
        <v>3.3033555589195527</v>
      </c>
      <c r="D42" s="260">
        <v>5.09</v>
      </c>
      <c r="E42" s="258"/>
      <c r="F42" s="261">
        <v>453.24</v>
      </c>
      <c r="H42" s="8"/>
      <c r="I42" s="205"/>
      <c r="J42" s="205"/>
      <c r="K42" s="282"/>
      <c r="L42" s="233"/>
      <c r="M42" s="317"/>
    </row>
    <row r="43" spans="1:13" x14ac:dyDescent="0.3">
      <c r="A43" s="249">
        <v>32</v>
      </c>
      <c r="B43" s="260">
        <v>8.36</v>
      </c>
      <c r="C43" s="247">
        <v>3.2666515441997945</v>
      </c>
      <c r="D43" s="260">
        <v>5.09</v>
      </c>
      <c r="E43" s="258"/>
      <c r="F43" s="261">
        <v>448.15</v>
      </c>
      <c r="H43" s="8"/>
      <c r="I43" s="205"/>
      <c r="J43" s="205"/>
      <c r="K43" s="282"/>
      <c r="L43" s="233"/>
      <c r="M43" s="317"/>
    </row>
    <row r="44" spans="1:13" x14ac:dyDescent="0.3">
      <c r="A44" s="249">
        <v>33</v>
      </c>
      <c r="B44" s="260">
        <v>8.32</v>
      </c>
      <c r="C44" s="247">
        <v>3.2299475294800368</v>
      </c>
      <c r="D44" s="260">
        <v>5.09</v>
      </c>
      <c r="E44" s="258"/>
      <c r="F44" s="261">
        <v>443.06</v>
      </c>
      <c r="H44" s="8"/>
      <c r="I44" s="205"/>
      <c r="J44" s="205"/>
      <c r="K44" s="282"/>
      <c r="L44" s="233"/>
      <c r="M44" s="317"/>
    </row>
    <row r="45" spans="1:13" x14ac:dyDescent="0.3">
      <c r="A45" s="249">
        <v>34</v>
      </c>
      <c r="B45" s="260">
        <v>8.2899999999999991</v>
      </c>
      <c r="C45" s="247">
        <v>3.1932435147602791</v>
      </c>
      <c r="D45" s="260">
        <v>5.09</v>
      </c>
      <c r="E45" s="258"/>
      <c r="F45" s="261">
        <v>437.96</v>
      </c>
      <c r="H45" s="8"/>
      <c r="I45" s="205"/>
      <c r="J45" s="205"/>
      <c r="K45" s="282"/>
      <c r="L45" s="233"/>
      <c r="M45" s="317"/>
    </row>
    <row r="46" spans="1:13" x14ac:dyDescent="0.3">
      <c r="A46" s="249">
        <v>35</v>
      </c>
      <c r="B46" s="260">
        <v>8.25</v>
      </c>
      <c r="C46" s="247">
        <v>3.156539500040521</v>
      </c>
      <c r="D46" s="260">
        <v>5.09</v>
      </c>
      <c r="E46" s="258"/>
      <c r="F46" s="261">
        <v>432.87</v>
      </c>
      <c r="H46" s="8"/>
      <c r="I46" s="205"/>
      <c r="J46" s="205"/>
      <c r="K46" s="282"/>
      <c r="L46" s="233"/>
      <c r="M46" s="317"/>
    </row>
    <row r="47" spans="1:13" x14ac:dyDescent="0.3">
      <c r="A47" s="249">
        <v>36</v>
      </c>
      <c r="B47" s="260">
        <v>8.2100000000000009</v>
      </c>
      <c r="C47" s="247">
        <v>3.1198354853207633</v>
      </c>
      <c r="D47" s="260">
        <v>5.09</v>
      </c>
      <c r="E47" s="258"/>
      <c r="F47" s="261">
        <v>427.78</v>
      </c>
      <c r="H47" s="8"/>
      <c r="I47" s="205"/>
      <c r="J47" s="205"/>
      <c r="K47" s="282"/>
      <c r="L47" s="233"/>
      <c r="M47" s="317"/>
    </row>
    <row r="48" spans="1:13" x14ac:dyDescent="0.3">
      <c r="A48" s="249">
        <v>37</v>
      </c>
      <c r="B48" s="260">
        <v>8.18</v>
      </c>
      <c r="C48" s="247">
        <v>3.0831314706010056</v>
      </c>
      <c r="D48" s="260">
        <v>5.09</v>
      </c>
      <c r="E48" s="258"/>
      <c r="F48" s="261">
        <v>422.69</v>
      </c>
      <c r="H48" s="8"/>
      <c r="I48" s="205"/>
      <c r="J48" s="205"/>
      <c r="K48" s="282"/>
      <c r="L48" s="233"/>
      <c r="M48" s="317"/>
    </row>
    <row r="49" spans="1:13" x14ac:dyDescent="0.3">
      <c r="A49" s="249">
        <v>38</v>
      </c>
      <c r="B49" s="260">
        <v>8.14</v>
      </c>
      <c r="C49" s="247">
        <v>3.0464274558812479</v>
      </c>
      <c r="D49" s="260">
        <v>5.09</v>
      </c>
      <c r="E49" s="258"/>
      <c r="F49" s="261">
        <v>417.59</v>
      </c>
      <c r="H49" s="8"/>
      <c r="I49" s="205"/>
      <c r="J49" s="205"/>
      <c r="K49" s="282"/>
      <c r="L49" s="233"/>
      <c r="M49" s="317"/>
    </row>
    <row r="50" spans="1:13" x14ac:dyDescent="0.3">
      <c r="A50" s="249">
        <v>39</v>
      </c>
      <c r="B50" s="260">
        <v>8.1</v>
      </c>
      <c r="C50" s="247">
        <v>3.0097234411614897</v>
      </c>
      <c r="D50" s="260">
        <v>5.09</v>
      </c>
      <c r="E50" s="258"/>
      <c r="F50" s="261">
        <v>412.5</v>
      </c>
      <c r="H50" s="8"/>
      <c r="I50" s="205"/>
      <c r="J50" s="205"/>
      <c r="K50" s="282"/>
      <c r="L50" s="233"/>
      <c r="M50" s="317"/>
    </row>
    <row r="51" spans="1:13" x14ac:dyDescent="0.3">
      <c r="A51" s="249">
        <v>40</v>
      </c>
      <c r="B51" s="260">
        <v>8.07</v>
      </c>
      <c r="C51" s="247">
        <v>2.973019426441732</v>
      </c>
      <c r="D51" s="260">
        <v>5.09</v>
      </c>
      <c r="E51" s="258"/>
      <c r="F51" s="261">
        <v>407.41</v>
      </c>
      <c r="H51" s="8"/>
      <c r="I51" s="205"/>
      <c r="J51" s="205"/>
      <c r="K51" s="282"/>
      <c r="L51" s="233"/>
      <c r="M51" s="317"/>
    </row>
    <row r="52" spans="1:13" x14ac:dyDescent="0.3">
      <c r="A52" s="249">
        <v>41</v>
      </c>
      <c r="B52" s="260">
        <v>8.0299999999999994</v>
      </c>
      <c r="C52" s="247">
        <v>2.9363154117219743</v>
      </c>
      <c r="D52" s="260">
        <v>5.09</v>
      </c>
      <c r="E52" s="258"/>
      <c r="F52" s="261">
        <v>402.31</v>
      </c>
      <c r="H52" s="8"/>
      <c r="I52" s="205"/>
      <c r="J52" s="205"/>
      <c r="K52" s="282"/>
      <c r="L52" s="233"/>
      <c r="M52" s="317"/>
    </row>
    <row r="53" spans="1:13" x14ac:dyDescent="0.3">
      <c r="A53" s="249">
        <v>42</v>
      </c>
      <c r="B53" s="260">
        <v>7.99</v>
      </c>
      <c r="C53" s="247">
        <v>2.8996113970022162</v>
      </c>
      <c r="D53" s="260">
        <v>5.09</v>
      </c>
      <c r="E53" s="258"/>
      <c r="F53" s="261">
        <v>397.22</v>
      </c>
      <c r="G53" s="229"/>
      <c r="H53" s="8"/>
      <c r="I53" s="205"/>
      <c r="J53" s="205"/>
      <c r="K53" s="282"/>
      <c r="L53" s="233"/>
      <c r="M53" s="317"/>
    </row>
    <row r="54" spans="1:13" x14ac:dyDescent="0.3">
      <c r="A54" s="249">
        <v>43</v>
      </c>
      <c r="B54" s="260">
        <v>7.96</v>
      </c>
      <c r="C54" s="247">
        <v>2.8629073822824584</v>
      </c>
      <c r="D54" s="260">
        <v>5.09</v>
      </c>
      <c r="E54" s="258"/>
      <c r="F54" s="261">
        <v>392.13</v>
      </c>
      <c r="G54" s="229"/>
      <c r="H54" s="8"/>
      <c r="I54" s="205"/>
      <c r="J54" s="205"/>
      <c r="K54" s="282"/>
      <c r="L54" s="233"/>
      <c r="M54" s="317"/>
    </row>
    <row r="55" spans="1:13" x14ac:dyDescent="0.3">
      <c r="A55" s="249">
        <v>44</v>
      </c>
      <c r="B55" s="260">
        <v>7.92</v>
      </c>
      <c r="C55" s="247">
        <v>2.8262033675627007</v>
      </c>
      <c r="D55" s="260">
        <v>5.09</v>
      </c>
      <c r="E55" s="258"/>
      <c r="F55" s="261">
        <v>387.04</v>
      </c>
      <c r="H55" s="8"/>
      <c r="I55" s="205"/>
      <c r="J55" s="205"/>
      <c r="K55" s="282"/>
      <c r="L55" s="233"/>
      <c r="M55" s="317"/>
    </row>
    <row r="56" spans="1:13" x14ac:dyDescent="0.3">
      <c r="A56" s="249">
        <v>45</v>
      </c>
      <c r="B56" s="260">
        <v>7.88</v>
      </c>
      <c r="C56" s="247">
        <v>2.7894993528429426</v>
      </c>
      <c r="D56" s="260">
        <v>5.09</v>
      </c>
      <c r="E56" s="258"/>
      <c r="F56" s="261">
        <v>381.94</v>
      </c>
      <c r="H56" s="8"/>
      <c r="I56" s="205"/>
      <c r="J56" s="205"/>
      <c r="K56" s="282"/>
      <c r="L56" s="233"/>
      <c r="M56" s="317"/>
    </row>
    <row r="57" spans="1:13" x14ac:dyDescent="0.3">
      <c r="A57" s="249">
        <v>46</v>
      </c>
      <c r="B57" s="260">
        <v>7.85</v>
      </c>
      <c r="C57" s="247">
        <v>2.7527953381231849</v>
      </c>
      <c r="D57" s="260">
        <v>5.09</v>
      </c>
      <c r="E57" s="258"/>
      <c r="F57" s="261">
        <v>376.85</v>
      </c>
      <c r="H57" s="8"/>
      <c r="I57" s="205"/>
      <c r="J57" s="205"/>
      <c r="K57" s="282"/>
      <c r="L57" s="233"/>
      <c r="M57" s="317"/>
    </row>
    <row r="58" spans="1:13" x14ac:dyDescent="0.3">
      <c r="A58" s="249">
        <v>47</v>
      </c>
      <c r="B58" s="260">
        <v>7.81</v>
      </c>
      <c r="C58" s="247">
        <v>2.7160913234034272</v>
      </c>
      <c r="D58" s="260">
        <v>5.09</v>
      </c>
      <c r="E58" s="258"/>
      <c r="F58" s="261">
        <v>371.76</v>
      </c>
      <c r="H58" s="8"/>
      <c r="I58" s="205"/>
      <c r="J58" s="205"/>
      <c r="K58" s="282"/>
      <c r="L58" s="233"/>
      <c r="M58" s="317"/>
    </row>
    <row r="59" spans="1:13" x14ac:dyDescent="0.3">
      <c r="A59" s="249">
        <v>48</v>
      </c>
      <c r="B59" s="260">
        <v>7.77</v>
      </c>
      <c r="C59" s="247">
        <v>2.6793873086836695</v>
      </c>
      <c r="D59" s="260">
        <v>5.09</v>
      </c>
      <c r="E59" s="258"/>
      <c r="F59" s="261">
        <v>366.67</v>
      </c>
      <c r="H59" s="8"/>
      <c r="I59" s="205"/>
      <c r="J59" s="205"/>
      <c r="K59" s="282"/>
      <c r="L59" s="233"/>
      <c r="M59" s="317"/>
    </row>
    <row r="60" spans="1:13" x14ac:dyDescent="0.3">
      <c r="A60" s="249">
        <v>49</v>
      </c>
      <c r="B60" s="260">
        <v>7.74</v>
      </c>
      <c r="C60" s="247">
        <v>2.6426832939639113</v>
      </c>
      <c r="D60" s="260">
        <v>5.09</v>
      </c>
      <c r="E60" s="258"/>
      <c r="F60" s="261">
        <v>361.57</v>
      </c>
      <c r="H60" s="8"/>
      <c r="I60" s="205"/>
      <c r="J60" s="205"/>
      <c r="K60" s="282"/>
      <c r="L60" s="233"/>
      <c r="M60" s="317"/>
    </row>
    <row r="61" spans="1:13" x14ac:dyDescent="0.3">
      <c r="A61" s="249">
        <v>50</v>
      </c>
      <c r="B61" s="260">
        <v>7.7</v>
      </c>
      <c r="C61" s="247">
        <v>2.6059792792441536</v>
      </c>
      <c r="D61" s="260">
        <v>5.09</v>
      </c>
      <c r="E61" s="258"/>
      <c r="F61" s="261">
        <v>356.48</v>
      </c>
      <c r="H61" s="8"/>
      <c r="I61" s="205"/>
      <c r="J61" s="205"/>
      <c r="K61" s="282"/>
      <c r="L61" s="233"/>
      <c r="M61" s="317"/>
    </row>
    <row r="62" spans="1:13" x14ac:dyDescent="0.3">
      <c r="A62" s="249">
        <v>51</v>
      </c>
      <c r="B62" s="260">
        <v>7.66</v>
      </c>
      <c r="C62" s="247">
        <v>2.5692752645243959</v>
      </c>
      <c r="D62" s="260">
        <v>5.09</v>
      </c>
      <c r="E62" s="258"/>
      <c r="F62" s="261">
        <v>351.39</v>
      </c>
      <c r="H62" s="8"/>
      <c r="I62" s="205"/>
      <c r="J62" s="205"/>
      <c r="K62" s="282"/>
      <c r="L62" s="233"/>
      <c r="M62" s="317"/>
    </row>
    <row r="63" spans="1:13" x14ac:dyDescent="0.3">
      <c r="A63" s="249">
        <v>52</v>
      </c>
      <c r="B63" s="260">
        <v>7.63</v>
      </c>
      <c r="C63" s="247">
        <v>2.5325712498046378</v>
      </c>
      <c r="D63" s="260">
        <v>5.09</v>
      </c>
      <c r="E63" s="258"/>
      <c r="F63" s="261">
        <v>346.3</v>
      </c>
      <c r="H63" s="8"/>
      <c r="I63" s="205"/>
      <c r="J63" s="205"/>
      <c r="K63" s="282"/>
      <c r="L63" s="233"/>
      <c r="M63" s="317"/>
    </row>
    <row r="64" spans="1:13" x14ac:dyDescent="0.3">
      <c r="A64" s="249">
        <v>53</v>
      </c>
      <c r="B64" s="260">
        <v>7.59</v>
      </c>
      <c r="C64" s="247">
        <v>2.4958672350848801</v>
      </c>
      <c r="D64" s="260">
        <v>5.09</v>
      </c>
      <c r="E64" s="258"/>
      <c r="F64" s="261">
        <v>341.2</v>
      </c>
      <c r="H64" s="8"/>
      <c r="I64" s="205"/>
      <c r="J64" s="205"/>
      <c r="K64" s="282"/>
      <c r="L64" s="233"/>
      <c r="M64" s="317"/>
    </row>
    <row r="65" spans="1:13" x14ac:dyDescent="0.3">
      <c r="A65" s="249">
        <v>54</v>
      </c>
      <c r="B65" s="260">
        <v>7.55</v>
      </c>
      <c r="C65" s="247">
        <v>2.4591632203651224</v>
      </c>
      <c r="D65" s="260">
        <v>5.09</v>
      </c>
      <c r="E65" s="258"/>
      <c r="F65" s="261">
        <v>336.11</v>
      </c>
      <c r="H65" s="8"/>
      <c r="I65" s="205"/>
      <c r="J65" s="205"/>
      <c r="K65" s="282"/>
      <c r="L65" s="233"/>
      <c r="M65" s="317"/>
    </row>
    <row r="66" spans="1:13" x14ac:dyDescent="0.3">
      <c r="A66" s="249">
        <v>55</v>
      </c>
      <c r="B66" s="260">
        <v>7.52</v>
      </c>
      <c r="C66" s="247">
        <v>2.4224592056453642</v>
      </c>
      <c r="D66" s="260">
        <v>5.09</v>
      </c>
      <c r="E66" s="258"/>
      <c r="F66" s="261">
        <v>331.02</v>
      </c>
      <c r="H66" s="8"/>
      <c r="I66" s="205"/>
      <c r="J66" s="205"/>
      <c r="K66" s="282"/>
      <c r="L66" s="233"/>
      <c r="M66" s="317"/>
    </row>
    <row r="67" spans="1:13" x14ac:dyDescent="0.3">
      <c r="A67" s="249">
        <v>56</v>
      </c>
      <c r="B67" s="260">
        <v>7.48</v>
      </c>
      <c r="C67" s="247">
        <v>2.3857551909256065</v>
      </c>
      <c r="D67" s="260">
        <v>5.09</v>
      </c>
      <c r="E67" s="258"/>
      <c r="F67" s="261">
        <v>325.93</v>
      </c>
      <c r="H67" s="8"/>
      <c r="I67" s="205"/>
      <c r="J67" s="205"/>
      <c r="K67" s="282"/>
      <c r="L67" s="233"/>
      <c r="M67" s="317"/>
    </row>
    <row r="68" spans="1:13" x14ac:dyDescent="0.3">
      <c r="A68" s="249">
        <v>57</v>
      </c>
      <c r="B68" s="260">
        <v>7.44</v>
      </c>
      <c r="C68" s="247">
        <v>2.3490511762058488</v>
      </c>
      <c r="D68" s="260">
        <v>5.09</v>
      </c>
      <c r="E68" s="258"/>
      <c r="F68" s="261">
        <v>320.83</v>
      </c>
      <c r="H68" s="8"/>
      <c r="I68" s="205"/>
      <c r="J68" s="205"/>
      <c r="K68" s="282"/>
      <c r="L68" s="233"/>
      <c r="M68" s="317"/>
    </row>
    <row r="69" spans="1:13" x14ac:dyDescent="0.3">
      <c r="A69" s="249">
        <v>58</v>
      </c>
      <c r="B69" s="260">
        <v>7.4</v>
      </c>
      <c r="C69" s="247">
        <v>2.3123471614860911</v>
      </c>
      <c r="D69" s="260">
        <v>5.09</v>
      </c>
      <c r="E69" s="258"/>
      <c r="F69" s="261">
        <v>315.74</v>
      </c>
      <c r="H69" s="8"/>
      <c r="I69" s="205"/>
      <c r="J69" s="205"/>
      <c r="K69" s="282"/>
      <c r="L69" s="233"/>
      <c r="M69" s="317"/>
    </row>
    <row r="70" spans="1:13" x14ac:dyDescent="0.3">
      <c r="A70" s="249">
        <v>59</v>
      </c>
      <c r="B70" s="260">
        <v>7.37</v>
      </c>
      <c r="C70" s="247">
        <v>2.2756431467663329</v>
      </c>
      <c r="D70" s="260">
        <v>5.09</v>
      </c>
      <c r="E70" s="258"/>
      <c r="F70" s="261">
        <v>310.64999999999998</v>
      </c>
      <c r="H70" s="8"/>
      <c r="I70" s="205"/>
      <c r="J70" s="205"/>
      <c r="K70" s="282"/>
      <c r="L70" s="233"/>
      <c r="M70" s="317"/>
    </row>
    <row r="71" spans="1:13" x14ac:dyDescent="0.3">
      <c r="A71" s="249">
        <v>60</v>
      </c>
      <c r="B71" s="260">
        <v>7.33</v>
      </c>
      <c r="C71" s="247">
        <v>2.2389391320465752</v>
      </c>
      <c r="D71" s="260">
        <v>5.09</v>
      </c>
      <c r="E71" s="258"/>
      <c r="F71" s="261">
        <v>305.56</v>
      </c>
      <c r="H71" s="8"/>
      <c r="I71" s="205"/>
      <c r="J71" s="205"/>
      <c r="K71" s="282"/>
      <c r="L71" s="233"/>
      <c r="M71" s="317"/>
    </row>
    <row r="72" spans="1:13" x14ac:dyDescent="0.3">
      <c r="A72" s="249">
        <v>61</v>
      </c>
      <c r="B72" s="260">
        <v>7.29</v>
      </c>
      <c r="C72" s="247">
        <v>2.2022351173268175</v>
      </c>
      <c r="D72" s="260">
        <v>5.09</v>
      </c>
      <c r="E72" s="258"/>
      <c r="F72" s="261">
        <v>300.45999999999998</v>
      </c>
      <c r="H72" s="8"/>
      <c r="I72" s="205"/>
      <c r="J72" s="205"/>
      <c r="K72" s="282"/>
      <c r="L72" s="233"/>
      <c r="M72" s="317"/>
    </row>
    <row r="73" spans="1:13" x14ac:dyDescent="0.3">
      <c r="A73" s="249">
        <v>62</v>
      </c>
      <c r="B73" s="260">
        <v>7.26</v>
      </c>
      <c r="C73" s="247">
        <v>2.1655311026070594</v>
      </c>
      <c r="D73" s="260">
        <v>5.09</v>
      </c>
      <c r="E73" s="258"/>
      <c r="F73" s="261">
        <v>295.37</v>
      </c>
      <c r="H73" s="8"/>
      <c r="I73" s="205"/>
      <c r="J73" s="205"/>
      <c r="K73" s="282"/>
      <c r="L73" s="233"/>
      <c r="M73" s="317"/>
    </row>
    <row r="74" spans="1:13" x14ac:dyDescent="0.3">
      <c r="A74" s="249">
        <v>63</v>
      </c>
      <c r="B74" s="260">
        <v>7.22</v>
      </c>
      <c r="C74" s="247">
        <v>2.1288270878873017</v>
      </c>
      <c r="D74" s="260">
        <v>5.09</v>
      </c>
      <c r="E74" s="258"/>
      <c r="F74" s="261">
        <v>290.27999999999997</v>
      </c>
      <c r="H74" s="8"/>
      <c r="I74" s="205"/>
      <c r="J74" s="205"/>
      <c r="K74" s="282"/>
      <c r="L74" s="233"/>
      <c r="M74" s="317"/>
    </row>
    <row r="75" spans="1:13" x14ac:dyDescent="0.3">
      <c r="A75" s="249">
        <v>64</v>
      </c>
      <c r="B75" s="260">
        <v>7.18</v>
      </c>
      <c r="C75" s="247">
        <v>2.092123073167544</v>
      </c>
      <c r="D75" s="260">
        <v>5.09</v>
      </c>
      <c r="E75" s="258"/>
      <c r="F75" s="261">
        <v>285.18</v>
      </c>
      <c r="H75" s="8"/>
      <c r="I75" s="205"/>
      <c r="J75" s="205"/>
      <c r="K75" s="282"/>
      <c r="L75" s="233"/>
      <c r="M75" s="317"/>
    </row>
    <row r="76" spans="1:13" x14ac:dyDescent="0.3">
      <c r="A76" s="249">
        <v>65</v>
      </c>
      <c r="B76" s="260">
        <v>7.15</v>
      </c>
      <c r="C76" s="247">
        <v>2.0554190584477858</v>
      </c>
      <c r="D76" s="260">
        <v>5.09</v>
      </c>
      <c r="E76" s="258"/>
      <c r="F76" s="261">
        <v>280.08999999999997</v>
      </c>
      <c r="H76" s="8"/>
      <c r="I76" s="205"/>
      <c r="J76" s="205"/>
      <c r="K76" s="282"/>
      <c r="L76" s="233"/>
      <c r="M76" s="317"/>
    </row>
    <row r="77" spans="1:13" x14ac:dyDescent="0.3">
      <c r="A77" s="249">
        <v>66</v>
      </c>
      <c r="B77" s="260">
        <v>7.11</v>
      </c>
      <c r="C77" s="247">
        <v>2.0187150437280281</v>
      </c>
      <c r="D77" s="260">
        <v>5.09</v>
      </c>
      <c r="E77" s="258"/>
      <c r="F77" s="261">
        <v>275</v>
      </c>
      <c r="H77" s="8"/>
      <c r="I77" s="205"/>
      <c r="J77" s="205"/>
      <c r="K77" s="282"/>
      <c r="L77" s="233"/>
      <c r="M77" s="317"/>
    </row>
    <row r="78" spans="1:13" x14ac:dyDescent="0.3">
      <c r="A78" s="249">
        <v>67</v>
      </c>
      <c r="B78" s="260">
        <v>7.07</v>
      </c>
      <c r="C78" s="247">
        <v>1.9820110290082704</v>
      </c>
      <c r="D78" s="260">
        <v>5.09</v>
      </c>
      <c r="E78" s="258"/>
      <c r="F78" s="261">
        <v>269.91000000000003</v>
      </c>
      <c r="H78" s="8"/>
      <c r="I78" s="205"/>
      <c r="J78" s="205"/>
      <c r="K78" s="282"/>
      <c r="L78" s="233"/>
      <c r="M78" s="317"/>
    </row>
    <row r="79" spans="1:13" x14ac:dyDescent="0.3">
      <c r="A79" s="249">
        <v>68</v>
      </c>
      <c r="B79" s="260">
        <v>7.04</v>
      </c>
      <c r="C79" s="247">
        <v>1.9453070142885125</v>
      </c>
      <c r="D79" s="260">
        <v>5.09</v>
      </c>
      <c r="E79" s="258"/>
      <c r="F79" s="261">
        <v>264.81</v>
      </c>
      <c r="H79" s="8"/>
      <c r="I79" s="205"/>
      <c r="J79" s="205"/>
      <c r="K79" s="282"/>
      <c r="L79" s="233"/>
      <c r="M79" s="317"/>
    </row>
    <row r="80" spans="1:13" x14ac:dyDescent="0.3">
      <c r="A80" s="249">
        <v>69</v>
      </c>
      <c r="B80" s="260">
        <v>7</v>
      </c>
      <c r="C80" s="247">
        <v>1.9086029995687546</v>
      </c>
      <c r="D80" s="260">
        <v>5.09</v>
      </c>
      <c r="E80" s="258"/>
      <c r="F80" s="261">
        <v>259.72000000000003</v>
      </c>
      <c r="H80" s="8"/>
      <c r="I80" s="205"/>
      <c r="J80" s="205"/>
      <c r="K80" s="282"/>
      <c r="L80" s="233"/>
      <c r="M80" s="317"/>
    </row>
    <row r="81" spans="1:13" x14ac:dyDescent="0.3">
      <c r="A81" s="249">
        <v>70</v>
      </c>
      <c r="B81" s="260">
        <v>6.96</v>
      </c>
      <c r="C81" s="247">
        <v>1.8718989848489969</v>
      </c>
      <c r="D81" s="260">
        <v>5.09</v>
      </c>
      <c r="E81" s="258"/>
      <c r="F81" s="261">
        <v>254.63</v>
      </c>
      <c r="H81" s="8"/>
      <c r="I81" s="205"/>
      <c r="J81" s="205"/>
      <c r="K81" s="282"/>
      <c r="L81" s="233"/>
      <c r="M81" s="317"/>
    </row>
    <row r="82" spans="1:13" x14ac:dyDescent="0.3">
      <c r="A82" s="249">
        <v>71</v>
      </c>
      <c r="B82" s="260">
        <v>6.93</v>
      </c>
      <c r="C82" s="247">
        <v>1.8351949701292389</v>
      </c>
      <c r="D82" s="260">
        <v>5.09</v>
      </c>
      <c r="E82" s="258"/>
      <c r="F82" s="261">
        <v>249.54</v>
      </c>
      <c r="H82" s="8"/>
      <c r="I82" s="205"/>
      <c r="J82" s="205"/>
      <c r="K82" s="282"/>
      <c r="L82" s="233"/>
      <c r="M82" s="317"/>
    </row>
    <row r="83" spans="1:13" x14ac:dyDescent="0.3">
      <c r="A83" s="249">
        <v>72</v>
      </c>
      <c r="B83" s="260">
        <v>6.89</v>
      </c>
      <c r="C83" s="247">
        <v>1.7984909554094812</v>
      </c>
      <c r="D83" s="260">
        <v>5.09</v>
      </c>
      <c r="E83" s="258"/>
      <c r="F83" s="261">
        <v>244.44</v>
      </c>
      <c r="H83" s="8"/>
      <c r="I83" s="205"/>
      <c r="J83" s="205"/>
      <c r="K83" s="282"/>
      <c r="L83" s="233"/>
      <c r="M83" s="317"/>
    </row>
    <row r="84" spans="1:13" x14ac:dyDescent="0.3">
      <c r="A84" s="249">
        <v>73</v>
      </c>
      <c r="B84" s="260">
        <v>6.85</v>
      </c>
      <c r="C84" s="247">
        <v>1.7617869406897233</v>
      </c>
      <c r="D84" s="260">
        <v>5.09</v>
      </c>
      <c r="E84" s="258"/>
      <c r="F84" s="261">
        <v>239.35</v>
      </c>
      <c r="H84" s="8"/>
      <c r="I84" s="205"/>
      <c r="J84" s="205"/>
      <c r="K84" s="282"/>
      <c r="L84" s="233"/>
      <c r="M84" s="317"/>
    </row>
    <row r="85" spans="1:13" x14ac:dyDescent="0.3">
      <c r="A85" s="249">
        <v>74</v>
      </c>
      <c r="B85" s="260">
        <v>6.82</v>
      </c>
      <c r="C85" s="247">
        <v>1.7250829259699654</v>
      </c>
      <c r="D85" s="260">
        <v>5.09</v>
      </c>
      <c r="E85" s="258"/>
      <c r="F85" s="261">
        <v>234.26</v>
      </c>
      <c r="H85" s="8"/>
      <c r="I85" s="205"/>
      <c r="J85" s="205"/>
      <c r="K85" s="282"/>
      <c r="L85" s="233"/>
      <c r="M85" s="317"/>
    </row>
    <row r="86" spans="1:13" x14ac:dyDescent="0.3">
      <c r="A86" s="249">
        <v>75</v>
      </c>
      <c r="B86" s="260">
        <v>6.78</v>
      </c>
      <c r="C86" s="247">
        <v>1.6883789112502077</v>
      </c>
      <c r="D86" s="260">
        <v>5.09</v>
      </c>
      <c r="E86" s="258"/>
      <c r="F86" s="261">
        <v>229.17</v>
      </c>
      <c r="H86" s="8"/>
      <c r="I86" s="205"/>
      <c r="J86" s="205"/>
      <c r="K86" s="282"/>
      <c r="L86" s="233"/>
      <c r="M86" s="317"/>
    </row>
    <row r="87" spans="1:13" x14ac:dyDescent="0.3">
      <c r="A87" s="249">
        <v>76</v>
      </c>
      <c r="B87" s="260">
        <v>6.74</v>
      </c>
      <c r="C87" s="247">
        <v>1.6516748965304497</v>
      </c>
      <c r="D87" s="260">
        <v>5.09</v>
      </c>
      <c r="E87" s="258"/>
      <c r="F87" s="261">
        <v>224.07</v>
      </c>
      <c r="H87" s="8"/>
      <c r="I87" s="205"/>
      <c r="J87" s="205"/>
      <c r="K87" s="282"/>
      <c r="L87" s="233"/>
      <c r="M87" s="317"/>
    </row>
    <row r="88" spans="1:13" x14ac:dyDescent="0.3">
      <c r="A88" s="249">
        <v>77</v>
      </c>
      <c r="B88" s="260">
        <v>6.71</v>
      </c>
      <c r="C88" s="247">
        <v>1.614970881810692</v>
      </c>
      <c r="D88" s="260">
        <v>5.09</v>
      </c>
      <c r="E88" s="258"/>
      <c r="F88" s="261">
        <v>218.98</v>
      </c>
      <c r="H88" s="8"/>
      <c r="I88" s="205"/>
      <c r="J88" s="205"/>
      <c r="K88" s="282"/>
      <c r="L88" s="233"/>
      <c r="M88" s="317"/>
    </row>
    <row r="89" spans="1:13" x14ac:dyDescent="0.3">
      <c r="A89" s="249">
        <v>78</v>
      </c>
      <c r="B89" s="260">
        <v>6.67</v>
      </c>
      <c r="C89" s="247">
        <v>1.5782668670909341</v>
      </c>
      <c r="D89" s="260">
        <v>5.09</v>
      </c>
      <c r="E89" s="258"/>
      <c r="F89" s="261">
        <v>213.89</v>
      </c>
      <c r="H89" s="8"/>
      <c r="I89" s="205"/>
      <c r="J89" s="205"/>
      <c r="K89" s="282"/>
      <c r="L89" s="233"/>
      <c r="M89" s="317"/>
    </row>
    <row r="90" spans="1:13" x14ac:dyDescent="0.3">
      <c r="A90" s="249">
        <v>79</v>
      </c>
      <c r="B90" s="260">
        <v>6.63</v>
      </c>
      <c r="C90" s="247">
        <v>1.5415628523711762</v>
      </c>
      <c r="D90" s="260">
        <v>5.09</v>
      </c>
      <c r="E90" s="258"/>
      <c r="F90" s="261">
        <v>208.8</v>
      </c>
      <c r="H90" s="8"/>
      <c r="I90" s="205"/>
      <c r="J90" s="205"/>
      <c r="K90" s="282"/>
      <c r="L90" s="233"/>
      <c r="M90" s="317"/>
    </row>
    <row r="91" spans="1:13" x14ac:dyDescent="0.3">
      <c r="A91" s="249">
        <v>80</v>
      </c>
      <c r="B91" s="260">
        <v>6.6</v>
      </c>
      <c r="C91" s="247">
        <v>1.5048588376514185</v>
      </c>
      <c r="D91" s="260">
        <v>5.09</v>
      </c>
      <c r="E91" s="258"/>
      <c r="F91" s="261">
        <v>203.7</v>
      </c>
      <c r="H91" s="8"/>
      <c r="I91" s="205"/>
      <c r="J91" s="205"/>
      <c r="K91" s="282"/>
      <c r="L91" s="233"/>
      <c r="M91" s="317"/>
    </row>
    <row r="92" spans="1:13" x14ac:dyDescent="0.3">
      <c r="A92" s="249">
        <v>81</v>
      </c>
      <c r="B92" s="260">
        <v>6.56</v>
      </c>
      <c r="C92" s="247">
        <v>1.4681548229316606</v>
      </c>
      <c r="D92" s="260">
        <v>5.09</v>
      </c>
      <c r="E92" s="258"/>
      <c r="F92" s="261">
        <v>198.61</v>
      </c>
      <c r="H92" s="8"/>
      <c r="I92" s="205"/>
      <c r="J92" s="205"/>
      <c r="K92" s="282"/>
      <c r="L92" s="233"/>
      <c r="M92" s="317"/>
    </row>
    <row r="93" spans="1:13" x14ac:dyDescent="0.3">
      <c r="A93" s="249">
        <v>82</v>
      </c>
      <c r="B93" s="260">
        <v>6.52</v>
      </c>
      <c r="C93" s="247">
        <v>1.4314508082119028</v>
      </c>
      <c r="D93" s="260">
        <v>5.09</v>
      </c>
      <c r="E93" s="258"/>
      <c r="F93" s="261">
        <v>193.52</v>
      </c>
      <c r="H93" s="8"/>
      <c r="I93" s="205"/>
      <c r="J93" s="205"/>
      <c r="K93" s="282"/>
      <c r="L93" s="233"/>
      <c r="M93" s="317"/>
    </row>
    <row r="94" spans="1:13" x14ac:dyDescent="0.3">
      <c r="A94" s="249">
        <v>83</v>
      </c>
      <c r="B94" s="260">
        <v>6.49</v>
      </c>
      <c r="C94" s="247">
        <v>1.3947467934921449</v>
      </c>
      <c r="D94" s="260">
        <v>5.09</v>
      </c>
      <c r="E94" s="258"/>
      <c r="F94" s="261">
        <v>188.43</v>
      </c>
      <c r="H94" s="8"/>
      <c r="I94" s="205"/>
      <c r="J94" s="205"/>
      <c r="K94" s="282"/>
      <c r="L94" s="233"/>
      <c r="M94" s="317"/>
    </row>
    <row r="95" spans="1:13" x14ac:dyDescent="0.3">
      <c r="A95" s="249">
        <v>84</v>
      </c>
      <c r="B95" s="260">
        <v>6.45</v>
      </c>
      <c r="C95" s="247">
        <v>1.358042778772387</v>
      </c>
      <c r="D95" s="260">
        <v>5.09</v>
      </c>
      <c r="E95" s="258"/>
      <c r="F95" s="261">
        <v>183.33</v>
      </c>
      <c r="H95" s="8"/>
      <c r="I95" s="205"/>
      <c r="J95" s="205"/>
      <c r="K95" s="282"/>
      <c r="L95" s="233"/>
      <c r="M95" s="317"/>
    </row>
    <row r="96" spans="1:13" x14ac:dyDescent="0.3">
      <c r="A96" s="249">
        <v>85</v>
      </c>
      <c r="B96" s="260">
        <v>6.41</v>
      </c>
      <c r="C96" s="247">
        <v>1.3213387640526293</v>
      </c>
      <c r="D96" s="260">
        <v>5.09</v>
      </c>
      <c r="E96" s="258"/>
      <c r="F96" s="261">
        <v>178.24</v>
      </c>
      <c r="H96" s="8"/>
      <c r="I96" s="205"/>
      <c r="J96" s="205"/>
      <c r="K96" s="282"/>
      <c r="L96" s="233"/>
      <c r="M96" s="317"/>
    </row>
    <row r="97" spans="1:13" x14ac:dyDescent="0.3">
      <c r="A97" s="249">
        <v>86</v>
      </c>
      <c r="B97" s="260">
        <v>6.38</v>
      </c>
      <c r="C97" s="247">
        <v>1.2846347493328714</v>
      </c>
      <c r="D97" s="260">
        <v>5.09</v>
      </c>
      <c r="E97" s="258"/>
      <c r="F97" s="261">
        <v>173.15</v>
      </c>
      <c r="H97" s="8"/>
      <c r="I97" s="205"/>
      <c r="J97" s="205"/>
      <c r="K97" s="282"/>
      <c r="L97" s="233"/>
      <c r="M97" s="317"/>
    </row>
    <row r="98" spans="1:13" x14ac:dyDescent="0.3">
      <c r="A98" s="249">
        <v>87</v>
      </c>
      <c r="B98" s="260">
        <v>6.34</v>
      </c>
      <c r="C98" s="247">
        <v>1.2479307346131137</v>
      </c>
      <c r="D98" s="260">
        <v>5.09</v>
      </c>
      <c r="E98" s="258"/>
      <c r="F98" s="261">
        <v>168.06</v>
      </c>
      <c r="H98" s="8"/>
      <c r="I98" s="205"/>
      <c r="J98" s="205"/>
      <c r="K98" s="282"/>
      <c r="L98" s="233"/>
      <c r="M98" s="317"/>
    </row>
    <row r="99" spans="1:13" x14ac:dyDescent="0.3">
      <c r="A99" s="249">
        <v>88</v>
      </c>
      <c r="B99" s="260">
        <v>6.3</v>
      </c>
      <c r="C99" s="247">
        <v>1.2112267198933557</v>
      </c>
      <c r="D99" s="260">
        <v>5.09</v>
      </c>
      <c r="E99" s="258"/>
      <c r="F99" s="261">
        <v>162.96</v>
      </c>
      <c r="H99" s="8"/>
      <c r="I99" s="205"/>
      <c r="J99" s="205"/>
      <c r="K99" s="282"/>
      <c r="L99" s="233"/>
      <c r="M99" s="317"/>
    </row>
    <row r="100" spans="1:13" x14ac:dyDescent="0.3">
      <c r="A100" s="249">
        <v>89</v>
      </c>
      <c r="B100" s="260">
        <v>6.27</v>
      </c>
      <c r="C100" s="247">
        <v>1.1745227051735978</v>
      </c>
      <c r="D100" s="260">
        <v>5.09</v>
      </c>
      <c r="E100" s="258"/>
      <c r="F100" s="261">
        <v>157.87</v>
      </c>
      <c r="H100" s="8"/>
      <c r="I100" s="205"/>
      <c r="J100" s="205"/>
      <c r="K100" s="282"/>
      <c r="L100" s="233"/>
      <c r="M100" s="317"/>
    </row>
    <row r="101" spans="1:13" x14ac:dyDescent="0.3">
      <c r="A101" s="249">
        <v>90</v>
      </c>
      <c r="B101" s="260">
        <v>6.23</v>
      </c>
      <c r="C101" s="247">
        <v>1.1378186904538401</v>
      </c>
      <c r="D101" s="260">
        <v>5.09</v>
      </c>
      <c r="E101" s="258"/>
      <c r="F101" s="261">
        <v>152.78</v>
      </c>
      <c r="H101" s="8"/>
      <c r="I101" s="205"/>
      <c r="J101" s="205"/>
      <c r="K101" s="282"/>
      <c r="L101" s="233"/>
      <c r="M101" s="317"/>
    </row>
    <row r="102" spans="1:13" x14ac:dyDescent="0.3">
      <c r="A102" s="249">
        <v>91</v>
      </c>
      <c r="B102" s="260">
        <v>6.19</v>
      </c>
      <c r="C102" s="247">
        <v>1.1011146757340822</v>
      </c>
      <c r="D102" s="260">
        <v>5.09</v>
      </c>
      <c r="E102" s="258"/>
      <c r="F102" s="261">
        <v>147.68</v>
      </c>
      <c r="H102" s="8"/>
      <c r="I102" s="205"/>
      <c r="J102" s="205"/>
      <c r="K102" s="282"/>
      <c r="L102" s="233"/>
      <c r="M102" s="317"/>
    </row>
    <row r="103" spans="1:13" x14ac:dyDescent="0.3">
      <c r="A103" s="249">
        <v>92</v>
      </c>
      <c r="B103" s="260">
        <v>6.16</v>
      </c>
      <c r="C103" s="247">
        <v>1.0644106610143245</v>
      </c>
      <c r="D103" s="260">
        <v>5.09</v>
      </c>
      <c r="E103" s="258"/>
      <c r="F103" s="261">
        <v>142.59</v>
      </c>
      <c r="H103" s="8"/>
      <c r="I103" s="205"/>
      <c r="J103" s="205"/>
      <c r="K103" s="282"/>
      <c r="L103" s="233"/>
      <c r="M103" s="317"/>
    </row>
    <row r="104" spans="1:13" x14ac:dyDescent="0.3">
      <c r="A104" s="249">
        <v>93</v>
      </c>
      <c r="B104" s="260">
        <v>6.12</v>
      </c>
      <c r="C104" s="247">
        <v>1.0277066462945665</v>
      </c>
      <c r="D104" s="260">
        <v>5.09</v>
      </c>
      <c r="E104" s="258"/>
      <c r="F104" s="261">
        <v>137.5</v>
      </c>
      <c r="H104" s="8"/>
      <c r="I104" s="205"/>
      <c r="J104" s="205"/>
      <c r="K104" s="282"/>
      <c r="L104" s="233"/>
      <c r="M104" s="317"/>
    </row>
    <row r="105" spans="1:13" x14ac:dyDescent="0.3">
      <c r="A105" s="249">
        <v>94</v>
      </c>
      <c r="B105" s="260">
        <v>6.08</v>
      </c>
      <c r="C105" s="247">
        <v>0.99100263157480872</v>
      </c>
      <c r="D105" s="260">
        <v>5.09</v>
      </c>
      <c r="E105" s="258"/>
      <c r="F105" s="261">
        <v>132.41</v>
      </c>
      <c r="H105" s="8"/>
      <c r="I105" s="205"/>
      <c r="J105" s="205"/>
      <c r="K105" s="282"/>
      <c r="L105" s="233"/>
      <c r="M105" s="317"/>
    </row>
    <row r="106" spans="1:13" x14ac:dyDescent="0.3">
      <c r="A106" s="249">
        <v>95</v>
      </c>
      <c r="B106" s="260">
        <v>6.05</v>
      </c>
      <c r="C106" s="247">
        <v>0.95429861685505091</v>
      </c>
      <c r="D106" s="260">
        <v>5.09</v>
      </c>
      <c r="E106" s="258"/>
      <c r="F106" s="261">
        <v>127.31</v>
      </c>
      <c r="H106" s="8"/>
      <c r="I106" s="205"/>
      <c r="J106" s="205"/>
      <c r="K106" s="282"/>
      <c r="L106" s="233"/>
      <c r="M106" s="317"/>
    </row>
    <row r="107" spans="1:13" x14ac:dyDescent="0.3">
      <c r="A107" s="249">
        <v>96</v>
      </c>
      <c r="B107" s="260">
        <v>6.01</v>
      </c>
      <c r="C107" s="247">
        <v>0.91759460213529309</v>
      </c>
      <c r="D107" s="260">
        <v>5.09</v>
      </c>
      <c r="E107" s="258"/>
      <c r="F107" s="261">
        <v>122.22</v>
      </c>
      <c r="H107" s="8"/>
      <c r="I107" s="205"/>
      <c r="J107" s="205"/>
      <c r="K107" s="282"/>
      <c r="L107" s="233"/>
      <c r="M107" s="317"/>
    </row>
    <row r="108" spans="1:13" x14ac:dyDescent="0.3">
      <c r="A108" s="249">
        <v>97</v>
      </c>
      <c r="B108" s="260">
        <v>5.97</v>
      </c>
      <c r="C108" s="247">
        <v>0.88089058741553516</v>
      </c>
      <c r="D108" s="260">
        <v>5.09</v>
      </c>
      <c r="E108" s="258"/>
      <c r="F108" s="261">
        <v>117.13</v>
      </c>
      <c r="H108" s="8"/>
      <c r="I108" s="205"/>
      <c r="J108" s="205"/>
      <c r="K108" s="282"/>
      <c r="L108" s="233"/>
      <c r="M108" s="317"/>
    </row>
    <row r="109" spans="1:13" x14ac:dyDescent="0.3">
      <c r="A109" s="249">
        <v>98</v>
      </c>
      <c r="B109" s="260">
        <v>5.94</v>
      </c>
      <c r="C109" s="247">
        <v>0.84418657269577735</v>
      </c>
      <c r="D109" s="260">
        <v>5.09</v>
      </c>
      <c r="E109" s="258"/>
      <c r="F109" s="261">
        <v>112.04</v>
      </c>
      <c r="H109" s="8"/>
      <c r="I109" s="205"/>
      <c r="J109" s="205"/>
      <c r="K109" s="282"/>
      <c r="L109" s="233"/>
      <c r="M109" s="317"/>
    </row>
    <row r="110" spans="1:13" x14ac:dyDescent="0.3">
      <c r="A110" s="249">
        <v>99</v>
      </c>
      <c r="B110" s="260">
        <v>5.9</v>
      </c>
      <c r="C110" s="247">
        <v>0.80748255797601953</v>
      </c>
      <c r="D110" s="260">
        <v>5.09</v>
      </c>
      <c r="E110" s="258"/>
      <c r="F110" s="261">
        <v>106.94</v>
      </c>
      <c r="H110" s="8"/>
      <c r="I110" s="205"/>
      <c r="J110" s="205"/>
      <c r="K110" s="282"/>
      <c r="L110" s="233"/>
      <c r="M110" s="317"/>
    </row>
    <row r="111" spans="1:13" x14ac:dyDescent="0.3">
      <c r="A111" s="249">
        <v>100</v>
      </c>
      <c r="B111" s="260">
        <v>5.86</v>
      </c>
      <c r="C111" s="247">
        <v>0.77077854325626172</v>
      </c>
      <c r="D111" s="260">
        <v>5.09</v>
      </c>
      <c r="E111" s="258"/>
      <c r="F111" s="261">
        <v>101.85</v>
      </c>
      <c r="H111" s="8"/>
      <c r="I111" s="205"/>
      <c r="J111" s="205"/>
      <c r="K111" s="282"/>
      <c r="L111" s="233"/>
      <c r="M111" s="317"/>
    </row>
    <row r="112" spans="1:13" x14ac:dyDescent="0.3">
      <c r="A112" s="249">
        <v>101</v>
      </c>
      <c r="B112" s="260">
        <v>5.83</v>
      </c>
      <c r="C112" s="247">
        <v>0.7340745285365039</v>
      </c>
      <c r="D112" s="260">
        <v>5.09</v>
      </c>
      <c r="E112" s="258"/>
      <c r="F112" s="261">
        <v>96.76</v>
      </c>
      <c r="H112" s="8"/>
      <c r="I112" s="205"/>
      <c r="J112" s="205"/>
      <c r="K112" s="282"/>
      <c r="L112" s="233"/>
      <c r="M112" s="317"/>
    </row>
    <row r="113" spans="1:13" x14ac:dyDescent="0.3">
      <c r="A113" s="249">
        <v>102</v>
      </c>
      <c r="B113" s="260">
        <v>5.79</v>
      </c>
      <c r="C113" s="247">
        <v>0.69737051381674597</v>
      </c>
      <c r="D113" s="260">
        <v>5.09</v>
      </c>
      <c r="E113" s="258"/>
      <c r="F113" s="261">
        <v>91.67</v>
      </c>
      <c r="H113" s="8"/>
      <c r="I113" s="205"/>
      <c r="J113" s="205"/>
      <c r="K113" s="282"/>
      <c r="L113" s="233"/>
      <c r="M113" s="317"/>
    </row>
    <row r="114" spans="1:13" x14ac:dyDescent="0.3">
      <c r="A114" s="249">
        <v>103</v>
      </c>
      <c r="B114" s="260">
        <v>5.75</v>
      </c>
      <c r="C114" s="247">
        <v>0.66066649909698816</v>
      </c>
      <c r="D114" s="260">
        <v>5.09</v>
      </c>
      <c r="E114" s="258"/>
      <c r="F114" s="261">
        <v>86.57</v>
      </c>
      <c r="H114" s="8"/>
      <c r="I114" s="205"/>
      <c r="J114" s="205"/>
      <c r="K114" s="282"/>
      <c r="L114" s="233"/>
      <c r="M114" s="317"/>
    </row>
    <row r="115" spans="1:13" x14ac:dyDescent="0.3">
      <c r="A115" s="249">
        <v>104</v>
      </c>
      <c r="B115" s="260">
        <v>5.72</v>
      </c>
      <c r="C115" s="247">
        <v>0.62396248437723034</v>
      </c>
      <c r="D115" s="260">
        <v>5.09</v>
      </c>
      <c r="E115" s="258"/>
      <c r="F115" s="261">
        <v>81.48</v>
      </c>
      <c r="H115" s="8"/>
      <c r="I115" s="205"/>
      <c r="J115" s="205"/>
      <c r="K115" s="282"/>
      <c r="L115" s="233"/>
      <c r="M115" s="317"/>
    </row>
    <row r="116" spans="1:13" x14ac:dyDescent="0.3">
      <c r="A116" s="249">
        <v>105</v>
      </c>
      <c r="B116" s="260">
        <v>5.68</v>
      </c>
      <c r="C116" s="247">
        <v>0.58725846965747253</v>
      </c>
      <c r="D116" s="260">
        <v>5.09</v>
      </c>
      <c r="E116" s="258"/>
      <c r="F116" s="261">
        <v>76.39</v>
      </c>
      <c r="H116" s="8"/>
      <c r="I116" s="205"/>
      <c r="J116" s="205"/>
      <c r="K116" s="282"/>
      <c r="L116" s="233"/>
      <c r="M116" s="317"/>
    </row>
    <row r="117" spans="1:13" x14ac:dyDescent="0.3">
      <c r="A117" s="249">
        <v>106</v>
      </c>
      <c r="B117" s="260">
        <v>5.64</v>
      </c>
      <c r="C117" s="247">
        <v>0.55055445493771471</v>
      </c>
      <c r="D117" s="260">
        <v>5.09</v>
      </c>
      <c r="E117" s="258"/>
      <c r="F117" s="261">
        <v>71.3</v>
      </c>
      <c r="H117" s="8"/>
      <c r="I117" s="205"/>
      <c r="J117" s="205"/>
      <c r="K117" s="282"/>
      <c r="L117" s="233"/>
      <c r="M117" s="317"/>
    </row>
    <row r="118" spans="1:13" x14ac:dyDescent="0.3">
      <c r="A118" s="249">
        <v>107</v>
      </c>
      <c r="B118" s="260">
        <v>5.61</v>
      </c>
      <c r="C118" s="247">
        <v>0.51385044021795678</v>
      </c>
      <c r="D118" s="260">
        <v>5.09</v>
      </c>
      <c r="E118" s="258"/>
      <c r="F118" s="261">
        <v>66.2</v>
      </c>
      <c r="H118" s="8"/>
      <c r="I118" s="205"/>
      <c r="J118" s="205"/>
      <c r="K118" s="282"/>
      <c r="L118" s="233"/>
      <c r="M118" s="317"/>
    </row>
    <row r="119" spans="1:13" x14ac:dyDescent="0.3">
      <c r="A119" s="249">
        <v>108</v>
      </c>
      <c r="B119" s="260">
        <v>5.57</v>
      </c>
      <c r="C119" s="247">
        <v>0.47714642549819897</v>
      </c>
      <c r="D119" s="260">
        <v>5.09</v>
      </c>
      <c r="E119" s="258"/>
      <c r="F119" s="261">
        <v>61.11</v>
      </c>
      <c r="H119" s="8"/>
      <c r="I119" s="205"/>
      <c r="J119" s="205"/>
      <c r="K119" s="282"/>
      <c r="L119" s="233"/>
      <c r="M119" s="317"/>
    </row>
    <row r="120" spans="1:13" x14ac:dyDescent="0.3">
      <c r="A120" s="249">
        <v>109</v>
      </c>
      <c r="B120" s="260">
        <v>5.53</v>
      </c>
      <c r="C120" s="247">
        <v>0.44044241077844115</v>
      </c>
      <c r="D120" s="260">
        <v>5.09</v>
      </c>
      <c r="E120" s="258"/>
      <c r="F120" s="261">
        <v>56.02</v>
      </c>
      <c r="H120" s="8"/>
      <c r="I120" s="205"/>
      <c r="J120" s="205"/>
      <c r="K120" s="282"/>
      <c r="L120" s="233"/>
      <c r="M120" s="317"/>
    </row>
    <row r="121" spans="1:13" x14ac:dyDescent="0.3">
      <c r="A121" s="249">
        <v>110</v>
      </c>
      <c r="B121" s="260">
        <v>5.5</v>
      </c>
      <c r="C121" s="247">
        <v>0.40373839605868334</v>
      </c>
      <c r="D121" s="260">
        <v>5.09</v>
      </c>
      <c r="E121" s="258"/>
      <c r="F121" s="261">
        <v>50.93</v>
      </c>
      <c r="H121" s="8"/>
      <c r="I121" s="205"/>
      <c r="J121" s="205"/>
      <c r="K121" s="282"/>
      <c r="L121" s="233"/>
      <c r="M121" s="317"/>
    </row>
    <row r="122" spans="1:13" x14ac:dyDescent="0.3">
      <c r="A122" s="249">
        <v>111</v>
      </c>
      <c r="B122" s="260">
        <v>5.46</v>
      </c>
      <c r="C122" s="247">
        <v>0.36703438133892546</v>
      </c>
      <c r="D122" s="260">
        <v>5.09</v>
      </c>
      <c r="E122" s="258"/>
      <c r="F122" s="261">
        <v>45.83</v>
      </c>
      <c r="H122" s="8"/>
      <c r="I122" s="205"/>
      <c r="J122" s="205"/>
      <c r="K122" s="282"/>
      <c r="L122" s="233"/>
      <c r="M122" s="317"/>
    </row>
    <row r="123" spans="1:13" x14ac:dyDescent="0.3">
      <c r="A123" s="249">
        <v>112</v>
      </c>
      <c r="B123" s="260">
        <v>5.42</v>
      </c>
      <c r="C123" s="247">
        <v>0.33033036661916765</v>
      </c>
      <c r="D123" s="260">
        <v>5.09</v>
      </c>
      <c r="E123" s="258"/>
      <c r="F123" s="261">
        <v>40.74</v>
      </c>
      <c r="H123" s="8"/>
      <c r="I123" s="205"/>
      <c r="J123" s="205"/>
      <c r="K123" s="282"/>
      <c r="L123" s="233"/>
      <c r="M123" s="317"/>
    </row>
    <row r="124" spans="1:13" x14ac:dyDescent="0.3">
      <c r="A124" s="249">
        <v>113</v>
      </c>
      <c r="B124" s="260">
        <v>5.39</v>
      </c>
      <c r="C124" s="247">
        <v>0.29362635189940978</v>
      </c>
      <c r="D124" s="260">
        <v>5.09</v>
      </c>
      <c r="E124" s="258"/>
      <c r="F124" s="261">
        <v>35.65</v>
      </c>
      <c r="H124" s="8"/>
      <c r="I124" s="205"/>
      <c r="J124" s="205"/>
      <c r="K124" s="282"/>
      <c r="L124" s="233"/>
      <c r="M124" s="317"/>
    </row>
    <row r="125" spans="1:13" x14ac:dyDescent="0.3">
      <c r="A125" s="249">
        <v>114</v>
      </c>
      <c r="B125" s="260">
        <v>5.35</v>
      </c>
      <c r="C125" s="247">
        <v>0.25692233717965196</v>
      </c>
      <c r="D125" s="260">
        <v>5.09</v>
      </c>
      <c r="E125" s="258"/>
      <c r="F125" s="261">
        <v>30.55</v>
      </c>
      <c r="H125" s="8"/>
      <c r="I125" s="205"/>
      <c r="J125" s="205"/>
      <c r="K125" s="282"/>
      <c r="L125" s="233"/>
      <c r="M125" s="317"/>
    </row>
    <row r="126" spans="1:13" x14ac:dyDescent="0.3">
      <c r="A126" s="249">
        <v>115</v>
      </c>
      <c r="B126" s="260">
        <v>5.31</v>
      </c>
      <c r="C126" s="247">
        <v>0.22021832245989412</v>
      </c>
      <c r="D126" s="260">
        <v>5.09</v>
      </c>
      <c r="E126" s="258"/>
      <c r="F126" s="261">
        <v>25.46</v>
      </c>
      <c r="H126" s="8"/>
      <c r="I126" s="205"/>
      <c r="J126" s="205"/>
      <c r="K126" s="282"/>
      <c r="L126" s="233"/>
      <c r="M126" s="317"/>
    </row>
    <row r="127" spans="1:13" x14ac:dyDescent="0.3">
      <c r="A127" s="249">
        <v>116</v>
      </c>
      <c r="B127" s="260">
        <v>5.28</v>
      </c>
      <c r="C127" s="247">
        <v>0.18351430774013627</v>
      </c>
      <c r="D127" s="260">
        <v>5.09</v>
      </c>
      <c r="E127" s="258"/>
      <c r="F127" s="261">
        <v>20.37</v>
      </c>
      <c r="H127" s="8"/>
      <c r="I127" s="205"/>
      <c r="J127" s="205"/>
      <c r="K127" s="282"/>
      <c r="L127" s="233"/>
      <c r="M127" s="317"/>
    </row>
    <row r="128" spans="1:13" x14ac:dyDescent="0.3">
      <c r="A128" s="249">
        <v>117</v>
      </c>
      <c r="B128" s="260">
        <v>5.24</v>
      </c>
      <c r="C128" s="247">
        <v>0.14681029302037843</v>
      </c>
      <c r="D128" s="260">
        <v>5.09</v>
      </c>
      <c r="E128" s="258"/>
      <c r="F128" s="261">
        <v>15.28</v>
      </c>
      <c r="H128" s="8"/>
      <c r="I128" s="205"/>
      <c r="J128" s="205"/>
      <c r="K128" s="282"/>
      <c r="L128" s="233"/>
      <c r="M128" s="317"/>
    </row>
    <row r="129" spans="1:13" x14ac:dyDescent="0.3">
      <c r="A129" s="249">
        <v>118</v>
      </c>
      <c r="B129" s="260">
        <v>5.2</v>
      </c>
      <c r="C129" s="247">
        <v>0.1101062783006206</v>
      </c>
      <c r="D129" s="260">
        <v>5.09</v>
      </c>
      <c r="E129" s="258"/>
      <c r="F129" s="261">
        <v>10.18</v>
      </c>
      <c r="H129" s="8"/>
      <c r="I129" s="205"/>
      <c r="J129" s="205"/>
      <c r="K129" s="282"/>
      <c r="L129" s="233"/>
      <c r="M129" s="317"/>
    </row>
    <row r="130" spans="1:13" x14ac:dyDescent="0.3">
      <c r="A130" s="249">
        <v>119</v>
      </c>
      <c r="B130" s="260">
        <v>5.17</v>
      </c>
      <c r="C130" s="247">
        <v>7.340226358086277E-2</v>
      </c>
      <c r="D130" s="260">
        <v>5.09</v>
      </c>
      <c r="E130" s="258"/>
      <c r="F130" s="261">
        <v>5.09</v>
      </c>
      <c r="H130" s="8"/>
      <c r="I130" s="205"/>
      <c r="J130" s="205"/>
      <c r="K130" s="282"/>
      <c r="L130" s="233"/>
      <c r="M130" s="317"/>
    </row>
    <row r="131" spans="1:13" x14ac:dyDescent="0.3">
      <c r="A131" s="249">
        <v>120</v>
      </c>
      <c r="B131" s="260">
        <v>5.13</v>
      </c>
      <c r="C131" s="247">
        <v>3.6698248861104926E-2</v>
      </c>
      <c r="D131" s="260">
        <v>5.09</v>
      </c>
      <c r="E131" s="258"/>
      <c r="F131" s="261">
        <v>0</v>
      </c>
      <c r="H131" s="8"/>
      <c r="I131" s="205"/>
      <c r="J131" s="205"/>
      <c r="K131" s="282"/>
      <c r="L131" s="233"/>
      <c r="M131" s="317"/>
    </row>
    <row r="132" spans="1:13" x14ac:dyDescent="0.3">
      <c r="A132" s="8"/>
      <c r="B132" s="262"/>
      <c r="C132" s="10"/>
      <c r="D132" s="262"/>
      <c r="E132" s="205"/>
      <c r="F132" s="263"/>
      <c r="H132" s="8"/>
      <c r="I132" s="205"/>
      <c r="J132" s="205"/>
      <c r="K132" s="282"/>
      <c r="L132" s="233"/>
      <c r="M132" s="317"/>
    </row>
    <row r="133" spans="1:13" x14ac:dyDescent="0.3">
      <c r="A133" s="8"/>
      <c r="B133" s="262"/>
      <c r="C133" s="10"/>
      <c r="D133" s="262"/>
      <c r="E133" s="205"/>
      <c r="F133" s="263"/>
      <c r="H133" s="8"/>
      <c r="I133" s="205"/>
      <c r="J133" s="205"/>
      <c r="K133" s="282"/>
      <c r="L133" s="233"/>
      <c r="M133" s="317"/>
    </row>
    <row r="134" spans="1:13" x14ac:dyDescent="0.3">
      <c r="A134" s="8"/>
      <c r="B134" s="262"/>
      <c r="C134" s="10"/>
      <c r="D134" s="262"/>
      <c r="E134" s="205"/>
      <c r="F134" s="263"/>
      <c r="H134" s="8"/>
      <c r="I134" s="205"/>
      <c r="J134" s="205"/>
      <c r="K134" s="282"/>
      <c r="L134" s="233"/>
      <c r="M134" s="317"/>
    </row>
    <row r="135" spans="1:13" x14ac:dyDescent="0.3">
      <c r="A135" s="8"/>
      <c r="B135" s="262"/>
      <c r="C135" s="10"/>
      <c r="D135" s="262"/>
      <c r="E135" s="205"/>
      <c r="F135" s="263"/>
      <c r="H135" s="8"/>
      <c r="I135" s="205"/>
      <c r="J135" s="205"/>
      <c r="K135" s="282"/>
      <c r="L135" s="233"/>
      <c r="M135" s="317"/>
    </row>
    <row r="136" spans="1:13" x14ac:dyDescent="0.3">
      <c r="A136" s="8"/>
      <c r="B136" s="262"/>
      <c r="C136" s="10"/>
      <c r="D136" s="262"/>
      <c r="E136" s="205"/>
      <c r="F136" s="263"/>
      <c r="H136" s="8"/>
      <c r="I136" s="205"/>
      <c r="J136" s="205"/>
      <c r="K136" s="282"/>
      <c r="L136" s="233"/>
      <c r="M136" s="317"/>
    </row>
    <row r="137" spans="1:13" x14ac:dyDescent="0.3">
      <c r="A137" s="8"/>
      <c r="B137" s="262"/>
      <c r="C137" s="10"/>
      <c r="D137" s="262"/>
      <c r="E137" s="205"/>
      <c r="F137" s="263"/>
      <c r="H137" s="8"/>
      <c r="I137" s="205"/>
      <c r="J137" s="205"/>
      <c r="K137" s="282"/>
      <c r="L137" s="233"/>
      <c r="M137" s="317"/>
    </row>
    <row r="138" spans="1:13" x14ac:dyDescent="0.3">
      <c r="A138" s="8"/>
      <c r="B138" s="262"/>
      <c r="C138" s="10"/>
      <c r="D138" s="262"/>
      <c r="E138" s="205"/>
      <c r="F138" s="263"/>
      <c r="H138" s="8"/>
      <c r="I138" s="205"/>
      <c r="J138" s="205"/>
      <c r="K138" s="282"/>
      <c r="L138" s="233"/>
      <c r="M138" s="317"/>
    </row>
    <row r="139" spans="1:13" x14ac:dyDescent="0.3">
      <c r="A139" s="8"/>
      <c r="B139" s="262"/>
      <c r="C139" s="10"/>
      <c r="D139" s="262"/>
      <c r="E139" s="205"/>
      <c r="F139" s="263"/>
      <c r="H139" s="8"/>
      <c r="I139" s="205"/>
      <c r="J139" s="205"/>
      <c r="K139" s="282"/>
      <c r="L139" s="233"/>
      <c r="M139" s="317"/>
    </row>
    <row r="140" spans="1:13" x14ac:dyDescent="0.3">
      <c r="A140" s="8"/>
      <c r="B140" s="262"/>
      <c r="C140" s="10"/>
      <c r="D140" s="262"/>
      <c r="E140" s="205"/>
      <c r="F140" s="263"/>
      <c r="H140" s="8"/>
      <c r="I140" s="205"/>
      <c r="J140" s="205"/>
      <c r="K140" s="282"/>
      <c r="L140" s="233"/>
      <c r="M140" s="317"/>
    </row>
    <row r="141" spans="1:13" x14ac:dyDescent="0.3">
      <c r="A141" s="8"/>
      <c r="B141" s="262"/>
      <c r="C141" s="10"/>
      <c r="D141" s="262"/>
      <c r="E141" s="205"/>
      <c r="F141" s="263"/>
      <c r="H141" s="8"/>
      <c r="I141" s="205"/>
      <c r="J141" s="205"/>
      <c r="K141" s="282"/>
      <c r="L141" s="233"/>
      <c r="M141" s="317"/>
    </row>
    <row r="142" spans="1:13" x14ac:dyDescent="0.3">
      <c r="A142" s="8"/>
      <c r="B142" s="262"/>
      <c r="C142" s="10"/>
      <c r="D142" s="262"/>
      <c r="E142" s="205"/>
      <c r="F142" s="263"/>
      <c r="H142" s="8"/>
      <c r="I142" s="205"/>
      <c r="J142" s="205"/>
      <c r="K142" s="282"/>
      <c r="L142" s="233"/>
      <c r="M142" s="317"/>
    </row>
    <row r="143" spans="1:13" x14ac:dyDescent="0.3">
      <c r="A143" s="8"/>
      <c r="B143" s="262"/>
      <c r="C143" s="10"/>
      <c r="D143" s="262"/>
      <c r="E143" s="205"/>
      <c r="F143" s="263"/>
      <c r="H143" s="8"/>
      <c r="I143" s="205"/>
      <c r="J143" s="205"/>
      <c r="K143" s="282"/>
      <c r="L143" s="233"/>
      <c r="M143" s="317"/>
    </row>
    <row r="144" spans="1:13" x14ac:dyDescent="0.3">
      <c r="A144" s="8"/>
      <c r="B144" s="262"/>
      <c r="C144" s="10"/>
      <c r="D144" s="262"/>
      <c r="E144" s="205"/>
      <c r="F144" s="263"/>
      <c r="H144" s="8"/>
      <c r="I144" s="205"/>
      <c r="J144" s="205"/>
      <c r="K144" s="282"/>
      <c r="L144" s="233"/>
      <c r="M144" s="317"/>
    </row>
    <row r="145" spans="1:13" x14ac:dyDescent="0.3">
      <c r="A145" s="8"/>
      <c r="B145" s="262"/>
      <c r="C145" s="10"/>
      <c r="D145" s="262"/>
      <c r="E145" s="205"/>
      <c r="F145" s="263"/>
      <c r="H145" s="8"/>
      <c r="I145" s="205"/>
      <c r="J145" s="205"/>
      <c r="K145" s="282"/>
      <c r="L145" s="233"/>
      <c r="M145" s="317"/>
    </row>
    <row r="146" spans="1:13" x14ac:dyDescent="0.3">
      <c r="A146" s="8"/>
      <c r="B146" s="262"/>
      <c r="C146" s="10"/>
      <c r="D146" s="262"/>
      <c r="E146" s="205"/>
      <c r="F146" s="263"/>
      <c r="H146" s="8"/>
      <c r="I146" s="205"/>
      <c r="J146" s="205"/>
      <c r="K146" s="282"/>
      <c r="L146" s="233"/>
      <c r="M146" s="317"/>
    </row>
    <row r="147" spans="1:13" x14ac:dyDescent="0.3">
      <c r="A147" s="8"/>
      <c r="B147" s="262"/>
      <c r="C147" s="10"/>
      <c r="D147" s="262"/>
      <c r="E147" s="205"/>
      <c r="F147" s="263"/>
      <c r="H147" s="8"/>
      <c r="I147" s="205"/>
      <c r="J147" s="205"/>
      <c r="K147" s="282"/>
      <c r="L147" s="233"/>
      <c r="M147" s="317"/>
    </row>
    <row r="148" spans="1:13" x14ac:dyDescent="0.3">
      <c r="A148" s="8"/>
      <c r="B148" s="262"/>
      <c r="C148" s="10"/>
      <c r="D148" s="262"/>
      <c r="E148" s="205"/>
      <c r="F148" s="263"/>
      <c r="H148" s="8"/>
      <c r="I148" s="205"/>
      <c r="J148" s="205"/>
      <c r="K148" s="282"/>
      <c r="L148" s="233"/>
      <c r="M148" s="317"/>
    </row>
    <row r="149" spans="1:13" x14ac:dyDescent="0.3">
      <c r="A149" s="8"/>
      <c r="B149" s="262"/>
      <c r="C149" s="10"/>
      <c r="D149" s="262"/>
      <c r="E149" s="205"/>
      <c r="F149" s="263"/>
      <c r="H149" s="8"/>
      <c r="I149" s="205"/>
      <c r="J149" s="205"/>
      <c r="K149" s="282"/>
      <c r="L149" s="233"/>
      <c r="M149" s="317"/>
    </row>
    <row r="150" spans="1:13" x14ac:dyDescent="0.3">
      <c r="A150" s="8"/>
      <c r="B150" s="262"/>
      <c r="C150" s="10"/>
      <c r="D150" s="262"/>
      <c r="E150" s="205"/>
      <c r="F150" s="263"/>
      <c r="H150" s="8"/>
      <c r="I150" s="205"/>
      <c r="J150" s="205"/>
      <c r="K150" s="282"/>
      <c r="L150" s="233"/>
      <c r="M150" s="317"/>
    </row>
    <row r="151" spans="1:13" x14ac:dyDescent="0.3">
      <c r="A151" s="8"/>
      <c r="B151" s="262"/>
      <c r="C151" s="10"/>
      <c r="D151" s="262"/>
      <c r="E151" s="205"/>
      <c r="F151" s="263"/>
      <c r="H151" s="8"/>
      <c r="I151" s="205"/>
      <c r="J151" s="205"/>
      <c r="K151" s="282"/>
      <c r="L151" s="233"/>
      <c r="M151" s="317"/>
    </row>
    <row r="152" spans="1:13" x14ac:dyDescent="0.3">
      <c r="A152" s="8"/>
      <c r="B152" s="262"/>
      <c r="C152" s="10"/>
      <c r="D152" s="262"/>
      <c r="E152" s="205"/>
      <c r="F152" s="263"/>
      <c r="H152" s="8"/>
      <c r="I152" s="205"/>
      <c r="J152" s="205"/>
      <c r="K152" s="282"/>
      <c r="L152" s="233"/>
      <c r="M152" s="317"/>
    </row>
    <row r="153" spans="1:13" x14ac:dyDescent="0.3">
      <c r="A153" s="8"/>
      <c r="B153" s="262"/>
      <c r="C153" s="10"/>
      <c r="D153" s="262"/>
      <c r="E153" s="205"/>
      <c r="F153" s="263"/>
      <c r="H153" s="8"/>
      <c r="I153" s="205"/>
      <c r="J153" s="205"/>
      <c r="K153" s="282"/>
      <c r="L153" s="233"/>
      <c r="M153" s="317"/>
    </row>
    <row r="154" spans="1:13" x14ac:dyDescent="0.3">
      <c r="A154" s="8"/>
      <c r="B154" s="262"/>
      <c r="C154" s="10"/>
      <c r="D154" s="262"/>
      <c r="E154" s="205"/>
      <c r="F154" s="263"/>
      <c r="H154" s="8"/>
      <c r="I154" s="205"/>
      <c r="J154" s="205"/>
      <c r="K154" s="282"/>
      <c r="L154" s="233"/>
      <c r="M154" s="317"/>
    </row>
    <row r="155" spans="1:13" x14ac:dyDescent="0.3">
      <c r="A155" s="8"/>
      <c r="B155" s="262"/>
      <c r="C155" s="10"/>
      <c r="D155" s="262"/>
      <c r="E155" s="205"/>
      <c r="F155" s="263"/>
      <c r="H155" s="8"/>
      <c r="I155" s="205"/>
      <c r="J155" s="205"/>
      <c r="K155" s="282"/>
      <c r="L155" s="233"/>
      <c r="M155" s="317"/>
    </row>
    <row r="156" spans="1:13" x14ac:dyDescent="0.3">
      <c r="A156" s="8"/>
      <c r="B156" s="262"/>
      <c r="C156" s="10"/>
      <c r="D156" s="262"/>
      <c r="E156" s="205"/>
      <c r="F156" s="263"/>
      <c r="H156" s="8"/>
      <c r="I156" s="205"/>
      <c r="J156" s="205"/>
      <c r="K156" s="282"/>
      <c r="L156" s="233"/>
      <c r="M156" s="317"/>
    </row>
    <row r="157" spans="1:13" x14ac:dyDescent="0.3">
      <c r="A157" s="8"/>
      <c r="B157" s="262"/>
      <c r="C157" s="10"/>
      <c r="D157" s="262"/>
      <c r="E157" s="205"/>
      <c r="F157" s="263"/>
      <c r="H157" s="8"/>
      <c r="I157" s="205"/>
      <c r="J157" s="205"/>
      <c r="K157" s="282"/>
      <c r="L157" s="233"/>
      <c r="M157" s="317"/>
    </row>
    <row r="158" spans="1:13" x14ac:dyDescent="0.3">
      <c r="A158" s="8"/>
      <c r="B158" s="262"/>
      <c r="C158" s="10"/>
      <c r="D158" s="262"/>
      <c r="E158" s="205"/>
      <c r="F158" s="263"/>
      <c r="H158" s="8"/>
      <c r="I158" s="205"/>
      <c r="J158" s="205"/>
      <c r="K158" s="282"/>
      <c r="L158" s="233"/>
      <c r="M158" s="317"/>
    </row>
    <row r="159" spans="1:13" x14ac:dyDescent="0.3">
      <c r="A159" s="8"/>
      <c r="B159" s="262"/>
      <c r="C159" s="10"/>
      <c r="D159" s="262"/>
      <c r="E159" s="205"/>
      <c r="F159" s="263"/>
      <c r="H159" s="8"/>
      <c r="I159" s="205"/>
      <c r="J159" s="205"/>
      <c r="K159" s="282"/>
      <c r="L159" s="233"/>
      <c r="M159" s="317"/>
    </row>
    <row r="160" spans="1:13" x14ac:dyDescent="0.3">
      <c r="A160" s="8"/>
      <c r="B160" s="262"/>
      <c r="C160" s="10"/>
      <c r="D160" s="262"/>
      <c r="E160" s="205"/>
      <c r="F160" s="263"/>
      <c r="H160" s="8"/>
      <c r="I160" s="205"/>
      <c r="J160" s="205"/>
      <c r="K160" s="282"/>
      <c r="L160" s="233"/>
      <c r="M160" s="317"/>
    </row>
    <row r="161" spans="1:13" x14ac:dyDescent="0.3">
      <c r="A161" s="8"/>
      <c r="B161" s="262"/>
      <c r="C161" s="10"/>
      <c r="D161" s="262"/>
      <c r="E161" s="205"/>
      <c r="F161" s="263"/>
      <c r="H161" s="8"/>
      <c r="I161" s="205"/>
      <c r="J161" s="205"/>
      <c r="K161" s="282"/>
      <c r="L161" s="233"/>
      <c r="M161" s="317"/>
    </row>
    <row r="162" spans="1:13" x14ac:dyDescent="0.3">
      <c r="A162" s="8"/>
      <c r="B162" s="262"/>
      <c r="C162" s="10"/>
      <c r="D162" s="262"/>
      <c r="E162" s="205"/>
      <c r="F162" s="263"/>
      <c r="H162" s="8"/>
      <c r="I162" s="205"/>
      <c r="J162" s="205"/>
      <c r="K162" s="282"/>
      <c r="L162" s="233"/>
      <c r="M162" s="317"/>
    </row>
    <row r="163" spans="1:13" x14ac:dyDescent="0.3">
      <c r="A163" s="8"/>
      <c r="B163" s="262"/>
      <c r="C163" s="10"/>
      <c r="D163" s="262"/>
      <c r="E163" s="205"/>
      <c r="F163" s="263"/>
      <c r="H163" s="8"/>
      <c r="I163" s="205"/>
      <c r="J163" s="205"/>
      <c r="K163" s="282"/>
      <c r="L163" s="233"/>
      <c r="M163" s="317"/>
    </row>
    <row r="164" spans="1:13" x14ac:dyDescent="0.3">
      <c r="A164" s="8"/>
      <c r="B164" s="262"/>
      <c r="C164" s="10"/>
      <c r="D164" s="262"/>
      <c r="E164" s="205"/>
      <c r="F164" s="263"/>
      <c r="H164" s="8"/>
      <c r="I164" s="205"/>
      <c r="J164" s="205"/>
      <c r="K164" s="282"/>
      <c r="L164" s="233"/>
      <c r="M164" s="317"/>
    </row>
    <row r="165" spans="1:13" x14ac:dyDescent="0.3">
      <c r="A165" s="8"/>
      <c r="B165" s="262"/>
      <c r="C165" s="10"/>
      <c r="D165" s="262"/>
      <c r="E165" s="205"/>
      <c r="F165" s="263"/>
      <c r="H165" s="8"/>
      <c r="I165" s="205"/>
      <c r="J165" s="205"/>
      <c r="K165" s="282"/>
      <c r="L165" s="233"/>
      <c r="M165" s="317"/>
    </row>
    <row r="166" spans="1:13" x14ac:dyDescent="0.3">
      <c r="A166" s="8"/>
      <c r="B166" s="262"/>
      <c r="C166" s="10"/>
      <c r="D166" s="262"/>
      <c r="E166" s="205"/>
      <c r="F166" s="263"/>
      <c r="H166" s="8"/>
      <c r="I166" s="205"/>
      <c r="J166" s="205"/>
      <c r="K166" s="282"/>
      <c r="L166" s="233"/>
      <c r="M166" s="317"/>
    </row>
    <row r="167" spans="1:13" x14ac:dyDescent="0.3">
      <c r="A167" s="8"/>
      <c r="B167" s="262"/>
      <c r="C167" s="10"/>
      <c r="D167" s="262"/>
      <c r="E167" s="205"/>
      <c r="F167" s="263"/>
      <c r="H167" s="8"/>
      <c r="I167" s="205"/>
      <c r="J167" s="205"/>
      <c r="K167" s="282"/>
      <c r="L167" s="233"/>
      <c r="M167" s="317"/>
    </row>
    <row r="168" spans="1:13" x14ac:dyDescent="0.3">
      <c r="A168" s="8"/>
      <c r="B168" s="262"/>
      <c r="C168" s="10"/>
      <c r="D168" s="262"/>
      <c r="E168" s="205"/>
      <c r="F168" s="263"/>
      <c r="H168" s="8"/>
      <c r="I168" s="205"/>
      <c r="J168" s="205"/>
      <c r="K168" s="282"/>
      <c r="L168" s="233"/>
      <c r="M168" s="317"/>
    </row>
    <row r="169" spans="1:13" x14ac:dyDescent="0.3">
      <c r="A169" s="8"/>
      <c r="B169" s="262"/>
      <c r="C169" s="10"/>
      <c r="D169" s="262"/>
      <c r="E169" s="205"/>
      <c r="F169" s="263"/>
      <c r="H169" s="8"/>
      <c r="I169" s="205"/>
      <c r="J169" s="205"/>
      <c r="K169" s="282"/>
      <c r="L169" s="233"/>
      <c r="M169" s="317"/>
    </row>
    <row r="170" spans="1:13" x14ac:dyDescent="0.3">
      <c r="A170" s="8"/>
      <c r="B170" s="262"/>
      <c r="C170" s="10"/>
      <c r="D170" s="262"/>
      <c r="E170" s="205"/>
      <c r="F170" s="263"/>
      <c r="H170" s="8"/>
      <c r="I170" s="205"/>
      <c r="J170" s="205"/>
      <c r="K170" s="282"/>
      <c r="L170" s="233"/>
      <c r="M170" s="317"/>
    </row>
    <row r="171" spans="1:13" x14ac:dyDescent="0.3">
      <c r="A171" s="8"/>
      <c r="B171" s="262"/>
      <c r="C171" s="10"/>
      <c r="D171" s="262"/>
      <c r="E171" s="205"/>
      <c r="F171" s="263"/>
      <c r="H171" s="8"/>
      <c r="I171" s="205"/>
      <c r="J171" s="205"/>
      <c r="K171" s="282"/>
      <c r="L171" s="233"/>
      <c r="M171" s="317"/>
    </row>
    <row r="172" spans="1:13" x14ac:dyDescent="0.3">
      <c r="A172" s="8"/>
      <c r="B172" s="262"/>
      <c r="C172" s="10"/>
      <c r="D172" s="262"/>
      <c r="E172" s="205"/>
      <c r="F172" s="263"/>
      <c r="H172" s="8"/>
      <c r="I172" s="205"/>
      <c r="J172" s="205"/>
      <c r="K172" s="282"/>
      <c r="L172" s="233"/>
      <c r="M172" s="317"/>
    </row>
    <row r="173" spans="1:13" x14ac:dyDescent="0.3">
      <c r="A173" s="8"/>
      <c r="B173" s="262"/>
      <c r="C173" s="10"/>
      <c r="D173" s="262"/>
      <c r="E173" s="205"/>
      <c r="F173" s="263"/>
      <c r="H173" s="8"/>
      <c r="I173" s="205"/>
      <c r="J173" s="205"/>
      <c r="K173" s="282"/>
      <c r="L173" s="233"/>
      <c r="M173" s="317"/>
    </row>
    <row r="174" spans="1:13" x14ac:dyDescent="0.3">
      <c r="A174" s="8"/>
      <c r="B174" s="262"/>
      <c r="C174" s="10"/>
      <c r="D174" s="262"/>
      <c r="E174" s="205"/>
      <c r="F174" s="263"/>
      <c r="H174" s="8"/>
      <c r="I174" s="205"/>
      <c r="J174" s="205"/>
      <c r="K174" s="282"/>
      <c r="L174" s="233"/>
      <c r="M174" s="317"/>
    </row>
    <row r="175" spans="1:13" x14ac:dyDescent="0.3">
      <c r="A175" s="8"/>
      <c r="B175" s="262"/>
      <c r="C175" s="10"/>
      <c r="D175" s="262"/>
      <c r="E175" s="205"/>
      <c r="F175" s="263"/>
      <c r="H175" s="8"/>
      <c r="I175" s="205"/>
      <c r="J175" s="205"/>
      <c r="K175" s="282"/>
      <c r="L175" s="233"/>
      <c r="M175" s="317"/>
    </row>
    <row r="176" spans="1:13" x14ac:dyDescent="0.3">
      <c r="A176" s="8"/>
      <c r="B176" s="262"/>
      <c r="C176" s="10"/>
      <c r="D176" s="262"/>
      <c r="E176" s="205"/>
      <c r="F176" s="263"/>
      <c r="H176" s="8"/>
      <c r="I176" s="205"/>
      <c r="J176" s="205"/>
      <c r="K176" s="282"/>
      <c r="L176" s="233"/>
      <c r="M176" s="317"/>
    </row>
    <row r="177" spans="1:13" x14ac:dyDescent="0.3">
      <c r="A177" s="8"/>
      <c r="B177" s="262"/>
      <c r="C177" s="10"/>
      <c r="D177" s="262"/>
      <c r="E177" s="205"/>
      <c r="F177" s="263"/>
      <c r="H177" s="8"/>
      <c r="I177" s="205"/>
      <c r="J177" s="205"/>
      <c r="K177" s="282"/>
      <c r="L177" s="233"/>
      <c r="M177" s="317"/>
    </row>
    <row r="178" spans="1:13" x14ac:dyDescent="0.3">
      <c r="A178" s="8"/>
      <c r="B178" s="262"/>
      <c r="C178" s="10"/>
      <c r="D178" s="262"/>
      <c r="E178" s="205"/>
      <c r="F178" s="263"/>
      <c r="H178" s="8"/>
      <c r="I178" s="205"/>
      <c r="J178" s="205"/>
      <c r="K178" s="282"/>
      <c r="L178" s="233"/>
      <c r="M178" s="317"/>
    </row>
    <row r="179" spans="1:13" x14ac:dyDescent="0.3">
      <c r="A179" s="8"/>
      <c r="B179" s="262"/>
      <c r="C179" s="10"/>
      <c r="D179" s="262"/>
      <c r="E179" s="205"/>
      <c r="F179" s="263"/>
      <c r="H179" s="8"/>
      <c r="I179" s="205"/>
      <c r="J179" s="205"/>
      <c r="K179" s="282"/>
      <c r="L179" s="233"/>
      <c r="M179" s="317"/>
    </row>
    <row r="180" spans="1:13" x14ac:dyDescent="0.3">
      <c r="A180" s="8"/>
      <c r="B180" s="262"/>
      <c r="C180" s="10"/>
      <c r="D180" s="262"/>
      <c r="E180" s="205"/>
      <c r="F180" s="263"/>
      <c r="H180" s="8"/>
      <c r="I180" s="205"/>
      <c r="J180" s="205"/>
      <c r="K180" s="282"/>
      <c r="L180" s="233"/>
      <c r="M180" s="317"/>
    </row>
    <row r="181" spans="1:13" x14ac:dyDescent="0.3">
      <c r="A181" s="8"/>
      <c r="B181" s="262"/>
      <c r="C181" s="10"/>
      <c r="D181" s="262"/>
      <c r="E181" s="205"/>
      <c r="F181" s="263"/>
      <c r="H181" s="8"/>
      <c r="I181" s="205"/>
      <c r="J181" s="205"/>
      <c r="K181" s="282"/>
      <c r="L181" s="233"/>
      <c r="M181" s="317"/>
    </row>
    <row r="182" spans="1:13" x14ac:dyDescent="0.3">
      <c r="A182" s="8"/>
      <c r="B182" s="262"/>
      <c r="C182" s="10"/>
      <c r="D182" s="262"/>
      <c r="E182" s="205"/>
      <c r="F182" s="263"/>
      <c r="H182" s="8"/>
      <c r="I182" s="205"/>
      <c r="J182" s="205"/>
      <c r="K182" s="282"/>
      <c r="L182" s="233"/>
      <c r="M182" s="317"/>
    </row>
    <row r="183" spans="1:13" x14ac:dyDescent="0.3">
      <c r="A183" s="8"/>
      <c r="B183" s="262"/>
      <c r="C183" s="10"/>
      <c r="D183" s="262"/>
      <c r="E183" s="205"/>
      <c r="F183" s="263"/>
      <c r="H183" s="8"/>
      <c r="I183" s="205"/>
      <c r="J183" s="205"/>
      <c r="K183" s="282"/>
      <c r="L183" s="233"/>
      <c r="M183" s="317"/>
    </row>
    <row r="184" spans="1:13" x14ac:dyDescent="0.3">
      <c r="A184" s="8"/>
      <c r="B184" s="262"/>
      <c r="C184" s="10"/>
      <c r="D184" s="262"/>
      <c r="E184" s="205"/>
      <c r="F184" s="263"/>
      <c r="H184" s="8"/>
      <c r="I184" s="205"/>
      <c r="J184" s="205"/>
      <c r="K184" s="282"/>
      <c r="L184" s="233"/>
      <c r="M184" s="317"/>
    </row>
    <row r="185" spans="1:13" x14ac:dyDescent="0.3">
      <c r="A185" s="8"/>
      <c r="B185" s="262"/>
      <c r="C185" s="10"/>
      <c r="D185" s="262"/>
      <c r="E185" s="205"/>
      <c r="F185" s="263"/>
      <c r="H185" s="8"/>
      <c r="I185" s="205"/>
      <c r="J185" s="205"/>
      <c r="K185" s="282"/>
      <c r="L185" s="233"/>
      <c r="M185" s="317"/>
    </row>
    <row r="186" spans="1:13" x14ac:dyDescent="0.3">
      <c r="A186" s="8"/>
      <c r="B186" s="262"/>
      <c r="C186" s="10"/>
      <c r="D186" s="262"/>
      <c r="E186" s="205"/>
      <c r="F186" s="263"/>
      <c r="H186" s="8"/>
      <c r="I186" s="205"/>
      <c r="J186" s="205"/>
      <c r="K186" s="282"/>
      <c r="L186" s="233"/>
      <c r="M186" s="317"/>
    </row>
    <row r="187" spans="1:13" x14ac:dyDescent="0.3">
      <c r="A187" s="8"/>
      <c r="B187" s="262"/>
      <c r="C187" s="10"/>
      <c r="D187" s="262"/>
      <c r="E187" s="205"/>
      <c r="F187" s="263"/>
      <c r="H187" s="8"/>
      <c r="I187" s="205"/>
      <c r="J187" s="205"/>
      <c r="K187" s="282"/>
      <c r="L187" s="233"/>
      <c r="M187" s="317"/>
    </row>
    <row r="188" spans="1:13" x14ac:dyDescent="0.3">
      <c r="A188" s="8"/>
      <c r="B188" s="262"/>
      <c r="C188" s="10"/>
      <c r="D188" s="262"/>
      <c r="E188" s="205"/>
      <c r="F188" s="263"/>
      <c r="H188" s="8"/>
      <c r="I188" s="205"/>
      <c r="J188" s="205"/>
      <c r="K188" s="282"/>
      <c r="L188" s="233"/>
      <c r="M188" s="317"/>
    </row>
    <row r="189" spans="1:13" x14ac:dyDescent="0.3">
      <c r="A189" s="8"/>
      <c r="B189" s="262"/>
      <c r="C189" s="10"/>
      <c r="D189" s="262"/>
      <c r="E189" s="205"/>
      <c r="F189" s="263"/>
      <c r="H189" s="8"/>
      <c r="I189" s="205"/>
      <c r="J189" s="205"/>
      <c r="K189" s="282"/>
      <c r="L189" s="233"/>
      <c r="M189" s="317"/>
    </row>
    <row r="190" spans="1:13" x14ac:dyDescent="0.3">
      <c r="A190" s="8"/>
      <c r="B190" s="262"/>
      <c r="C190" s="10"/>
      <c r="D190" s="262"/>
      <c r="E190" s="205"/>
      <c r="F190" s="263"/>
      <c r="H190" s="8"/>
      <c r="I190" s="205"/>
      <c r="J190" s="205"/>
      <c r="K190" s="282"/>
      <c r="L190" s="233"/>
      <c r="M190" s="317"/>
    </row>
    <row r="191" spans="1:13" x14ac:dyDescent="0.3">
      <c r="A191" s="8"/>
      <c r="B191" s="262"/>
      <c r="C191" s="10"/>
      <c r="D191" s="262"/>
      <c r="E191" s="205"/>
      <c r="F191" s="263"/>
      <c r="H191" s="8"/>
      <c r="I191" s="205"/>
      <c r="J191" s="205"/>
      <c r="K191" s="282"/>
      <c r="L191" s="233"/>
      <c r="M191" s="317"/>
    </row>
    <row r="192" spans="1:13" x14ac:dyDescent="0.3">
      <c r="A192" s="8"/>
      <c r="B192" s="262"/>
      <c r="C192" s="10"/>
      <c r="D192" s="262"/>
      <c r="E192" s="205"/>
      <c r="F192" s="263"/>
      <c r="H192" s="8"/>
      <c r="I192" s="205"/>
      <c r="J192" s="205"/>
      <c r="K192" s="282"/>
      <c r="L192" s="233"/>
      <c r="M192" s="317"/>
    </row>
    <row r="193" spans="1:13" x14ac:dyDescent="0.3">
      <c r="A193" s="8"/>
      <c r="B193" s="262"/>
      <c r="C193" s="10"/>
      <c r="D193" s="262"/>
      <c r="E193" s="205"/>
      <c r="F193" s="263"/>
      <c r="H193" s="8"/>
      <c r="I193" s="205"/>
      <c r="J193" s="205"/>
      <c r="K193" s="282"/>
      <c r="L193" s="233"/>
      <c r="M193" s="317"/>
    </row>
    <row r="194" spans="1:13" x14ac:dyDescent="0.3">
      <c r="A194" s="8"/>
      <c r="B194" s="262"/>
      <c r="C194" s="10"/>
      <c r="D194" s="262"/>
      <c r="E194" s="205"/>
      <c r="F194" s="263"/>
      <c r="H194" s="8"/>
      <c r="I194" s="205"/>
      <c r="J194" s="205"/>
      <c r="K194" s="282"/>
      <c r="L194" s="233"/>
      <c r="M194" s="317"/>
    </row>
    <row r="195" spans="1:13" x14ac:dyDescent="0.3">
      <c r="A195" s="8"/>
      <c r="B195" s="262"/>
      <c r="C195" s="10"/>
      <c r="D195" s="262"/>
      <c r="E195" s="205"/>
      <c r="F195" s="263"/>
      <c r="H195" s="8"/>
      <c r="I195" s="205"/>
      <c r="J195" s="205"/>
      <c r="K195" s="282"/>
      <c r="L195" s="233"/>
      <c r="M195" s="317"/>
    </row>
    <row r="196" spans="1:13" x14ac:dyDescent="0.3">
      <c r="A196" s="8"/>
      <c r="B196" s="262"/>
      <c r="C196" s="10"/>
      <c r="D196" s="262"/>
      <c r="E196" s="205"/>
      <c r="F196" s="263"/>
      <c r="H196" s="8"/>
      <c r="I196" s="205"/>
      <c r="J196" s="205"/>
      <c r="K196" s="282"/>
      <c r="L196" s="233"/>
      <c r="M196" s="317"/>
    </row>
    <row r="197" spans="1:13" x14ac:dyDescent="0.3">
      <c r="A197" s="8"/>
      <c r="B197" s="262"/>
      <c r="C197" s="10"/>
      <c r="D197" s="262"/>
      <c r="E197" s="205"/>
      <c r="F197" s="263"/>
      <c r="H197" s="8"/>
      <c r="I197" s="205"/>
      <c r="J197" s="205"/>
      <c r="K197" s="282"/>
      <c r="L197" s="233"/>
      <c r="M197" s="317"/>
    </row>
    <row r="198" spans="1:13" x14ac:dyDescent="0.3">
      <c r="A198" s="8"/>
      <c r="B198" s="262"/>
      <c r="C198" s="10"/>
      <c r="D198" s="262"/>
      <c r="E198" s="205"/>
      <c r="F198" s="263"/>
      <c r="H198" s="8"/>
      <c r="I198" s="205"/>
      <c r="J198" s="205"/>
      <c r="K198" s="282"/>
      <c r="L198" s="233"/>
      <c r="M198" s="317"/>
    </row>
    <row r="199" spans="1:13" x14ac:dyDescent="0.3">
      <c r="A199" s="8"/>
      <c r="B199" s="262"/>
      <c r="C199" s="10"/>
      <c r="D199" s="262"/>
      <c r="E199" s="205"/>
      <c r="F199" s="263"/>
      <c r="H199" s="8"/>
      <c r="I199" s="205"/>
      <c r="J199" s="205"/>
      <c r="K199" s="282"/>
      <c r="L199" s="233"/>
      <c r="M199" s="317"/>
    </row>
    <row r="200" spans="1:13" x14ac:dyDescent="0.3">
      <c r="A200" s="8"/>
      <c r="B200" s="262"/>
      <c r="C200" s="10"/>
      <c r="D200" s="262"/>
      <c r="E200" s="205"/>
      <c r="F200" s="263"/>
      <c r="H200" s="8"/>
      <c r="I200" s="205"/>
      <c r="J200" s="205"/>
      <c r="K200" s="282"/>
      <c r="L200" s="233"/>
      <c r="M200" s="317"/>
    </row>
    <row r="201" spans="1:13" x14ac:dyDescent="0.3">
      <c r="A201" s="8"/>
      <c r="B201" s="262"/>
      <c r="C201" s="10"/>
      <c r="D201" s="262"/>
      <c r="E201" s="205"/>
      <c r="F201" s="263"/>
      <c r="H201" s="8"/>
      <c r="I201" s="205"/>
      <c r="J201" s="205"/>
      <c r="K201" s="282"/>
      <c r="L201" s="233"/>
      <c r="M201" s="317"/>
    </row>
    <row r="202" spans="1:13" x14ac:dyDescent="0.3">
      <c r="A202" s="8"/>
      <c r="B202" s="262"/>
      <c r="C202" s="10"/>
      <c r="D202" s="262"/>
      <c r="E202" s="205"/>
      <c r="F202" s="263"/>
      <c r="H202" s="8"/>
      <c r="I202" s="205"/>
      <c r="J202" s="205"/>
      <c r="K202" s="282"/>
      <c r="L202" s="233"/>
      <c r="M202" s="317"/>
    </row>
    <row r="203" spans="1:13" x14ac:dyDescent="0.3">
      <c r="A203" s="8"/>
      <c r="B203" s="262"/>
      <c r="C203" s="10"/>
      <c r="D203" s="262"/>
      <c r="E203" s="205"/>
      <c r="F203" s="263"/>
      <c r="H203" s="8"/>
      <c r="I203" s="205"/>
      <c r="J203" s="205"/>
      <c r="K203" s="282"/>
      <c r="L203" s="233"/>
      <c r="M203" s="317"/>
    </row>
    <row r="204" spans="1:13" x14ac:dyDescent="0.3">
      <c r="A204" s="8"/>
      <c r="B204" s="262"/>
      <c r="C204" s="10"/>
      <c r="D204" s="262"/>
      <c r="E204" s="205"/>
      <c r="F204" s="263"/>
      <c r="H204" s="8"/>
      <c r="I204" s="205"/>
      <c r="J204" s="205"/>
      <c r="K204" s="282"/>
      <c r="L204" s="233"/>
      <c r="M204" s="317"/>
    </row>
    <row r="205" spans="1:13" x14ac:dyDescent="0.3">
      <c r="A205" s="8"/>
      <c r="B205" s="262"/>
      <c r="C205" s="10"/>
      <c r="D205" s="262"/>
      <c r="E205" s="205"/>
      <c r="F205" s="263"/>
      <c r="H205" s="8"/>
      <c r="I205" s="205"/>
      <c r="J205" s="205"/>
      <c r="K205" s="282"/>
      <c r="L205" s="233"/>
      <c r="M205" s="317"/>
    </row>
    <row r="206" spans="1:13" x14ac:dyDescent="0.3">
      <c r="A206" s="8"/>
      <c r="B206" s="262"/>
      <c r="C206" s="10"/>
      <c r="D206" s="262"/>
      <c r="E206" s="205"/>
      <c r="F206" s="263"/>
      <c r="H206" s="8"/>
      <c r="I206" s="205"/>
      <c r="J206" s="205"/>
      <c r="K206" s="282"/>
      <c r="L206" s="233"/>
      <c r="M206" s="317"/>
    </row>
    <row r="207" spans="1:13" x14ac:dyDescent="0.3">
      <c r="A207" s="8"/>
      <c r="B207" s="262"/>
      <c r="C207" s="10"/>
      <c r="D207" s="262"/>
      <c r="E207" s="205"/>
      <c r="F207" s="263"/>
      <c r="H207" s="8"/>
      <c r="I207" s="205"/>
      <c r="J207" s="205"/>
      <c r="K207" s="282"/>
      <c r="L207" s="233"/>
      <c r="M207" s="317"/>
    </row>
    <row r="208" spans="1:13" x14ac:dyDescent="0.3">
      <c r="A208" s="8"/>
      <c r="B208" s="262"/>
      <c r="C208" s="10"/>
      <c r="D208" s="262"/>
      <c r="E208" s="205"/>
      <c r="F208" s="263"/>
      <c r="H208" s="8"/>
      <c r="I208" s="205"/>
      <c r="J208" s="205"/>
      <c r="K208" s="282"/>
      <c r="L208" s="233"/>
      <c r="M208" s="317"/>
    </row>
    <row r="209" spans="1:13" x14ac:dyDescent="0.3">
      <c r="A209" s="8"/>
      <c r="B209" s="262"/>
      <c r="C209" s="10"/>
      <c r="D209" s="262"/>
      <c r="E209" s="205"/>
      <c r="F209" s="263"/>
      <c r="H209" s="8"/>
      <c r="I209" s="205"/>
      <c r="J209" s="205"/>
      <c r="K209" s="282"/>
      <c r="L209" s="233"/>
      <c r="M209" s="317"/>
    </row>
    <row r="210" spans="1:13" x14ac:dyDescent="0.3">
      <c r="A210" s="8"/>
      <c r="B210" s="262"/>
      <c r="C210" s="10"/>
      <c r="D210" s="262"/>
      <c r="E210" s="205"/>
      <c r="F210" s="263"/>
      <c r="H210" s="8"/>
      <c r="I210" s="205"/>
      <c r="J210" s="205"/>
      <c r="K210" s="282"/>
      <c r="L210" s="233"/>
      <c r="M210" s="317"/>
    </row>
    <row r="211" spans="1:13" x14ac:dyDescent="0.3">
      <c r="A211" s="8"/>
      <c r="B211" s="262"/>
      <c r="C211" s="10"/>
      <c r="D211" s="262"/>
      <c r="E211" s="205"/>
      <c r="F211" s="263"/>
      <c r="H211" s="8"/>
      <c r="I211" s="205"/>
      <c r="J211" s="205"/>
      <c r="K211" s="282"/>
      <c r="L211" s="233"/>
      <c r="M211" s="317"/>
    </row>
    <row r="212" spans="1:13" x14ac:dyDescent="0.3">
      <c r="A212" s="8"/>
      <c r="B212" s="262"/>
      <c r="C212" s="10"/>
      <c r="D212" s="262"/>
      <c r="E212" s="205"/>
      <c r="F212" s="263"/>
      <c r="H212" s="8"/>
      <c r="I212" s="205"/>
      <c r="J212" s="205"/>
      <c r="K212" s="282"/>
      <c r="L212" s="233"/>
      <c r="M212" s="317"/>
    </row>
    <row r="213" spans="1:13" x14ac:dyDescent="0.3">
      <c r="A213" s="8"/>
      <c r="B213" s="262"/>
      <c r="C213" s="10"/>
      <c r="D213" s="262"/>
      <c r="E213" s="205"/>
      <c r="F213" s="263"/>
      <c r="H213" s="8"/>
      <c r="I213" s="205"/>
      <c r="J213" s="205"/>
      <c r="K213" s="282"/>
      <c r="L213" s="233"/>
      <c r="M213" s="317"/>
    </row>
    <row r="214" spans="1:13" x14ac:dyDescent="0.3">
      <c r="A214" s="8"/>
      <c r="B214" s="262"/>
      <c r="C214" s="10"/>
      <c r="D214" s="262"/>
      <c r="E214" s="205"/>
      <c r="F214" s="263"/>
      <c r="H214" s="8"/>
      <c r="I214" s="205"/>
      <c r="J214" s="205"/>
      <c r="K214" s="282"/>
      <c r="L214" s="233"/>
      <c r="M214" s="317"/>
    </row>
    <row r="215" spans="1:13" x14ac:dyDescent="0.3">
      <c r="A215" s="8"/>
      <c r="B215" s="262"/>
      <c r="C215" s="10"/>
      <c r="D215" s="262"/>
      <c r="E215" s="205"/>
      <c r="F215" s="263"/>
      <c r="H215" s="8"/>
      <c r="I215" s="205"/>
      <c r="J215" s="205"/>
      <c r="K215" s="282"/>
      <c r="L215" s="233"/>
      <c r="M215" s="317"/>
    </row>
    <row r="216" spans="1:13" x14ac:dyDescent="0.3">
      <c r="A216" s="8"/>
      <c r="B216" s="262"/>
      <c r="C216" s="10"/>
      <c r="D216" s="262"/>
      <c r="E216" s="205"/>
      <c r="F216" s="263"/>
      <c r="H216" s="8"/>
      <c r="I216" s="205"/>
      <c r="J216" s="205"/>
      <c r="K216" s="282"/>
      <c r="L216" s="233"/>
      <c r="M216" s="317"/>
    </row>
    <row r="217" spans="1:13" x14ac:dyDescent="0.3">
      <c r="A217" s="8"/>
      <c r="B217" s="262"/>
      <c r="C217" s="10"/>
      <c r="D217" s="262"/>
      <c r="E217" s="205"/>
      <c r="F217" s="263"/>
      <c r="H217" s="8"/>
      <c r="I217" s="205"/>
      <c r="J217" s="205"/>
      <c r="K217" s="282"/>
      <c r="L217" s="233"/>
      <c r="M217" s="317"/>
    </row>
    <row r="218" spans="1:13" x14ac:dyDescent="0.3">
      <c r="A218" s="8"/>
      <c r="B218" s="262"/>
      <c r="C218" s="10"/>
      <c r="D218" s="262"/>
      <c r="E218" s="205"/>
      <c r="F218" s="263"/>
      <c r="H218" s="8"/>
      <c r="I218" s="205"/>
      <c r="J218" s="205"/>
      <c r="K218" s="282"/>
      <c r="L218" s="233"/>
      <c r="M218" s="317"/>
    </row>
    <row r="219" spans="1:13" x14ac:dyDescent="0.3">
      <c r="A219" s="8"/>
      <c r="B219" s="262"/>
      <c r="C219" s="10"/>
      <c r="D219" s="262"/>
      <c r="E219" s="205"/>
      <c r="F219" s="263"/>
      <c r="H219" s="8"/>
      <c r="I219" s="205"/>
      <c r="J219" s="205"/>
      <c r="K219" s="282"/>
      <c r="L219" s="233"/>
      <c r="M219" s="317"/>
    </row>
    <row r="220" spans="1:13" x14ac:dyDescent="0.3">
      <c r="A220" s="8"/>
      <c r="B220" s="262"/>
      <c r="C220" s="10"/>
      <c r="D220" s="262"/>
      <c r="E220" s="205"/>
      <c r="F220" s="263"/>
      <c r="H220" s="8"/>
      <c r="I220" s="205"/>
      <c r="J220" s="205"/>
      <c r="K220" s="282"/>
      <c r="L220" s="233"/>
      <c r="M220" s="317"/>
    </row>
    <row r="221" spans="1:13" x14ac:dyDescent="0.3">
      <c r="A221" s="8"/>
      <c r="B221" s="262"/>
      <c r="C221" s="10"/>
      <c r="D221" s="262"/>
      <c r="E221" s="205"/>
      <c r="F221" s="263"/>
      <c r="H221" s="8"/>
      <c r="I221" s="205"/>
      <c r="J221" s="205"/>
      <c r="K221" s="282"/>
      <c r="L221" s="233"/>
      <c r="M221" s="317"/>
    </row>
    <row r="222" spans="1:13" x14ac:dyDescent="0.3">
      <c r="A222" s="8"/>
      <c r="B222" s="262"/>
      <c r="C222" s="10"/>
      <c r="D222" s="262"/>
      <c r="E222" s="205"/>
      <c r="F222" s="263"/>
      <c r="H222" s="8"/>
      <c r="I222" s="205"/>
      <c r="J222" s="205"/>
      <c r="K222" s="282"/>
      <c r="L222" s="233"/>
      <c r="M222" s="317"/>
    </row>
    <row r="223" spans="1:13" x14ac:dyDescent="0.3">
      <c r="A223" s="8"/>
      <c r="B223" s="262"/>
      <c r="C223" s="10"/>
      <c r="D223" s="262"/>
      <c r="E223" s="205"/>
      <c r="F223" s="263"/>
      <c r="H223" s="8"/>
      <c r="I223" s="205"/>
      <c r="J223" s="205"/>
      <c r="K223" s="282"/>
      <c r="L223" s="233"/>
      <c r="M223" s="317"/>
    </row>
    <row r="224" spans="1:13" x14ac:dyDescent="0.3">
      <c r="A224" s="8"/>
      <c r="B224" s="262"/>
      <c r="C224" s="10"/>
      <c r="D224" s="262"/>
      <c r="E224" s="205"/>
      <c r="F224" s="263"/>
      <c r="H224" s="8"/>
      <c r="I224" s="205"/>
      <c r="J224" s="205"/>
      <c r="K224" s="282"/>
      <c r="L224" s="233"/>
      <c r="M224" s="317"/>
    </row>
    <row r="225" spans="1:13" x14ac:dyDescent="0.3">
      <c r="A225" s="8"/>
      <c r="B225" s="262"/>
      <c r="C225" s="10"/>
      <c r="D225" s="262"/>
      <c r="E225" s="205"/>
      <c r="F225" s="263"/>
      <c r="H225" s="8"/>
      <c r="I225" s="205"/>
      <c r="J225" s="205"/>
      <c r="K225" s="282"/>
      <c r="L225" s="233"/>
      <c r="M225" s="317"/>
    </row>
    <row r="226" spans="1:13" x14ac:dyDescent="0.3">
      <c r="A226" s="8"/>
      <c r="B226" s="262"/>
      <c r="C226" s="10"/>
      <c r="D226" s="262"/>
      <c r="E226" s="205"/>
      <c r="F226" s="263"/>
      <c r="H226" s="8"/>
      <c r="I226" s="205"/>
      <c r="J226" s="205"/>
      <c r="K226" s="282"/>
      <c r="L226" s="233"/>
      <c r="M226" s="317"/>
    </row>
    <row r="227" spans="1:13" x14ac:dyDescent="0.3">
      <c r="A227" s="8"/>
      <c r="B227" s="262"/>
      <c r="C227" s="10"/>
      <c r="D227" s="262"/>
      <c r="E227" s="205"/>
      <c r="F227" s="263"/>
      <c r="H227" s="8"/>
      <c r="I227" s="205"/>
      <c r="J227" s="205"/>
      <c r="K227" s="282"/>
      <c r="L227" s="233"/>
      <c r="M227" s="317"/>
    </row>
    <row r="228" spans="1:13" x14ac:dyDescent="0.3">
      <c r="A228" s="8"/>
      <c r="B228" s="10"/>
      <c r="C228" s="10"/>
      <c r="D228" s="10"/>
      <c r="E228" s="205"/>
      <c r="F228" s="9"/>
      <c r="H228" s="8"/>
      <c r="I228" s="205"/>
      <c r="J228" s="205"/>
      <c r="K228" s="282"/>
      <c r="L228" s="233"/>
      <c r="M228" s="317"/>
    </row>
    <row r="229" spans="1:13" x14ac:dyDescent="0.3">
      <c r="A229" s="8"/>
      <c r="B229" s="10"/>
      <c r="C229" s="10"/>
      <c r="D229" s="10"/>
      <c r="E229" s="205"/>
      <c r="F229" s="9"/>
      <c r="H229" s="8"/>
      <c r="I229" s="205"/>
      <c r="J229" s="205"/>
      <c r="K229" s="282"/>
      <c r="L229" s="233"/>
      <c r="M229" s="317"/>
    </row>
    <row r="230" spans="1:13" x14ac:dyDescent="0.3">
      <c r="A230" s="8"/>
      <c r="B230" s="10"/>
      <c r="C230" s="10"/>
      <c r="D230" s="10"/>
      <c r="E230" s="205"/>
      <c r="F230" s="9"/>
      <c r="H230" s="8"/>
      <c r="I230" s="205"/>
      <c r="J230" s="205"/>
      <c r="K230" s="282"/>
      <c r="L230" s="233"/>
      <c r="M230" s="317"/>
    </row>
    <row r="231" spans="1:13" x14ac:dyDescent="0.3">
      <c r="A231" s="8"/>
      <c r="B231" s="10"/>
      <c r="C231" s="10"/>
      <c r="D231" s="10"/>
      <c r="E231" s="205"/>
      <c r="F231" s="9"/>
      <c r="H231" s="8"/>
      <c r="I231" s="205"/>
      <c r="J231" s="205"/>
      <c r="K231" s="282"/>
      <c r="L231" s="233"/>
      <c r="M231" s="317"/>
    </row>
    <row r="232" spans="1:13" x14ac:dyDescent="0.3">
      <c r="A232" s="8"/>
      <c r="B232" s="10"/>
      <c r="C232" s="10"/>
      <c r="D232" s="10"/>
      <c r="E232" s="205"/>
      <c r="F232" s="9"/>
      <c r="H232" s="8"/>
      <c r="I232" s="205"/>
      <c r="J232" s="205"/>
      <c r="K232" s="282"/>
      <c r="L232" s="233"/>
      <c r="M232" s="317"/>
    </row>
    <row r="233" spans="1:13" x14ac:dyDescent="0.3">
      <c r="A233" s="8"/>
      <c r="B233" s="10"/>
      <c r="C233" s="10"/>
      <c r="D233" s="10"/>
      <c r="E233" s="205"/>
      <c r="F233" s="9"/>
      <c r="H233" s="8"/>
      <c r="I233" s="205"/>
      <c r="J233" s="205"/>
      <c r="K233" s="282"/>
      <c r="L233" s="233"/>
      <c r="M233" s="317"/>
    </row>
    <row r="234" spans="1:13" x14ac:dyDescent="0.3">
      <c r="A234" s="8"/>
      <c r="B234" s="10"/>
      <c r="C234" s="10"/>
      <c r="D234" s="10"/>
      <c r="E234" s="205"/>
      <c r="F234" s="9"/>
      <c r="H234" s="8"/>
      <c r="I234" s="205"/>
      <c r="J234" s="205"/>
      <c r="K234" s="282"/>
      <c r="L234" s="233"/>
      <c r="M234" s="317"/>
    </row>
    <row r="235" spans="1:13" x14ac:dyDescent="0.3">
      <c r="A235" s="8"/>
      <c r="B235" s="10"/>
      <c r="C235" s="10"/>
      <c r="D235" s="10"/>
      <c r="E235" s="205"/>
      <c r="F235" s="9"/>
      <c r="H235" s="8"/>
      <c r="I235" s="205"/>
      <c r="J235" s="205"/>
      <c r="K235" s="282"/>
      <c r="L235" s="233"/>
      <c r="M235" s="317"/>
    </row>
    <row r="236" spans="1:13" x14ac:dyDescent="0.3">
      <c r="A236" s="8"/>
      <c r="B236" s="10"/>
      <c r="C236" s="10"/>
      <c r="D236" s="10"/>
      <c r="E236" s="205"/>
      <c r="F236" s="9"/>
      <c r="H236" s="8"/>
      <c r="I236" s="205"/>
      <c r="J236" s="205"/>
      <c r="K236" s="282"/>
      <c r="L236" s="233"/>
      <c r="M236" s="317"/>
    </row>
    <row r="237" spans="1:13" x14ac:dyDescent="0.3">
      <c r="A237" s="8"/>
      <c r="B237" s="10"/>
      <c r="C237" s="10"/>
      <c r="D237" s="10"/>
      <c r="E237" s="205"/>
      <c r="F237" s="9"/>
      <c r="H237" s="8"/>
      <c r="I237" s="205"/>
      <c r="J237" s="205"/>
      <c r="K237" s="282"/>
      <c r="L237" s="233"/>
      <c r="M237" s="317"/>
    </row>
    <row r="238" spans="1:13" x14ac:dyDescent="0.3">
      <c r="A238" s="8"/>
      <c r="B238" s="10"/>
      <c r="C238" s="10"/>
      <c r="D238" s="10"/>
      <c r="E238" s="205"/>
      <c r="F238" s="9"/>
      <c r="H238" s="8"/>
      <c r="I238" s="205"/>
      <c r="J238" s="205"/>
      <c r="K238" s="282"/>
      <c r="L238" s="233"/>
      <c r="M238" s="317"/>
    </row>
    <row r="239" spans="1:13" x14ac:dyDescent="0.3">
      <c r="A239" s="8"/>
      <c r="B239" s="10"/>
      <c r="C239" s="10"/>
      <c r="D239" s="10"/>
      <c r="E239" s="205"/>
      <c r="F239" s="9"/>
      <c r="H239" s="8"/>
      <c r="I239" s="205"/>
      <c r="J239" s="205"/>
      <c r="K239" s="282"/>
      <c r="L239" s="233"/>
      <c r="M239" s="317"/>
    </row>
    <row r="240" spans="1:13" x14ac:dyDescent="0.3">
      <c r="A240" s="8"/>
      <c r="B240" s="10"/>
      <c r="C240" s="10"/>
      <c r="D240" s="10"/>
      <c r="E240" s="205"/>
      <c r="F240" s="9"/>
      <c r="H240" s="8"/>
      <c r="I240" s="205"/>
      <c r="J240" s="205"/>
      <c r="K240" s="282"/>
      <c r="L240" s="233"/>
      <c r="M240" s="317"/>
    </row>
    <row r="241" spans="1:13" x14ac:dyDescent="0.3">
      <c r="A241" s="8"/>
      <c r="B241" s="10"/>
      <c r="C241" s="10"/>
      <c r="D241" s="10"/>
      <c r="E241" s="205"/>
      <c r="F241" s="9"/>
      <c r="H241" s="8"/>
      <c r="I241" s="205"/>
      <c r="J241" s="205"/>
      <c r="K241" s="282"/>
      <c r="L241" s="233"/>
      <c r="M241" s="317"/>
    </row>
    <row r="242" spans="1:13" x14ac:dyDescent="0.3">
      <c r="A242" s="8"/>
      <c r="B242" s="10"/>
      <c r="C242" s="10"/>
      <c r="D242" s="10"/>
      <c r="E242" s="205"/>
      <c r="F242" s="9"/>
      <c r="H242" s="8"/>
      <c r="I242" s="205"/>
      <c r="J242" s="205"/>
      <c r="K242" s="282"/>
      <c r="L242" s="233"/>
      <c r="M242" s="317"/>
    </row>
    <row r="243" spans="1:13" x14ac:dyDescent="0.3">
      <c r="A243" s="8"/>
      <c r="B243" s="10"/>
      <c r="C243" s="10"/>
      <c r="D243" s="10"/>
      <c r="E243" s="205"/>
      <c r="F243" s="9"/>
      <c r="H243" s="8"/>
      <c r="I243" s="205"/>
      <c r="J243" s="205"/>
      <c r="K243" s="282"/>
      <c r="L243" s="233"/>
      <c r="M243" s="317"/>
    </row>
    <row r="244" spans="1:13" x14ac:dyDescent="0.3">
      <c r="A244" s="8"/>
      <c r="B244" s="10"/>
      <c r="C244" s="10"/>
      <c r="D244" s="10"/>
      <c r="E244" s="205"/>
      <c r="F244" s="9"/>
      <c r="H244" s="8"/>
      <c r="I244" s="205"/>
      <c r="J244" s="205"/>
      <c r="K244" s="282"/>
      <c r="L244" s="233"/>
      <c r="M244" s="317"/>
    </row>
    <row r="245" spans="1:13" x14ac:dyDescent="0.3">
      <c r="A245" s="8"/>
      <c r="B245" s="10"/>
      <c r="C245" s="10"/>
      <c r="D245" s="10"/>
      <c r="E245" s="205"/>
      <c r="F245" s="9"/>
      <c r="H245" s="8"/>
      <c r="I245" s="205"/>
      <c r="J245" s="205"/>
      <c r="K245" s="282"/>
      <c r="L245" s="233"/>
      <c r="M245" s="317"/>
    </row>
    <row r="246" spans="1:13" x14ac:dyDescent="0.3">
      <c r="A246" s="8"/>
      <c r="B246" s="10"/>
      <c r="C246" s="10"/>
      <c r="D246" s="10"/>
      <c r="E246" s="205"/>
      <c r="F246" s="9"/>
      <c r="H246" s="8"/>
      <c r="I246" s="205"/>
      <c r="J246" s="205"/>
      <c r="K246" s="282"/>
      <c r="L246" s="233"/>
      <c r="M246" s="317"/>
    </row>
    <row r="247" spans="1:13" x14ac:dyDescent="0.3">
      <c r="A247" s="8"/>
      <c r="B247" s="10"/>
      <c r="C247" s="10"/>
      <c r="D247" s="10"/>
      <c r="E247" s="205"/>
      <c r="F247" s="9"/>
      <c r="H247" s="8"/>
      <c r="I247" s="205"/>
      <c r="J247" s="205"/>
      <c r="K247" s="282"/>
      <c r="L247" s="233"/>
      <c r="M247" s="317"/>
    </row>
    <row r="248" spans="1:13" x14ac:dyDescent="0.3">
      <c r="A248" s="8"/>
      <c r="B248" s="10"/>
      <c r="C248" s="10"/>
      <c r="D248" s="10"/>
      <c r="E248" s="205"/>
      <c r="F248" s="9"/>
      <c r="H248" s="8"/>
      <c r="I248" s="205"/>
      <c r="J248" s="205"/>
      <c r="K248" s="282"/>
      <c r="L248" s="233"/>
      <c r="M248" s="317"/>
    </row>
    <row r="249" spans="1:13" x14ac:dyDescent="0.3">
      <c r="A249" s="8"/>
      <c r="B249" s="10"/>
      <c r="C249" s="10"/>
      <c r="D249" s="10"/>
      <c r="E249" s="205"/>
      <c r="F249" s="9"/>
      <c r="H249" s="8"/>
      <c r="I249" s="205"/>
      <c r="J249" s="205"/>
      <c r="K249" s="282"/>
      <c r="L249" s="233"/>
      <c r="M249" s="317"/>
    </row>
    <row r="250" spans="1:13" x14ac:dyDescent="0.3">
      <c r="A250" s="8"/>
      <c r="B250" s="10"/>
      <c r="C250" s="10"/>
      <c r="D250" s="10"/>
      <c r="E250" s="205"/>
      <c r="F250" s="9"/>
      <c r="H250" s="8"/>
      <c r="I250" s="205"/>
      <c r="J250" s="205"/>
      <c r="K250" s="282"/>
      <c r="L250" s="233"/>
      <c r="M250" s="317"/>
    </row>
    <row r="251" spans="1:13" x14ac:dyDescent="0.3">
      <c r="A251" s="8"/>
      <c r="B251" s="10"/>
      <c r="C251" s="10"/>
      <c r="D251" s="10"/>
      <c r="E251" s="205"/>
      <c r="F251" s="9"/>
      <c r="H251" s="8"/>
      <c r="I251" s="205"/>
      <c r="J251" s="205"/>
      <c r="K251" s="282"/>
      <c r="L251" s="233"/>
      <c r="M251" s="317"/>
    </row>
    <row r="252" spans="1:13" x14ac:dyDescent="0.3">
      <c r="A252" s="8"/>
      <c r="B252" s="10"/>
      <c r="C252" s="10"/>
      <c r="D252" s="10"/>
      <c r="E252" s="205"/>
      <c r="F252" s="9"/>
      <c r="H252" s="8"/>
      <c r="I252" s="205"/>
      <c r="J252" s="205"/>
      <c r="K252" s="282"/>
      <c r="L252" s="233"/>
      <c r="M252" s="317"/>
    </row>
    <row r="253" spans="1:13" x14ac:dyDescent="0.3">
      <c r="A253" s="8"/>
      <c r="B253" s="10"/>
      <c r="C253" s="10"/>
      <c r="D253" s="10"/>
      <c r="E253" s="205"/>
      <c r="F253" s="9"/>
      <c r="H253" s="8"/>
      <c r="I253" s="205"/>
      <c r="J253" s="205"/>
      <c r="K253" s="282"/>
      <c r="L253" s="233"/>
      <c r="M253" s="317"/>
    </row>
    <row r="254" spans="1:13" x14ac:dyDescent="0.3">
      <c r="A254" s="8"/>
      <c r="B254" s="10"/>
      <c r="C254" s="10"/>
      <c r="D254" s="10"/>
      <c r="E254" s="205"/>
      <c r="F254" s="9"/>
      <c r="H254" s="8"/>
      <c r="I254" s="205"/>
      <c r="J254" s="205"/>
      <c r="K254" s="282"/>
      <c r="L254" s="233"/>
      <c r="M254" s="317"/>
    </row>
    <row r="255" spans="1:13" x14ac:dyDescent="0.3">
      <c r="A255" s="8"/>
      <c r="B255" s="10"/>
      <c r="C255" s="10"/>
      <c r="D255" s="10"/>
      <c r="E255" s="205"/>
      <c r="F255" s="9"/>
      <c r="H255" s="8"/>
      <c r="I255" s="205"/>
      <c r="J255" s="205"/>
      <c r="K255" s="282"/>
      <c r="L255" s="233"/>
      <c r="M255" s="317"/>
    </row>
    <row r="256" spans="1:13" x14ac:dyDescent="0.3">
      <c r="A256" s="8"/>
      <c r="B256" s="10"/>
      <c r="C256" s="10"/>
      <c r="D256" s="10"/>
      <c r="E256" s="205"/>
      <c r="F256" s="9"/>
      <c r="H256" s="8"/>
      <c r="I256" s="205"/>
      <c r="J256" s="205"/>
      <c r="K256" s="282"/>
      <c r="L256" s="233"/>
      <c r="M256" s="317"/>
    </row>
    <row r="257" spans="1:13" x14ac:dyDescent="0.3">
      <c r="A257" s="8"/>
      <c r="B257" s="10"/>
      <c r="C257" s="10"/>
      <c r="D257" s="10"/>
      <c r="E257" s="205"/>
      <c r="F257" s="9"/>
      <c r="H257" s="8"/>
      <c r="I257" s="205"/>
      <c r="J257" s="205"/>
      <c r="K257" s="282"/>
      <c r="L257" s="233"/>
      <c r="M257" s="317"/>
    </row>
    <row r="258" spans="1:13" x14ac:dyDescent="0.3">
      <c r="A258" s="8"/>
      <c r="B258" s="10"/>
      <c r="C258" s="10"/>
      <c r="D258" s="10"/>
      <c r="E258" s="205"/>
      <c r="F258" s="9"/>
      <c r="H258" s="8"/>
      <c r="I258" s="205"/>
      <c r="J258" s="205"/>
      <c r="K258" s="282"/>
      <c r="L258" s="233"/>
      <c r="M258" s="317"/>
    </row>
    <row r="259" spans="1:13" x14ac:dyDescent="0.3">
      <c r="A259" s="8"/>
      <c r="B259" s="10"/>
      <c r="C259" s="10"/>
      <c r="D259" s="10"/>
      <c r="E259" s="205"/>
      <c r="F259" s="9"/>
      <c r="H259" s="8"/>
      <c r="I259" s="205"/>
      <c r="J259" s="205"/>
      <c r="K259" s="282"/>
      <c r="L259" s="233"/>
      <c r="M259" s="317"/>
    </row>
    <row r="260" spans="1:13" x14ac:dyDescent="0.3">
      <c r="A260" s="8"/>
      <c r="B260" s="10"/>
      <c r="C260" s="10"/>
      <c r="D260" s="10"/>
      <c r="E260" s="205"/>
      <c r="F260" s="9"/>
      <c r="H260" s="8"/>
      <c r="I260" s="205"/>
      <c r="J260" s="205"/>
      <c r="K260" s="282"/>
      <c r="L260" s="233"/>
      <c r="M260" s="317"/>
    </row>
    <row r="261" spans="1:13" x14ac:dyDescent="0.3">
      <c r="A261" s="8"/>
      <c r="B261" s="10"/>
      <c r="C261" s="10"/>
      <c r="D261" s="10"/>
      <c r="E261" s="205"/>
      <c r="F261" s="9"/>
      <c r="H261" s="8"/>
      <c r="I261" s="205"/>
      <c r="J261" s="205"/>
      <c r="K261" s="282"/>
      <c r="L261" s="233"/>
      <c r="M261" s="317"/>
    </row>
    <row r="262" spans="1:13" x14ac:dyDescent="0.3">
      <c r="A262" s="8"/>
      <c r="B262" s="10"/>
      <c r="C262" s="10"/>
      <c r="D262" s="10"/>
      <c r="E262" s="205"/>
      <c r="F262" s="9"/>
      <c r="H262" s="8"/>
      <c r="I262" s="205"/>
      <c r="J262" s="205"/>
      <c r="K262" s="282"/>
      <c r="L262" s="233"/>
      <c r="M262" s="317"/>
    </row>
    <row r="263" spans="1:13" x14ac:dyDescent="0.3">
      <c r="A263" s="8"/>
      <c r="B263" s="10"/>
      <c r="C263" s="10"/>
      <c r="D263" s="10"/>
      <c r="E263" s="205"/>
      <c r="F263" s="9"/>
      <c r="H263" s="8"/>
      <c r="I263" s="205"/>
      <c r="J263" s="205"/>
      <c r="K263" s="282"/>
      <c r="L263" s="233"/>
      <c r="M263" s="317"/>
    </row>
    <row r="264" spans="1:13" x14ac:dyDescent="0.3">
      <c r="A264" s="8"/>
      <c r="B264" s="10"/>
      <c r="C264" s="10"/>
      <c r="D264" s="10"/>
      <c r="E264" s="205"/>
      <c r="F264" s="9"/>
      <c r="H264" s="8"/>
      <c r="I264" s="205"/>
      <c r="J264" s="205"/>
      <c r="K264" s="282"/>
      <c r="L264" s="233"/>
      <c r="M264" s="317"/>
    </row>
    <row r="265" spans="1:13" x14ac:dyDescent="0.3">
      <c r="A265" s="8"/>
      <c r="B265" s="10"/>
      <c r="C265" s="10"/>
      <c r="D265" s="10"/>
      <c r="E265" s="205"/>
      <c r="F265" s="9"/>
      <c r="H265" s="8"/>
      <c r="I265" s="205"/>
      <c r="J265" s="205"/>
      <c r="K265" s="282"/>
      <c r="L265" s="233"/>
      <c r="M265" s="317"/>
    </row>
    <row r="266" spans="1:13" x14ac:dyDescent="0.3">
      <c r="A266" s="8"/>
      <c r="B266" s="10"/>
      <c r="C266" s="10"/>
      <c r="D266" s="10"/>
      <c r="E266" s="205"/>
      <c r="F266" s="9"/>
      <c r="H266" s="8"/>
      <c r="I266" s="205"/>
      <c r="J266" s="205"/>
      <c r="K266" s="282"/>
      <c r="L266" s="233"/>
      <c r="M266" s="317"/>
    </row>
    <row r="267" spans="1:13" x14ac:dyDescent="0.3">
      <c r="A267" s="8"/>
      <c r="B267" s="10"/>
      <c r="C267" s="10"/>
      <c r="D267" s="10"/>
      <c r="E267" s="205"/>
      <c r="F267" s="9"/>
      <c r="H267" s="8"/>
      <c r="I267" s="205"/>
      <c r="J267" s="205"/>
      <c r="K267" s="282"/>
      <c r="L267" s="233"/>
      <c r="M267" s="317"/>
    </row>
    <row r="268" spans="1:13" x14ac:dyDescent="0.3">
      <c r="A268" s="8"/>
      <c r="B268" s="10"/>
      <c r="C268" s="10"/>
      <c r="D268" s="10"/>
      <c r="E268" s="205"/>
      <c r="F268" s="9"/>
      <c r="H268" s="8"/>
      <c r="I268" s="205"/>
      <c r="J268" s="205"/>
      <c r="K268" s="282"/>
      <c r="L268" s="233"/>
      <c r="M268" s="317"/>
    </row>
    <row r="269" spans="1:13" x14ac:dyDescent="0.3">
      <c r="A269" s="8"/>
      <c r="B269" s="10"/>
      <c r="C269" s="10"/>
      <c r="D269" s="10"/>
      <c r="E269" s="205"/>
      <c r="F269" s="9"/>
      <c r="H269" s="8"/>
      <c r="I269" s="205"/>
      <c r="J269" s="205"/>
      <c r="K269" s="282"/>
      <c r="L269" s="233"/>
      <c r="M269" s="317"/>
    </row>
    <row r="270" spans="1:13" x14ac:dyDescent="0.3">
      <c r="A270" s="8"/>
      <c r="B270" s="10"/>
      <c r="C270" s="10"/>
      <c r="D270" s="10"/>
      <c r="E270" s="205"/>
      <c r="F270" s="9"/>
      <c r="H270" s="8"/>
      <c r="I270" s="205"/>
      <c r="J270" s="205"/>
      <c r="K270" s="282"/>
      <c r="L270" s="233"/>
      <c r="M270" s="317"/>
    </row>
    <row r="271" spans="1:13" x14ac:dyDescent="0.3">
      <c r="A271" s="8"/>
      <c r="B271" s="10"/>
      <c r="C271" s="10"/>
      <c r="D271" s="10"/>
      <c r="E271" s="205"/>
      <c r="F271" s="9"/>
      <c r="H271" s="8"/>
      <c r="I271" s="205"/>
      <c r="J271" s="205"/>
      <c r="K271" s="282"/>
      <c r="L271" s="233"/>
      <c r="M271" s="317"/>
    </row>
    <row r="272" spans="1:13" x14ac:dyDescent="0.3">
      <c r="A272" s="8"/>
      <c r="B272" s="10"/>
      <c r="C272" s="10"/>
      <c r="D272" s="10"/>
      <c r="E272" s="205"/>
      <c r="F272" s="9"/>
      <c r="H272" s="8"/>
      <c r="I272" s="205"/>
      <c r="J272" s="205"/>
      <c r="K272" s="282"/>
      <c r="L272" s="233"/>
      <c r="M272" s="317"/>
    </row>
    <row r="273" spans="1:13" x14ac:dyDescent="0.3">
      <c r="A273" s="8"/>
      <c r="B273" s="10"/>
      <c r="C273" s="10"/>
      <c r="D273" s="10"/>
      <c r="E273" s="205"/>
      <c r="F273" s="9"/>
      <c r="H273" s="8"/>
      <c r="I273" s="205"/>
      <c r="J273" s="205"/>
      <c r="K273" s="282"/>
      <c r="L273" s="233"/>
      <c r="M273" s="317"/>
    </row>
    <row r="274" spans="1:13" x14ac:dyDescent="0.3">
      <c r="A274" s="8"/>
      <c r="B274" s="10"/>
      <c r="C274" s="10"/>
      <c r="D274" s="10"/>
      <c r="E274" s="205"/>
      <c r="F274" s="9"/>
      <c r="H274" s="8"/>
      <c r="I274" s="205"/>
      <c r="J274" s="205"/>
      <c r="K274" s="282"/>
      <c r="L274" s="233"/>
      <c r="M274" s="317"/>
    </row>
    <row r="275" spans="1:13" x14ac:dyDescent="0.3">
      <c r="A275" s="8"/>
      <c r="B275" s="10"/>
      <c r="C275" s="10"/>
      <c r="D275" s="10"/>
      <c r="E275" s="205"/>
      <c r="F275" s="9"/>
      <c r="H275" s="8"/>
      <c r="I275" s="205"/>
      <c r="J275" s="205"/>
      <c r="K275" s="282"/>
      <c r="L275" s="233"/>
      <c r="M275" s="317"/>
    </row>
    <row r="276" spans="1:13" x14ac:dyDescent="0.3">
      <c r="A276" s="8"/>
      <c r="B276" s="10"/>
      <c r="C276" s="10"/>
      <c r="D276" s="10"/>
      <c r="E276" s="205"/>
      <c r="F276" s="9"/>
      <c r="H276" s="8"/>
      <c r="I276" s="205"/>
      <c r="J276" s="205"/>
      <c r="K276" s="282"/>
      <c r="L276" s="233"/>
      <c r="M276" s="317"/>
    </row>
    <row r="277" spans="1:13" x14ac:dyDescent="0.3">
      <c r="A277" s="8"/>
      <c r="B277" s="10"/>
      <c r="C277" s="10"/>
      <c r="D277" s="10"/>
      <c r="E277" s="205"/>
      <c r="F277" s="9"/>
      <c r="H277" s="8"/>
      <c r="I277" s="205"/>
      <c r="J277" s="205"/>
      <c r="K277" s="282"/>
      <c r="L277" s="233"/>
      <c r="M277" s="317"/>
    </row>
    <row r="278" spans="1:13" x14ac:dyDescent="0.3">
      <c r="A278" s="8"/>
      <c r="B278" s="10"/>
      <c r="C278" s="10"/>
      <c r="D278" s="10"/>
      <c r="E278" s="205"/>
      <c r="F278" s="9"/>
      <c r="H278" s="8"/>
      <c r="I278" s="205"/>
      <c r="J278" s="205"/>
      <c r="K278" s="282"/>
      <c r="L278" s="233"/>
      <c r="M278" s="317"/>
    </row>
    <row r="279" spans="1:13" x14ac:dyDescent="0.3">
      <c r="A279" s="8"/>
      <c r="B279" s="10"/>
      <c r="C279" s="10"/>
      <c r="D279" s="10"/>
      <c r="E279" s="205"/>
      <c r="F279" s="9"/>
      <c r="H279" s="8"/>
      <c r="I279" s="205"/>
      <c r="J279" s="205"/>
      <c r="K279" s="282"/>
      <c r="L279" s="233"/>
      <c r="M279" s="317"/>
    </row>
    <row r="280" spans="1:13" x14ac:dyDescent="0.3">
      <c r="A280" s="8"/>
      <c r="B280" s="10"/>
      <c r="C280" s="10"/>
      <c r="D280" s="10"/>
      <c r="E280" s="205"/>
      <c r="F280" s="9"/>
      <c r="H280" s="8"/>
      <c r="I280" s="205"/>
      <c r="J280" s="205"/>
      <c r="K280" s="282"/>
      <c r="L280" s="233"/>
      <c r="M280" s="317"/>
    </row>
    <row r="281" spans="1:13" x14ac:dyDescent="0.3">
      <c r="A281" s="8"/>
      <c r="B281" s="10"/>
      <c r="C281" s="10"/>
      <c r="D281" s="10"/>
      <c r="E281" s="205"/>
      <c r="F281" s="9"/>
      <c r="H281" s="8"/>
      <c r="I281" s="205"/>
      <c r="J281" s="205"/>
      <c r="K281" s="282"/>
      <c r="L281" s="233"/>
      <c r="M281" s="317"/>
    </row>
    <row r="282" spans="1:13" x14ac:dyDescent="0.3">
      <c r="A282" s="8"/>
      <c r="B282" s="10"/>
      <c r="C282" s="10"/>
      <c r="D282" s="10"/>
      <c r="E282" s="205"/>
      <c r="F282" s="9"/>
      <c r="H282" s="8"/>
      <c r="I282" s="205"/>
      <c r="J282" s="205"/>
      <c r="K282" s="282"/>
      <c r="L282" s="233"/>
      <c r="M282" s="317"/>
    </row>
    <row r="283" spans="1:13" x14ac:dyDescent="0.3">
      <c r="A283" s="8"/>
      <c r="B283" s="10"/>
      <c r="C283" s="10"/>
      <c r="D283" s="10"/>
      <c r="E283" s="205"/>
      <c r="F283" s="9"/>
      <c r="H283" s="8"/>
      <c r="I283" s="205"/>
      <c r="J283" s="205"/>
      <c r="K283" s="282"/>
      <c r="L283" s="233"/>
      <c r="M283" s="317"/>
    </row>
    <row r="284" spans="1:13" x14ac:dyDescent="0.3">
      <c r="A284" s="8"/>
      <c r="B284" s="10"/>
      <c r="C284" s="10"/>
      <c r="D284" s="10"/>
      <c r="E284" s="205"/>
      <c r="F284" s="9"/>
      <c r="H284" s="8"/>
      <c r="I284" s="205"/>
      <c r="J284" s="205"/>
      <c r="K284" s="282"/>
      <c r="L284" s="233"/>
      <c r="M284" s="317"/>
    </row>
    <row r="285" spans="1:13" x14ac:dyDescent="0.3">
      <c r="A285" s="8"/>
      <c r="B285" s="10"/>
      <c r="C285" s="10"/>
      <c r="D285" s="10"/>
      <c r="E285" s="205"/>
      <c r="F285" s="9"/>
      <c r="H285" s="8"/>
      <c r="I285" s="205"/>
      <c r="J285" s="205"/>
      <c r="K285" s="282"/>
      <c r="L285" s="233"/>
      <c r="M285" s="317"/>
    </row>
    <row r="286" spans="1:13" x14ac:dyDescent="0.3">
      <c r="A286" s="8"/>
      <c r="B286" s="10"/>
      <c r="C286" s="10"/>
      <c r="D286" s="10"/>
      <c r="E286" s="205"/>
      <c r="F286" s="9"/>
      <c r="H286" s="8"/>
      <c r="I286" s="205"/>
      <c r="J286" s="205"/>
      <c r="K286" s="282"/>
      <c r="L286" s="233"/>
      <c r="M286" s="317"/>
    </row>
    <row r="287" spans="1:13" x14ac:dyDescent="0.3">
      <c r="A287" s="8"/>
      <c r="B287" s="10"/>
      <c r="C287" s="10"/>
      <c r="D287" s="10"/>
      <c r="E287" s="205"/>
      <c r="F287" s="9"/>
      <c r="H287" s="8"/>
      <c r="I287" s="205"/>
      <c r="J287" s="205"/>
      <c r="K287" s="282"/>
      <c r="L287" s="233"/>
      <c r="M287" s="317"/>
    </row>
    <row r="288" spans="1:13" x14ac:dyDescent="0.3">
      <c r="A288" s="8"/>
      <c r="B288" s="10"/>
      <c r="C288" s="10"/>
      <c r="D288" s="10"/>
      <c r="E288" s="205"/>
      <c r="F288" s="9"/>
      <c r="H288" s="8"/>
      <c r="I288" s="205"/>
      <c r="J288" s="205"/>
      <c r="K288" s="282"/>
      <c r="L288" s="233"/>
      <c r="M288" s="317"/>
    </row>
    <row r="289" spans="1:13" x14ac:dyDescent="0.3">
      <c r="A289" s="8"/>
      <c r="B289" s="10"/>
      <c r="C289" s="10"/>
      <c r="D289" s="10"/>
      <c r="E289" s="205"/>
      <c r="F289" s="9"/>
      <c r="H289" s="8"/>
      <c r="I289" s="205"/>
      <c r="J289" s="205"/>
      <c r="K289" s="282"/>
      <c r="L289" s="233"/>
      <c r="M289" s="317"/>
    </row>
    <row r="290" spans="1:13" x14ac:dyDescent="0.3">
      <c r="A290" s="8"/>
      <c r="B290" s="10"/>
      <c r="C290" s="10"/>
      <c r="D290" s="10"/>
      <c r="E290" s="205"/>
      <c r="F290" s="9"/>
      <c r="H290" s="8"/>
      <c r="I290" s="205"/>
      <c r="J290" s="205"/>
      <c r="K290" s="282"/>
      <c r="L290" s="233"/>
      <c r="M290" s="317"/>
    </row>
    <row r="291" spans="1:13" x14ac:dyDescent="0.3">
      <c r="A291" s="8"/>
      <c r="B291" s="10"/>
      <c r="C291" s="10"/>
      <c r="D291" s="10"/>
      <c r="E291" s="205"/>
      <c r="F291" s="9"/>
      <c r="H291" s="8"/>
      <c r="I291" s="205"/>
      <c r="J291" s="205"/>
      <c r="K291" s="282"/>
      <c r="L291" s="233"/>
      <c r="M291" s="317"/>
    </row>
    <row r="292" spans="1:13" x14ac:dyDescent="0.3">
      <c r="A292" s="8"/>
      <c r="B292" s="10"/>
      <c r="C292" s="10"/>
      <c r="D292" s="10"/>
      <c r="E292" s="205"/>
      <c r="F292" s="9"/>
      <c r="H292" s="8"/>
      <c r="I292" s="205"/>
      <c r="J292" s="205"/>
      <c r="K292" s="282"/>
      <c r="L292" s="233"/>
      <c r="M292" s="317"/>
    </row>
    <row r="293" spans="1:13" x14ac:dyDescent="0.3">
      <c r="A293" s="8"/>
      <c r="B293" s="10"/>
      <c r="C293" s="10"/>
      <c r="D293" s="10"/>
      <c r="E293" s="205"/>
      <c r="F293" s="9"/>
      <c r="H293" s="8"/>
      <c r="I293" s="205"/>
      <c r="J293" s="205"/>
      <c r="K293" s="282"/>
      <c r="L293" s="233"/>
      <c r="M293" s="317"/>
    </row>
    <row r="294" spans="1:13" x14ac:dyDescent="0.3">
      <c r="A294" s="8"/>
      <c r="B294" s="10"/>
      <c r="C294" s="10"/>
      <c r="D294" s="10"/>
      <c r="E294" s="205"/>
      <c r="F294" s="9"/>
      <c r="H294" s="8"/>
      <c r="I294" s="205"/>
      <c r="J294" s="205"/>
      <c r="K294" s="282"/>
      <c r="L294" s="233"/>
      <c r="M294" s="317"/>
    </row>
    <row r="295" spans="1:13" x14ac:dyDescent="0.3">
      <c r="A295" s="8"/>
      <c r="B295" s="10"/>
      <c r="C295" s="10"/>
      <c r="D295" s="10"/>
      <c r="E295" s="205"/>
      <c r="F295" s="9"/>
      <c r="H295" s="8"/>
      <c r="I295" s="205"/>
      <c r="J295" s="205"/>
      <c r="K295" s="282"/>
      <c r="L295" s="233"/>
      <c r="M295" s="317"/>
    </row>
    <row r="296" spans="1:13" x14ac:dyDescent="0.3">
      <c r="A296" s="8"/>
      <c r="B296" s="10"/>
      <c r="C296" s="10"/>
      <c r="D296" s="10"/>
      <c r="E296" s="205"/>
      <c r="F296" s="9"/>
      <c r="H296" s="8"/>
      <c r="I296" s="205"/>
      <c r="J296" s="205"/>
      <c r="K296" s="282"/>
      <c r="L296" s="233"/>
      <c r="M296" s="317"/>
    </row>
    <row r="297" spans="1:13" x14ac:dyDescent="0.3">
      <c r="A297" s="8"/>
      <c r="B297" s="10"/>
      <c r="C297" s="10"/>
      <c r="D297" s="10"/>
      <c r="E297" s="205"/>
      <c r="F297" s="9"/>
      <c r="H297" s="8"/>
      <c r="I297" s="205"/>
      <c r="J297" s="205"/>
      <c r="K297" s="282"/>
      <c r="L297" s="233"/>
      <c r="M297" s="317"/>
    </row>
    <row r="298" spans="1:13" x14ac:dyDescent="0.3">
      <c r="A298" s="8"/>
      <c r="B298" s="10"/>
      <c r="C298" s="10"/>
      <c r="D298" s="10"/>
      <c r="E298" s="205"/>
      <c r="F298" s="9"/>
      <c r="H298" s="8"/>
      <c r="I298" s="205"/>
      <c r="J298" s="205"/>
      <c r="K298" s="282"/>
      <c r="L298" s="233"/>
      <c r="M298" s="317"/>
    </row>
    <row r="299" spans="1:13" x14ac:dyDescent="0.3">
      <c r="A299" s="8"/>
      <c r="B299" s="10"/>
      <c r="C299" s="10"/>
      <c r="D299" s="10"/>
      <c r="E299" s="205"/>
      <c r="F299" s="9"/>
      <c r="H299" s="8"/>
      <c r="I299" s="205"/>
      <c r="J299" s="205"/>
      <c r="K299" s="282"/>
      <c r="L299" s="233"/>
      <c r="M299" s="317"/>
    </row>
    <row r="300" spans="1:13" x14ac:dyDescent="0.3">
      <c r="A300" s="8"/>
      <c r="B300" s="10"/>
      <c r="C300" s="10"/>
      <c r="D300" s="10"/>
      <c r="E300" s="205"/>
      <c r="F300" s="9"/>
      <c r="H300" s="8"/>
      <c r="I300" s="205"/>
      <c r="J300" s="205"/>
      <c r="K300" s="282"/>
      <c r="L300" s="233"/>
      <c r="M300" s="317"/>
    </row>
    <row r="301" spans="1:13" x14ac:dyDescent="0.3">
      <c r="A301" s="8"/>
      <c r="B301" s="10"/>
      <c r="C301" s="10"/>
      <c r="D301" s="10"/>
      <c r="E301" s="205"/>
      <c r="F301" s="9"/>
      <c r="H301" s="8"/>
      <c r="I301" s="205"/>
      <c r="J301" s="205"/>
      <c r="K301" s="282"/>
      <c r="L301" s="233"/>
      <c r="M301" s="317"/>
    </row>
    <row r="302" spans="1:13" x14ac:dyDescent="0.3">
      <c r="A302" s="8"/>
      <c r="B302" s="10"/>
      <c r="C302" s="10"/>
      <c r="D302" s="10"/>
      <c r="E302" s="205"/>
      <c r="F302" s="9"/>
      <c r="H302" s="8"/>
      <c r="I302" s="205"/>
      <c r="J302" s="205"/>
      <c r="K302" s="282"/>
      <c r="L302" s="233"/>
      <c r="M302" s="317"/>
    </row>
    <row r="303" spans="1:13" x14ac:dyDescent="0.3">
      <c r="A303" s="8"/>
      <c r="B303" s="10"/>
      <c r="C303" s="10"/>
      <c r="D303" s="10"/>
      <c r="E303" s="205"/>
      <c r="F303" s="9"/>
      <c r="H303" s="8"/>
      <c r="I303" s="205"/>
      <c r="J303" s="205"/>
      <c r="K303" s="282"/>
      <c r="L303" s="233"/>
      <c r="M303" s="317"/>
    </row>
    <row r="304" spans="1:13" x14ac:dyDescent="0.3">
      <c r="A304" s="8"/>
      <c r="B304" s="10"/>
      <c r="C304" s="10"/>
      <c r="D304" s="10"/>
      <c r="E304" s="205"/>
      <c r="F304" s="9"/>
      <c r="H304" s="8"/>
      <c r="I304" s="205"/>
      <c r="J304" s="205"/>
      <c r="K304" s="282"/>
      <c r="L304" s="233"/>
      <c r="M304" s="317"/>
    </row>
    <row r="305" spans="1:13" x14ac:dyDescent="0.3">
      <c r="A305" s="8"/>
      <c r="B305" s="10"/>
      <c r="C305" s="10"/>
      <c r="D305" s="10"/>
      <c r="E305" s="205"/>
      <c r="F305" s="9"/>
      <c r="H305" s="8"/>
      <c r="I305" s="205"/>
      <c r="J305" s="205"/>
      <c r="K305" s="282"/>
      <c r="L305" s="233"/>
      <c r="M305" s="317"/>
    </row>
    <row r="306" spans="1:13" x14ac:dyDescent="0.3">
      <c r="A306" s="8"/>
      <c r="B306" s="10"/>
      <c r="C306" s="10"/>
      <c r="D306" s="10"/>
      <c r="E306" s="205"/>
      <c r="F306" s="9"/>
      <c r="H306" s="8"/>
      <c r="I306" s="205"/>
      <c r="J306" s="205"/>
      <c r="K306" s="282"/>
      <c r="L306" s="233"/>
      <c r="M306" s="317"/>
    </row>
    <row r="307" spans="1:13" x14ac:dyDescent="0.3">
      <c r="A307" s="8"/>
      <c r="B307" s="10"/>
      <c r="C307" s="10"/>
      <c r="D307" s="10"/>
      <c r="E307" s="205"/>
      <c r="F307" s="9"/>
      <c r="H307" s="8"/>
      <c r="I307" s="205"/>
      <c r="J307" s="205"/>
      <c r="K307" s="282"/>
      <c r="L307" s="233"/>
      <c r="M307" s="317"/>
    </row>
    <row r="308" spans="1:13" x14ac:dyDescent="0.3">
      <c r="A308" s="8"/>
      <c r="B308" s="10"/>
      <c r="C308" s="10"/>
      <c r="D308" s="10"/>
      <c r="E308" s="205"/>
      <c r="F308" s="9"/>
      <c r="H308" s="8"/>
      <c r="I308" s="205"/>
      <c r="J308" s="205"/>
      <c r="K308" s="282"/>
      <c r="L308" s="233"/>
      <c r="M308" s="317"/>
    </row>
    <row r="309" spans="1:13" x14ac:dyDescent="0.3">
      <c r="A309" s="8"/>
      <c r="B309" s="10"/>
      <c r="C309" s="10"/>
      <c r="D309" s="10"/>
      <c r="E309" s="205"/>
      <c r="F309" s="9"/>
      <c r="H309" s="8"/>
      <c r="I309" s="205"/>
      <c r="J309" s="205"/>
      <c r="K309" s="282"/>
      <c r="L309" s="233"/>
      <c r="M309" s="317"/>
    </row>
    <row r="310" spans="1:13" x14ac:dyDescent="0.3">
      <c r="A310" s="8"/>
      <c r="B310" s="10"/>
      <c r="C310" s="10"/>
      <c r="D310" s="10"/>
      <c r="E310" s="205"/>
      <c r="F310" s="9"/>
      <c r="H310" s="8"/>
      <c r="I310" s="205"/>
      <c r="J310" s="205"/>
      <c r="K310" s="282"/>
      <c r="L310" s="233"/>
      <c r="M310" s="317"/>
    </row>
    <row r="311" spans="1:13" x14ac:dyDescent="0.3">
      <c r="A311" s="8"/>
      <c r="B311" s="10"/>
      <c r="C311" s="10"/>
      <c r="D311" s="10"/>
      <c r="E311" s="205"/>
      <c r="F311" s="9"/>
      <c r="H311" s="8"/>
      <c r="I311" s="205"/>
      <c r="J311" s="205"/>
      <c r="K311" s="282"/>
      <c r="L311" s="233"/>
      <c r="M311" s="317"/>
    </row>
    <row r="312" spans="1:13" x14ac:dyDescent="0.3">
      <c r="A312" s="8"/>
      <c r="B312" s="10"/>
      <c r="C312" s="10"/>
      <c r="D312" s="10"/>
      <c r="E312" s="205"/>
      <c r="F312" s="9"/>
      <c r="H312" s="8"/>
      <c r="I312" s="205"/>
      <c r="J312" s="205"/>
      <c r="K312" s="282"/>
      <c r="L312" s="233"/>
      <c r="M312" s="317"/>
    </row>
    <row r="313" spans="1:13" x14ac:dyDescent="0.3">
      <c r="A313" s="8"/>
      <c r="B313" s="10"/>
      <c r="C313" s="10"/>
      <c r="D313" s="10"/>
      <c r="E313" s="205"/>
      <c r="F313" s="9"/>
      <c r="H313" s="8"/>
      <c r="I313" s="205"/>
      <c r="J313" s="205"/>
      <c r="K313" s="282"/>
      <c r="L313" s="233"/>
      <c r="M313" s="317"/>
    </row>
    <row r="314" spans="1:13" x14ac:dyDescent="0.3">
      <c r="A314" s="8"/>
      <c r="B314" s="10"/>
      <c r="C314" s="10"/>
      <c r="D314" s="10"/>
      <c r="E314" s="205"/>
      <c r="F314" s="9"/>
      <c r="H314" s="8"/>
      <c r="I314" s="205"/>
      <c r="J314" s="205"/>
      <c r="K314" s="282"/>
      <c r="L314" s="233"/>
      <c r="M314" s="317"/>
    </row>
    <row r="315" spans="1:13" x14ac:dyDescent="0.3">
      <c r="A315" s="8"/>
      <c r="B315" s="10"/>
      <c r="C315" s="10"/>
      <c r="D315" s="10"/>
      <c r="E315" s="205"/>
      <c r="F315" s="9"/>
      <c r="H315" s="8"/>
      <c r="I315" s="205"/>
      <c r="J315" s="205"/>
      <c r="K315" s="282"/>
      <c r="L315" s="233"/>
      <c r="M315" s="317"/>
    </row>
    <row r="316" spans="1:13" x14ac:dyDescent="0.3">
      <c r="A316" s="8"/>
      <c r="B316" s="10"/>
      <c r="C316" s="10"/>
      <c r="D316" s="10"/>
      <c r="E316" s="205"/>
      <c r="F316" s="9"/>
      <c r="H316" s="8"/>
      <c r="I316" s="205"/>
      <c r="J316" s="205"/>
      <c r="K316" s="282"/>
      <c r="L316" s="233"/>
      <c r="M316" s="317"/>
    </row>
    <row r="317" spans="1:13" x14ac:dyDescent="0.3">
      <c r="A317" s="8"/>
      <c r="B317" s="10"/>
      <c r="C317" s="10"/>
      <c r="D317" s="10"/>
      <c r="E317" s="205"/>
      <c r="F317" s="9"/>
      <c r="H317" s="8"/>
      <c r="I317" s="205"/>
      <c r="J317" s="205"/>
      <c r="K317" s="282"/>
      <c r="L317" s="233"/>
      <c r="M317" s="317"/>
    </row>
    <row r="318" spans="1:13" x14ac:dyDescent="0.3">
      <c r="A318" s="8"/>
      <c r="B318" s="10"/>
      <c r="C318" s="10"/>
      <c r="D318" s="10"/>
      <c r="E318" s="205"/>
      <c r="F318" s="9"/>
      <c r="H318" s="8"/>
      <c r="I318" s="205"/>
      <c r="J318" s="205"/>
      <c r="K318" s="282"/>
      <c r="L318" s="233"/>
      <c r="M318" s="317"/>
    </row>
    <row r="319" spans="1:13" x14ac:dyDescent="0.3">
      <c r="A319" s="8"/>
      <c r="B319" s="10"/>
      <c r="C319" s="10"/>
      <c r="D319" s="10"/>
      <c r="E319" s="205"/>
      <c r="F319" s="9"/>
      <c r="H319" s="8"/>
      <c r="I319" s="205"/>
      <c r="J319" s="205"/>
      <c r="K319" s="282"/>
      <c r="L319" s="233"/>
      <c r="M319" s="317"/>
    </row>
    <row r="320" spans="1:13" x14ac:dyDescent="0.3">
      <c r="A320" s="8"/>
      <c r="B320" s="10"/>
      <c r="C320" s="10"/>
      <c r="D320" s="10"/>
      <c r="E320" s="205"/>
      <c r="F320" s="9"/>
      <c r="H320" s="8"/>
      <c r="I320" s="205"/>
      <c r="J320" s="205"/>
      <c r="K320" s="282"/>
      <c r="L320" s="233"/>
      <c r="M320" s="317"/>
    </row>
    <row r="321" spans="1:13" x14ac:dyDescent="0.3">
      <c r="A321" s="8"/>
      <c r="B321" s="10"/>
      <c r="C321" s="10"/>
      <c r="D321" s="10"/>
      <c r="E321" s="205"/>
      <c r="F321" s="9"/>
      <c r="H321" s="8"/>
      <c r="I321" s="205"/>
      <c r="J321" s="205"/>
      <c r="K321" s="282"/>
      <c r="L321" s="233"/>
      <c r="M321" s="317"/>
    </row>
    <row r="322" spans="1:13" x14ac:dyDescent="0.3">
      <c r="A322" s="8"/>
      <c r="B322" s="10"/>
      <c r="C322" s="10"/>
      <c r="D322" s="10"/>
      <c r="E322" s="205"/>
      <c r="F322" s="9"/>
      <c r="H322" s="8"/>
      <c r="I322" s="205"/>
      <c r="J322" s="205"/>
      <c r="K322" s="282"/>
      <c r="L322" s="233"/>
      <c r="M322" s="317"/>
    </row>
    <row r="323" spans="1:13" x14ac:dyDescent="0.3">
      <c r="A323" s="8"/>
      <c r="B323" s="10"/>
      <c r="C323" s="10"/>
      <c r="D323" s="10"/>
      <c r="E323" s="205"/>
      <c r="F323" s="9"/>
      <c r="H323" s="8"/>
      <c r="I323" s="205"/>
      <c r="J323" s="205"/>
      <c r="K323" s="282"/>
      <c r="L323" s="233"/>
      <c r="M323" s="317"/>
    </row>
    <row r="324" spans="1:13" x14ac:dyDescent="0.3">
      <c r="A324" s="8"/>
      <c r="B324" s="10"/>
      <c r="C324" s="10"/>
      <c r="D324" s="10"/>
      <c r="E324" s="205"/>
      <c r="F324" s="9"/>
      <c r="H324" s="8"/>
      <c r="I324" s="205"/>
      <c r="J324" s="205"/>
      <c r="K324" s="282"/>
      <c r="L324" s="233"/>
      <c r="M324" s="317"/>
    </row>
    <row r="325" spans="1:13" x14ac:dyDescent="0.3">
      <c r="A325" s="8"/>
      <c r="B325" s="10"/>
      <c r="C325" s="10"/>
      <c r="D325" s="10"/>
      <c r="E325" s="205"/>
      <c r="F325" s="9"/>
      <c r="H325" s="8"/>
      <c r="I325" s="205"/>
      <c r="J325" s="205"/>
      <c r="K325" s="282"/>
      <c r="L325" s="233"/>
      <c r="M325" s="317"/>
    </row>
    <row r="326" spans="1:13" x14ac:dyDescent="0.3">
      <c r="A326" s="8"/>
      <c r="B326" s="10"/>
      <c r="C326" s="10"/>
      <c r="D326" s="10"/>
      <c r="E326" s="205"/>
      <c r="F326" s="9"/>
      <c r="H326" s="8"/>
      <c r="I326" s="205"/>
      <c r="J326" s="205"/>
      <c r="K326" s="282"/>
      <c r="L326" s="233"/>
      <c r="M326" s="317"/>
    </row>
    <row r="327" spans="1:13" x14ac:dyDescent="0.3">
      <c r="A327" s="8"/>
      <c r="B327" s="10"/>
      <c r="C327" s="10"/>
      <c r="D327" s="10"/>
      <c r="E327" s="205"/>
      <c r="F327" s="9"/>
      <c r="H327" s="8"/>
      <c r="I327" s="205"/>
      <c r="J327" s="205"/>
      <c r="K327" s="282"/>
      <c r="L327" s="233"/>
      <c r="M327" s="317"/>
    </row>
    <row r="328" spans="1:13" x14ac:dyDescent="0.3">
      <c r="A328" s="8"/>
      <c r="B328" s="10"/>
      <c r="C328" s="10"/>
      <c r="D328" s="10"/>
      <c r="E328" s="205"/>
      <c r="F328" s="9"/>
      <c r="H328" s="8"/>
      <c r="I328" s="205"/>
      <c r="J328" s="205"/>
      <c r="K328" s="282"/>
      <c r="L328" s="233"/>
      <c r="M328" s="317"/>
    </row>
    <row r="329" spans="1:13" x14ac:dyDescent="0.3">
      <c r="A329" s="8"/>
      <c r="B329" s="10"/>
      <c r="C329" s="10"/>
      <c r="D329" s="10"/>
      <c r="E329" s="205"/>
      <c r="F329" s="9"/>
      <c r="H329" s="8"/>
      <c r="I329" s="205"/>
      <c r="J329" s="205"/>
      <c r="K329" s="282"/>
      <c r="L329" s="233"/>
      <c r="M329" s="317"/>
    </row>
    <row r="330" spans="1:13" x14ac:dyDescent="0.3">
      <c r="A330" s="8"/>
      <c r="B330" s="10"/>
      <c r="C330" s="10"/>
      <c r="D330" s="10"/>
      <c r="E330" s="205"/>
      <c r="F330" s="9"/>
      <c r="H330" s="8"/>
      <c r="I330" s="205"/>
      <c r="J330" s="205"/>
      <c r="K330" s="282"/>
      <c r="L330" s="233"/>
      <c r="M330" s="317"/>
    </row>
    <row r="331" spans="1:13" x14ac:dyDescent="0.3">
      <c r="A331" s="8"/>
      <c r="B331" s="10"/>
      <c r="C331" s="10"/>
      <c r="D331" s="10"/>
      <c r="E331" s="205"/>
      <c r="F331" s="9"/>
      <c r="H331" s="8"/>
      <c r="I331" s="205"/>
      <c r="J331" s="205"/>
      <c r="K331" s="282"/>
      <c r="L331" s="233"/>
      <c r="M331" s="317"/>
    </row>
    <row r="332" spans="1:13" x14ac:dyDescent="0.3">
      <c r="A332" s="8"/>
      <c r="B332" s="10"/>
      <c r="C332" s="10"/>
      <c r="D332" s="10"/>
      <c r="E332" s="205"/>
      <c r="F332" s="9"/>
      <c r="H332" s="8"/>
      <c r="I332" s="205"/>
      <c r="J332" s="205"/>
      <c r="K332" s="282"/>
      <c r="L332" s="233"/>
      <c r="M332" s="317"/>
    </row>
    <row r="333" spans="1:13" x14ac:dyDescent="0.3">
      <c r="A333" s="8"/>
      <c r="B333" s="10"/>
      <c r="C333" s="10"/>
      <c r="D333" s="10"/>
      <c r="E333" s="205"/>
      <c r="F333" s="9"/>
      <c r="H333" s="8"/>
      <c r="I333" s="205"/>
      <c r="J333" s="205"/>
      <c r="K333" s="282"/>
      <c r="L333" s="233"/>
      <c r="M333" s="317"/>
    </row>
    <row r="334" spans="1:13" x14ac:dyDescent="0.3">
      <c r="A334" s="8"/>
      <c r="B334" s="10"/>
      <c r="C334" s="10"/>
      <c r="D334" s="10"/>
      <c r="E334" s="205"/>
      <c r="F334" s="9"/>
      <c r="H334" s="8"/>
      <c r="I334" s="205"/>
      <c r="J334" s="205"/>
      <c r="K334" s="282"/>
      <c r="L334" s="233"/>
      <c r="M334" s="317"/>
    </row>
    <row r="335" spans="1:13" x14ac:dyDescent="0.3">
      <c r="A335" s="8"/>
      <c r="B335" s="10"/>
      <c r="C335" s="10"/>
      <c r="D335" s="10"/>
      <c r="E335" s="205"/>
      <c r="F335" s="9"/>
      <c r="H335" s="8"/>
      <c r="I335" s="205"/>
      <c r="J335" s="205"/>
      <c r="K335" s="282"/>
      <c r="L335" s="233"/>
      <c r="M335" s="317"/>
    </row>
    <row r="336" spans="1:13" x14ac:dyDescent="0.3">
      <c r="A336" s="8"/>
      <c r="B336" s="10"/>
      <c r="C336" s="10"/>
      <c r="D336" s="10"/>
      <c r="E336" s="205"/>
      <c r="F336" s="9"/>
      <c r="H336" s="8"/>
      <c r="I336" s="205"/>
      <c r="J336" s="205"/>
      <c r="K336" s="282"/>
      <c r="L336" s="233"/>
      <c r="M336" s="317"/>
    </row>
    <row r="337" spans="1:13" x14ac:dyDescent="0.3">
      <c r="A337" s="8"/>
      <c r="B337" s="10"/>
      <c r="C337" s="10"/>
      <c r="D337" s="10"/>
      <c r="E337" s="205"/>
      <c r="F337" s="9"/>
      <c r="H337" s="8"/>
      <c r="I337" s="205"/>
      <c r="J337" s="205"/>
      <c r="K337" s="282"/>
      <c r="L337" s="233"/>
      <c r="M337" s="317"/>
    </row>
    <row r="338" spans="1:13" x14ac:dyDescent="0.3">
      <c r="A338" s="8"/>
      <c r="B338" s="10"/>
      <c r="C338" s="10"/>
      <c r="D338" s="10"/>
      <c r="E338" s="205"/>
      <c r="F338" s="9"/>
      <c r="H338" s="8"/>
      <c r="I338" s="205"/>
      <c r="J338" s="205"/>
      <c r="K338" s="282"/>
      <c r="L338" s="233"/>
      <c r="M338" s="317"/>
    </row>
    <row r="339" spans="1:13" x14ac:dyDescent="0.3">
      <c r="A339" s="8"/>
      <c r="B339" s="10"/>
      <c r="C339" s="10"/>
      <c r="D339" s="10"/>
      <c r="E339" s="205"/>
      <c r="F339" s="9"/>
      <c r="H339" s="8"/>
      <c r="I339" s="205"/>
      <c r="J339" s="205"/>
      <c r="K339" s="282"/>
      <c r="L339" s="233"/>
      <c r="M339" s="317"/>
    </row>
    <row r="340" spans="1:13" x14ac:dyDescent="0.3">
      <c r="A340" s="8"/>
      <c r="B340" s="10"/>
      <c r="C340" s="10"/>
      <c r="D340" s="10"/>
      <c r="E340" s="205"/>
      <c r="F340" s="9"/>
      <c r="H340" s="8"/>
      <c r="I340" s="205"/>
      <c r="J340" s="205"/>
      <c r="K340" s="282"/>
      <c r="L340" s="233"/>
      <c r="M340" s="317"/>
    </row>
    <row r="341" spans="1:13" x14ac:dyDescent="0.3">
      <c r="A341" s="8"/>
      <c r="B341" s="10"/>
      <c r="C341" s="10"/>
      <c r="D341" s="10"/>
      <c r="E341" s="205"/>
      <c r="F341" s="9"/>
      <c r="H341" s="8"/>
      <c r="I341" s="205"/>
      <c r="J341" s="205"/>
      <c r="K341" s="282"/>
      <c r="L341" s="233"/>
      <c r="M341" s="317"/>
    </row>
    <row r="342" spans="1:13" x14ac:dyDescent="0.3">
      <c r="A342" s="8"/>
      <c r="B342" s="10"/>
      <c r="C342" s="10"/>
      <c r="D342" s="10"/>
      <c r="E342" s="205"/>
      <c r="F342" s="9"/>
      <c r="H342" s="8"/>
      <c r="I342" s="205"/>
      <c r="J342" s="205"/>
      <c r="K342" s="282"/>
      <c r="L342" s="233"/>
      <c r="M342" s="317"/>
    </row>
    <row r="343" spans="1:13" x14ac:dyDescent="0.3">
      <c r="A343" s="8"/>
      <c r="B343" s="10"/>
      <c r="C343" s="10"/>
      <c r="D343" s="10"/>
      <c r="E343" s="205"/>
      <c r="F343" s="9"/>
      <c r="H343" s="8"/>
      <c r="I343" s="205"/>
      <c r="J343" s="205"/>
      <c r="K343" s="282"/>
      <c r="L343" s="233"/>
      <c r="M343" s="317"/>
    </row>
    <row r="344" spans="1:13" x14ac:dyDescent="0.3">
      <c r="A344" s="8"/>
      <c r="B344" s="10"/>
      <c r="C344" s="10"/>
      <c r="D344" s="10"/>
      <c r="E344" s="205"/>
      <c r="F344" s="9"/>
      <c r="H344" s="8"/>
      <c r="I344" s="205"/>
      <c r="J344" s="205"/>
      <c r="K344" s="282"/>
      <c r="L344" s="233"/>
      <c r="M344" s="317"/>
    </row>
    <row r="345" spans="1:13" x14ac:dyDescent="0.3">
      <c r="A345" s="8"/>
      <c r="B345" s="10"/>
      <c r="C345" s="10"/>
      <c r="D345" s="10"/>
      <c r="E345" s="205"/>
      <c r="F345" s="9"/>
      <c r="H345" s="8"/>
      <c r="I345" s="205"/>
      <c r="J345" s="205"/>
      <c r="K345" s="282"/>
      <c r="L345" s="233"/>
      <c r="M345" s="317"/>
    </row>
    <row r="346" spans="1:13" x14ac:dyDescent="0.3">
      <c r="A346" s="8"/>
      <c r="B346" s="10"/>
      <c r="C346" s="10"/>
      <c r="D346" s="10"/>
      <c r="E346" s="205"/>
      <c r="F346" s="9"/>
      <c r="H346" s="8"/>
      <c r="I346" s="205"/>
      <c r="J346" s="205"/>
      <c r="K346" s="282"/>
      <c r="L346" s="233"/>
      <c r="M346" s="317"/>
    </row>
    <row r="347" spans="1:13" x14ac:dyDescent="0.3">
      <c r="A347" s="8"/>
      <c r="B347" s="10"/>
      <c r="C347" s="10"/>
      <c r="D347" s="10"/>
      <c r="E347" s="205"/>
      <c r="F347" s="9"/>
      <c r="H347" s="8"/>
      <c r="I347" s="205"/>
      <c r="J347" s="205"/>
      <c r="K347" s="282"/>
      <c r="L347" s="233"/>
      <c r="M347" s="317"/>
    </row>
    <row r="348" spans="1:13" x14ac:dyDescent="0.3">
      <c r="A348" s="8"/>
      <c r="B348" s="10"/>
      <c r="C348" s="10"/>
      <c r="D348" s="10"/>
      <c r="E348" s="205"/>
      <c r="F348" s="9"/>
      <c r="H348" s="8"/>
      <c r="I348" s="205"/>
      <c r="J348" s="205"/>
      <c r="K348" s="282"/>
      <c r="L348" s="233"/>
      <c r="M348" s="317"/>
    </row>
    <row r="349" spans="1:13" x14ac:dyDescent="0.3">
      <c r="A349" s="8"/>
      <c r="B349" s="10"/>
      <c r="C349" s="10"/>
      <c r="D349" s="10"/>
      <c r="E349" s="205"/>
      <c r="F349" s="9"/>
      <c r="H349" s="8"/>
      <c r="I349" s="205"/>
      <c r="J349" s="205"/>
      <c r="K349" s="282"/>
      <c r="L349" s="233"/>
      <c r="M349" s="317"/>
    </row>
    <row r="350" spans="1:13" x14ac:dyDescent="0.3">
      <c r="A350" s="8"/>
      <c r="B350" s="10"/>
      <c r="C350" s="10"/>
      <c r="D350" s="10"/>
      <c r="E350" s="205"/>
      <c r="F350" s="9"/>
      <c r="H350" s="8"/>
      <c r="I350" s="205"/>
      <c r="J350" s="205"/>
      <c r="K350" s="282"/>
      <c r="L350" s="233"/>
      <c r="M350" s="317"/>
    </row>
    <row r="351" spans="1:13" x14ac:dyDescent="0.3">
      <c r="A351" s="8"/>
      <c r="B351" s="10"/>
      <c r="C351" s="10"/>
      <c r="D351" s="10"/>
      <c r="E351" s="205"/>
      <c r="F351" s="9"/>
      <c r="H351" s="8"/>
      <c r="I351" s="205"/>
      <c r="J351" s="205"/>
      <c r="K351" s="282"/>
      <c r="L351" s="233"/>
      <c r="M351" s="317"/>
    </row>
    <row r="352" spans="1:13" x14ac:dyDescent="0.3">
      <c r="A352" s="8"/>
      <c r="B352" s="10"/>
      <c r="C352" s="10"/>
      <c r="D352" s="10"/>
      <c r="E352" s="205"/>
      <c r="F352" s="9"/>
      <c r="H352" s="8"/>
      <c r="I352" s="205"/>
      <c r="J352" s="205"/>
      <c r="K352" s="282"/>
      <c r="L352" s="233"/>
      <c r="M352" s="317"/>
    </row>
    <row r="353" spans="1:13" x14ac:dyDescent="0.3">
      <c r="A353" s="8"/>
      <c r="B353" s="10"/>
      <c r="C353" s="10"/>
      <c r="D353" s="10"/>
      <c r="E353" s="205"/>
      <c r="F353" s="9"/>
      <c r="H353" s="8"/>
      <c r="I353" s="205"/>
      <c r="J353" s="205"/>
      <c r="K353" s="282"/>
      <c r="L353" s="233"/>
      <c r="M353" s="317"/>
    </row>
    <row r="354" spans="1:13" x14ac:dyDescent="0.3">
      <c r="A354" s="8"/>
      <c r="B354" s="10"/>
      <c r="C354" s="10"/>
      <c r="D354" s="10"/>
      <c r="E354" s="205"/>
      <c r="F354" s="9"/>
      <c r="H354" s="8"/>
      <c r="I354" s="205"/>
      <c r="J354" s="205"/>
      <c r="K354" s="282"/>
      <c r="L354" s="233"/>
      <c r="M354" s="317"/>
    </row>
    <row r="355" spans="1:13" x14ac:dyDescent="0.3">
      <c r="A355" s="8"/>
      <c r="B355" s="10"/>
      <c r="C355" s="10"/>
      <c r="D355" s="10"/>
      <c r="E355" s="205"/>
      <c r="F355" s="9"/>
      <c r="H355" s="8"/>
      <c r="I355" s="205"/>
      <c r="J355" s="205"/>
      <c r="K355" s="282"/>
      <c r="L355" s="233"/>
      <c r="M355" s="317"/>
    </row>
    <row r="356" spans="1:13" x14ac:dyDescent="0.3">
      <c r="A356" s="8"/>
      <c r="B356" s="10"/>
      <c r="C356" s="10"/>
      <c r="D356" s="10"/>
      <c r="E356" s="205"/>
      <c r="F356" s="9"/>
      <c r="H356" s="8"/>
      <c r="I356" s="205"/>
      <c r="J356" s="205"/>
      <c r="K356" s="282"/>
      <c r="L356" s="233"/>
      <c r="M356" s="317"/>
    </row>
    <row r="357" spans="1:13" x14ac:dyDescent="0.3">
      <c r="A357" s="8"/>
      <c r="B357" s="10"/>
      <c r="C357" s="10"/>
      <c r="D357" s="10"/>
      <c r="E357" s="205"/>
      <c r="F357" s="9"/>
      <c r="H357" s="8"/>
      <c r="I357" s="205"/>
      <c r="J357" s="205"/>
      <c r="K357" s="282"/>
      <c r="L357" s="233"/>
      <c r="M357" s="317"/>
    </row>
    <row r="358" spans="1:13" x14ac:dyDescent="0.3">
      <c r="A358" s="8"/>
      <c r="B358" s="10"/>
      <c r="C358" s="10"/>
      <c r="D358" s="10"/>
      <c r="E358" s="205"/>
      <c r="F358" s="9"/>
      <c r="H358" s="8"/>
      <c r="I358" s="205"/>
      <c r="J358" s="205"/>
      <c r="K358" s="282"/>
      <c r="L358" s="233"/>
      <c r="M358" s="317"/>
    </row>
    <row r="359" spans="1:13" x14ac:dyDescent="0.3">
      <c r="A359" s="8"/>
      <c r="B359" s="10"/>
      <c r="C359" s="10"/>
      <c r="D359" s="10"/>
      <c r="E359" s="205"/>
      <c r="F359" s="9"/>
      <c r="H359" s="8"/>
      <c r="I359" s="205"/>
      <c r="J359" s="205"/>
      <c r="K359" s="282"/>
      <c r="L359" s="233"/>
      <c r="M359" s="317"/>
    </row>
    <row r="360" spans="1:13" x14ac:dyDescent="0.3">
      <c r="A360" s="8"/>
      <c r="B360" s="10"/>
      <c r="C360" s="10"/>
      <c r="D360" s="10"/>
      <c r="E360" s="205"/>
      <c r="F360" s="9"/>
      <c r="H360" s="8"/>
      <c r="I360" s="205"/>
      <c r="J360" s="205"/>
      <c r="K360" s="282"/>
      <c r="L360" s="233"/>
      <c r="M360" s="317"/>
    </row>
    <row r="361" spans="1:13" x14ac:dyDescent="0.3">
      <c r="A361" s="8"/>
      <c r="B361" s="10"/>
      <c r="C361" s="10"/>
      <c r="D361" s="10"/>
      <c r="E361" s="205"/>
      <c r="F361" s="9"/>
      <c r="H361" s="8"/>
      <c r="I361" s="205"/>
      <c r="J361" s="205"/>
      <c r="K361" s="282"/>
      <c r="L361" s="233"/>
      <c r="M361" s="317"/>
    </row>
    <row r="362" spans="1:13" x14ac:dyDescent="0.3">
      <c r="A362" s="8"/>
      <c r="B362" s="10"/>
      <c r="C362" s="10"/>
      <c r="D362" s="10"/>
      <c r="E362" s="205"/>
      <c r="F362" s="9"/>
      <c r="H362" s="8"/>
      <c r="I362" s="205"/>
      <c r="J362" s="205"/>
      <c r="K362" s="282"/>
      <c r="L362" s="233"/>
      <c r="M362" s="317"/>
    </row>
    <row r="363" spans="1:13" x14ac:dyDescent="0.3">
      <c r="A363" s="8"/>
      <c r="B363" s="10"/>
      <c r="C363" s="10"/>
      <c r="D363" s="10"/>
      <c r="E363" s="205"/>
      <c r="F363" s="9"/>
      <c r="H363" s="8"/>
      <c r="I363" s="205"/>
      <c r="J363" s="205"/>
      <c r="K363" s="282"/>
      <c r="L363" s="233"/>
      <c r="M363" s="317"/>
    </row>
    <row r="364" spans="1:13" x14ac:dyDescent="0.3">
      <c r="A364" s="8"/>
      <c r="B364" s="10"/>
      <c r="C364" s="10"/>
      <c r="D364" s="10"/>
      <c r="E364" s="205"/>
      <c r="F364" s="9"/>
      <c r="H364" s="8"/>
      <c r="I364" s="205"/>
      <c r="J364" s="205"/>
      <c r="K364" s="282"/>
      <c r="L364" s="233"/>
      <c r="M364" s="317"/>
    </row>
    <row r="365" spans="1:13" x14ac:dyDescent="0.3">
      <c r="A365" s="8"/>
      <c r="B365" s="10"/>
      <c r="C365" s="10"/>
      <c r="D365" s="10"/>
      <c r="E365" s="205"/>
      <c r="F365" s="9"/>
      <c r="H365" s="8"/>
      <c r="I365" s="205"/>
      <c r="J365" s="205"/>
      <c r="K365" s="282"/>
      <c r="L365" s="233"/>
      <c r="M365" s="317"/>
    </row>
    <row r="366" spans="1:13" x14ac:dyDescent="0.3">
      <c r="A366" s="8"/>
      <c r="B366" s="10"/>
      <c r="C366" s="10"/>
      <c r="D366" s="10"/>
      <c r="E366" s="205"/>
      <c r="F366" s="9"/>
      <c r="H366" s="8"/>
      <c r="I366" s="205"/>
      <c r="J366" s="205"/>
      <c r="K366" s="282"/>
      <c r="L366" s="233"/>
      <c r="M366" s="317"/>
    </row>
    <row r="367" spans="1:13" x14ac:dyDescent="0.3">
      <c r="A367" s="8"/>
      <c r="B367" s="10"/>
      <c r="C367" s="10"/>
      <c r="D367" s="10"/>
      <c r="E367" s="205"/>
      <c r="F367" s="9"/>
      <c r="H367" s="8"/>
      <c r="I367" s="205"/>
      <c r="J367" s="205"/>
      <c r="K367" s="282"/>
      <c r="L367" s="233"/>
      <c r="M367" s="317"/>
    </row>
    <row r="368" spans="1:13" x14ac:dyDescent="0.3">
      <c r="A368" s="8"/>
      <c r="B368" s="10"/>
      <c r="C368" s="10"/>
      <c r="D368" s="10"/>
      <c r="E368" s="205"/>
      <c r="F368" s="9"/>
      <c r="H368" s="8"/>
      <c r="I368" s="205"/>
      <c r="J368" s="205"/>
      <c r="K368" s="282"/>
      <c r="L368" s="233"/>
      <c r="M368" s="317"/>
    </row>
    <row r="369" spans="1:13" x14ac:dyDescent="0.3">
      <c r="A369" s="8"/>
      <c r="B369" s="10"/>
      <c r="C369" s="10"/>
      <c r="D369" s="10"/>
      <c r="E369" s="205"/>
      <c r="F369" s="9"/>
      <c r="H369" s="8"/>
      <c r="I369" s="205"/>
      <c r="J369" s="205"/>
      <c r="K369" s="282"/>
      <c r="L369" s="233"/>
      <c r="M369" s="317"/>
    </row>
    <row r="370" spans="1:13" x14ac:dyDescent="0.3">
      <c r="A370" s="8"/>
      <c r="B370" s="10"/>
      <c r="C370" s="10"/>
      <c r="D370" s="10"/>
      <c r="E370" s="205"/>
      <c r="F370" s="9"/>
      <c r="H370" s="8"/>
      <c r="I370" s="205"/>
      <c r="J370" s="205"/>
      <c r="K370" s="282"/>
      <c r="L370" s="233"/>
      <c r="M370" s="317"/>
    </row>
    <row r="371" spans="1:13" x14ac:dyDescent="0.3">
      <c r="A371" s="8"/>
      <c r="B371" s="10"/>
      <c r="C371" s="10"/>
      <c r="D371" s="10"/>
      <c r="E371" s="205"/>
      <c r="F371" s="9"/>
      <c r="H371" s="8"/>
      <c r="I371" s="205"/>
      <c r="J371" s="205"/>
      <c r="K371" s="282"/>
      <c r="L371" s="233"/>
      <c r="M371" s="317"/>
    </row>
    <row r="372" spans="1:13" x14ac:dyDescent="0.3">
      <c r="A372" s="8"/>
      <c r="B372" s="10"/>
      <c r="C372" s="10"/>
      <c r="D372" s="10"/>
      <c r="E372" s="205"/>
      <c r="F372" s="9"/>
      <c r="H372" s="8"/>
      <c r="I372" s="205"/>
      <c r="J372" s="205"/>
      <c r="K372" s="282"/>
      <c r="L372" s="233"/>
      <c r="M372" s="317"/>
    </row>
    <row r="373" spans="1:13" x14ac:dyDescent="0.3">
      <c r="A373" s="8"/>
      <c r="B373" s="10"/>
      <c r="C373" s="10"/>
      <c r="D373" s="10"/>
      <c r="E373" s="205"/>
      <c r="F373" s="9"/>
      <c r="H373" s="8"/>
      <c r="I373" s="205"/>
      <c r="J373" s="205"/>
      <c r="K373" s="282"/>
      <c r="L373" s="233"/>
      <c r="M373" s="317"/>
    </row>
    <row r="374" spans="1:13" x14ac:dyDescent="0.3">
      <c r="A374" s="8"/>
      <c r="B374" s="10"/>
      <c r="C374" s="10"/>
      <c r="D374" s="10"/>
      <c r="E374" s="205"/>
      <c r="F374" s="9"/>
      <c r="H374" s="8"/>
      <c r="I374" s="205"/>
      <c r="J374" s="205"/>
      <c r="K374" s="282"/>
      <c r="L374" s="233"/>
      <c r="M374" s="317"/>
    </row>
    <row r="375" spans="1:13" x14ac:dyDescent="0.3">
      <c r="A375" s="8"/>
      <c r="B375" s="10"/>
      <c r="C375" s="10"/>
      <c r="D375" s="10"/>
      <c r="E375" s="205"/>
      <c r="F375" s="9"/>
      <c r="H375" s="8"/>
      <c r="I375" s="205"/>
      <c r="J375" s="205"/>
      <c r="K375" s="282"/>
      <c r="L375" s="233"/>
      <c r="M375" s="317"/>
    </row>
    <row r="376" spans="1:13" x14ac:dyDescent="0.3">
      <c r="A376" s="8"/>
      <c r="B376" s="10"/>
      <c r="C376" s="10"/>
      <c r="D376" s="10"/>
      <c r="E376" s="205"/>
      <c r="F376" s="9"/>
      <c r="H376" s="8"/>
      <c r="I376" s="205"/>
      <c r="J376" s="205"/>
      <c r="K376" s="282"/>
      <c r="L376" s="233"/>
      <c r="M376" s="317"/>
    </row>
    <row r="377" spans="1:13" x14ac:dyDescent="0.3">
      <c r="A377" s="8"/>
      <c r="B377" s="10"/>
      <c r="C377" s="10"/>
      <c r="D377" s="10"/>
      <c r="E377" s="205"/>
      <c r="F377" s="9"/>
      <c r="H377" s="8"/>
      <c r="I377" s="205"/>
      <c r="J377" s="205"/>
      <c r="K377" s="282"/>
      <c r="L377" s="233"/>
      <c r="M377" s="317"/>
    </row>
    <row r="378" spans="1:13" x14ac:dyDescent="0.3">
      <c r="A378" s="8"/>
      <c r="B378" s="10"/>
      <c r="C378" s="10"/>
      <c r="D378" s="10"/>
      <c r="E378" s="205"/>
      <c r="F378" s="9"/>
      <c r="H378" s="8"/>
      <c r="I378" s="205"/>
      <c r="J378" s="205"/>
      <c r="K378" s="282"/>
      <c r="L378" s="233"/>
      <c r="M378" s="317"/>
    </row>
    <row r="379" spans="1:13" x14ac:dyDescent="0.3">
      <c r="A379" s="8"/>
      <c r="B379" s="10"/>
      <c r="C379" s="10"/>
      <c r="D379" s="10"/>
      <c r="E379" s="205"/>
      <c r="F379" s="9"/>
      <c r="H379" s="8"/>
      <c r="I379" s="205"/>
      <c r="J379" s="205"/>
      <c r="K379" s="282"/>
      <c r="L379" s="233"/>
      <c r="M379" s="317"/>
    </row>
    <row r="380" spans="1:13" x14ac:dyDescent="0.3">
      <c r="A380" s="8"/>
      <c r="B380" s="10"/>
      <c r="C380" s="10"/>
      <c r="D380" s="10"/>
      <c r="E380" s="205"/>
      <c r="F380" s="9"/>
      <c r="H380" s="8"/>
      <c r="I380" s="205"/>
      <c r="J380" s="205"/>
      <c r="K380" s="282"/>
      <c r="L380" s="233"/>
      <c r="M380" s="317"/>
    </row>
    <row r="381" spans="1:13" x14ac:dyDescent="0.3">
      <c r="A381" s="8"/>
      <c r="B381" s="10"/>
      <c r="C381" s="10"/>
      <c r="D381" s="10"/>
      <c r="E381" s="205"/>
      <c r="F381" s="9"/>
      <c r="H381" s="8"/>
      <c r="I381" s="205"/>
      <c r="J381" s="205"/>
      <c r="K381" s="282"/>
      <c r="L381" s="233"/>
      <c r="M381" s="317"/>
    </row>
    <row r="382" spans="1:13" x14ac:dyDescent="0.3">
      <c r="A382" s="8"/>
      <c r="B382" s="10"/>
      <c r="C382" s="10"/>
      <c r="D382" s="10"/>
      <c r="E382" s="205"/>
      <c r="F382" s="9"/>
      <c r="H382" s="8"/>
      <c r="I382" s="205"/>
      <c r="J382" s="205"/>
      <c r="K382" s="282"/>
      <c r="L382" s="233"/>
      <c r="M382" s="317"/>
    </row>
    <row r="383" spans="1:13" x14ac:dyDescent="0.3">
      <c r="A383" s="8"/>
      <c r="B383" s="10"/>
      <c r="C383" s="10"/>
      <c r="D383" s="10"/>
      <c r="E383" s="205"/>
      <c r="F383" s="9"/>
      <c r="H383" s="8"/>
      <c r="I383" s="205"/>
      <c r="J383" s="205"/>
      <c r="K383" s="282"/>
      <c r="L383" s="233"/>
      <c r="M383" s="317"/>
    </row>
    <row r="384" spans="1:13" x14ac:dyDescent="0.3">
      <c r="A384" s="8"/>
      <c r="B384" s="10"/>
      <c r="C384" s="10"/>
      <c r="D384" s="10"/>
      <c r="E384" s="205"/>
      <c r="F384" s="9"/>
      <c r="H384" s="8"/>
      <c r="I384" s="205"/>
      <c r="J384" s="205"/>
      <c r="K384" s="282"/>
      <c r="L384" s="233"/>
      <c r="M384" s="317"/>
    </row>
    <row r="385" spans="1:13" x14ac:dyDescent="0.3">
      <c r="A385" s="8"/>
      <c r="B385" s="10"/>
      <c r="C385" s="10"/>
      <c r="D385" s="10"/>
      <c r="E385" s="205"/>
      <c r="F385" s="9"/>
      <c r="H385" s="8"/>
      <c r="I385" s="205"/>
      <c r="J385" s="205"/>
      <c r="K385" s="282"/>
      <c r="L385" s="233"/>
      <c r="M385" s="317"/>
    </row>
    <row r="386" spans="1:13" x14ac:dyDescent="0.3">
      <c r="A386" s="8"/>
      <c r="B386" s="10"/>
      <c r="C386" s="10"/>
      <c r="D386" s="10"/>
      <c r="E386" s="205"/>
      <c r="F386" s="9"/>
      <c r="H386" s="8"/>
      <c r="I386" s="205"/>
      <c r="J386" s="205"/>
      <c r="K386" s="282"/>
      <c r="L386" s="233"/>
      <c r="M386" s="317"/>
    </row>
    <row r="387" spans="1:13" x14ac:dyDescent="0.3">
      <c r="A387" s="8"/>
      <c r="B387" s="10"/>
      <c r="C387" s="10"/>
      <c r="D387" s="10"/>
      <c r="E387" s="205"/>
      <c r="F387" s="9"/>
      <c r="H387" s="8"/>
      <c r="I387" s="205"/>
      <c r="J387" s="205"/>
      <c r="K387" s="282"/>
      <c r="L387" s="233"/>
      <c r="M387" s="317"/>
    </row>
    <row r="388" spans="1:13" x14ac:dyDescent="0.3">
      <c r="A388" s="8"/>
      <c r="B388" s="10"/>
      <c r="C388" s="10"/>
      <c r="D388" s="10"/>
      <c r="E388" s="205"/>
      <c r="F388" s="9"/>
      <c r="H388" s="8"/>
      <c r="I388" s="205"/>
      <c r="J388" s="205"/>
      <c r="K388" s="282"/>
      <c r="L388" s="233"/>
      <c r="M388" s="317"/>
    </row>
    <row r="389" spans="1:13" x14ac:dyDescent="0.3">
      <c r="A389" s="8"/>
      <c r="B389" s="10"/>
      <c r="C389" s="10"/>
      <c r="D389" s="10"/>
      <c r="E389" s="205"/>
      <c r="F389" s="9"/>
      <c r="H389" s="8"/>
      <c r="I389" s="205"/>
      <c r="J389" s="205"/>
      <c r="K389" s="282"/>
      <c r="L389" s="233"/>
      <c r="M389" s="317"/>
    </row>
    <row r="390" spans="1:13" x14ac:dyDescent="0.3">
      <c r="A390" s="8"/>
      <c r="B390" s="10"/>
      <c r="C390" s="10"/>
      <c r="D390" s="10"/>
      <c r="E390" s="205"/>
      <c r="F390" s="9"/>
      <c r="H390" s="8"/>
      <c r="I390" s="205"/>
      <c r="J390" s="205"/>
      <c r="K390" s="282"/>
      <c r="L390" s="233"/>
      <c r="M390" s="317"/>
    </row>
    <row r="391" spans="1:13" x14ac:dyDescent="0.3">
      <c r="A391" s="8"/>
      <c r="B391" s="10"/>
      <c r="C391" s="10"/>
      <c r="D391" s="10"/>
      <c r="E391" s="205"/>
      <c r="F391" s="9"/>
      <c r="H391" s="8"/>
      <c r="I391" s="205"/>
      <c r="J391" s="205"/>
      <c r="K391" s="282"/>
      <c r="L391" s="233"/>
      <c r="M391" s="317"/>
    </row>
    <row r="392" spans="1:13" x14ac:dyDescent="0.3">
      <c r="A392" s="8"/>
      <c r="B392" s="10"/>
      <c r="C392" s="10"/>
      <c r="D392" s="10"/>
      <c r="E392" s="205"/>
      <c r="F392" s="9"/>
      <c r="H392" s="8"/>
      <c r="I392" s="205"/>
      <c r="J392" s="205"/>
      <c r="K392" s="282"/>
      <c r="L392" s="233"/>
      <c r="M392" s="317"/>
    </row>
    <row r="393" spans="1:13" x14ac:dyDescent="0.3">
      <c r="A393" s="8"/>
      <c r="B393" s="10"/>
      <c r="C393" s="10"/>
      <c r="D393" s="10"/>
      <c r="E393" s="205"/>
      <c r="F393" s="9"/>
      <c r="H393" s="8"/>
      <c r="I393" s="205"/>
      <c r="J393" s="205"/>
      <c r="K393" s="282"/>
      <c r="L393" s="233"/>
      <c r="M393" s="317"/>
    </row>
    <row r="394" spans="1:13" x14ac:dyDescent="0.3">
      <c r="A394" s="8"/>
      <c r="B394" s="10"/>
      <c r="C394" s="10"/>
      <c r="D394" s="10"/>
      <c r="E394" s="205"/>
      <c r="F394" s="9"/>
      <c r="H394" s="8"/>
      <c r="I394" s="205"/>
      <c r="J394" s="205"/>
      <c r="K394" s="282"/>
      <c r="L394" s="233"/>
      <c r="M394" s="317"/>
    </row>
    <row r="395" spans="1:13" x14ac:dyDescent="0.3">
      <c r="A395" s="8"/>
      <c r="B395" s="10"/>
      <c r="C395" s="10"/>
      <c r="D395" s="10"/>
      <c r="E395" s="205"/>
      <c r="F395" s="9"/>
      <c r="H395" s="8"/>
      <c r="I395" s="205"/>
      <c r="J395" s="205"/>
      <c r="K395" s="282"/>
      <c r="L395" s="233"/>
      <c r="M395" s="317"/>
    </row>
    <row r="396" spans="1:13" x14ac:dyDescent="0.3">
      <c r="A396" s="8"/>
      <c r="B396" s="10"/>
      <c r="C396" s="10"/>
      <c r="D396" s="10"/>
      <c r="E396" s="205"/>
      <c r="F396" s="9"/>
      <c r="H396" s="8"/>
      <c r="I396" s="205"/>
      <c r="J396" s="205"/>
      <c r="K396" s="282"/>
      <c r="L396" s="233"/>
      <c r="M396" s="317"/>
    </row>
    <row r="397" spans="1:13" x14ac:dyDescent="0.3">
      <c r="A397" s="8"/>
      <c r="B397" s="10"/>
      <c r="C397" s="10"/>
      <c r="D397" s="10"/>
      <c r="E397" s="205"/>
      <c r="F397" s="9"/>
      <c r="H397" s="8"/>
      <c r="I397" s="205"/>
      <c r="J397" s="205"/>
      <c r="K397" s="282"/>
      <c r="L397" s="233"/>
      <c r="M397" s="317"/>
    </row>
    <row r="398" spans="1:13" x14ac:dyDescent="0.3">
      <c r="A398" s="8"/>
      <c r="B398" s="10"/>
      <c r="C398" s="10"/>
      <c r="D398" s="10"/>
      <c r="E398" s="205"/>
      <c r="F398" s="9"/>
      <c r="H398" s="8"/>
      <c r="I398" s="205"/>
      <c r="J398" s="205"/>
      <c r="K398" s="282"/>
      <c r="L398" s="233"/>
      <c r="M398" s="317"/>
    </row>
    <row r="399" spans="1:13" x14ac:dyDescent="0.3">
      <c r="A399" s="8"/>
      <c r="B399" s="10"/>
      <c r="C399" s="10"/>
      <c r="D399" s="10"/>
      <c r="E399" s="205"/>
      <c r="F399" s="9"/>
      <c r="H399" s="8"/>
      <c r="I399" s="205"/>
      <c r="J399" s="205"/>
      <c r="K399" s="282"/>
      <c r="L399" s="233"/>
      <c r="M399" s="317"/>
    </row>
    <row r="400" spans="1:13" x14ac:dyDescent="0.3">
      <c r="A400" s="8"/>
      <c r="B400" s="10"/>
      <c r="C400" s="10"/>
      <c r="D400" s="10"/>
      <c r="E400" s="205"/>
      <c r="F400" s="9"/>
      <c r="H400" s="8"/>
      <c r="I400" s="205"/>
      <c r="J400" s="205"/>
      <c r="K400" s="282"/>
      <c r="L400" s="233"/>
      <c r="M400" s="317"/>
    </row>
    <row r="401" spans="1:13" x14ac:dyDescent="0.3">
      <c r="A401" s="8"/>
      <c r="B401" s="10"/>
      <c r="C401" s="10"/>
      <c r="D401" s="10"/>
      <c r="E401" s="205"/>
      <c r="F401" s="9"/>
      <c r="H401" s="8"/>
      <c r="I401" s="205"/>
      <c r="J401" s="205"/>
      <c r="K401" s="282"/>
      <c r="L401" s="233"/>
      <c r="M401" s="317"/>
    </row>
    <row r="402" spans="1:13" x14ac:dyDescent="0.3">
      <c r="A402" s="8"/>
      <c r="B402" s="10"/>
      <c r="C402" s="10"/>
      <c r="D402" s="10"/>
      <c r="E402" s="205"/>
      <c r="F402" s="9"/>
      <c r="H402" s="8"/>
      <c r="I402" s="205"/>
      <c r="J402" s="205"/>
      <c r="K402" s="282"/>
      <c r="L402" s="233"/>
      <c r="M402" s="317"/>
    </row>
    <row r="403" spans="1:13" x14ac:dyDescent="0.3">
      <c r="A403" s="8"/>
      <c r="B403" s="10"/>
      <c r="C403" s="10"/>
      <c r="D403" s="10"/>
      <c r="E403" s="205"/>
      <c r="F403" s="9"/>
      <c r="H403" s="8"/>
      <c r="I403" s="205"/>
      <c r="J403" s="205"/>
      <c r="K403" s="282"/>
      <c r="L403" s="233"/>
      <c r="M403" s="317"/>
    </row>
    <row r="404" spans="1:13" x14ac:dyDescent="0.3">
      <c r="A404" s="8"/>
      <c r="B404" s="10"/>
      <c r="C404" s="10"/>
      <c r="D404" s="10"/>
      <c r="E404" s="205"/>
      <c r="F404" s="9"/>
      <c r="H404" s="8"/>
      <c r="I404" s="205"/>
      <c r="J404" s="205"/>
      <c r="K404" s="282"/>
      <c r="L404" s="233"/>
      <c r="M404" s="317"/>
    </row>
    <row r="405" spans="1:13" x14ac:dyDescent="0.3">
      <c r="A405" s="8"/>
      <c r="B405" s="10"/>
      <c r="C405" s="10"/>
      <c r="D405" s="10"/>
      <c r="E405" s="205"/>
      <c r="F405" s="9"/>
      <c r="H405" s="8"/>
      <c r="I405" s="205"/>
      <c r="J405" s="205"/>
      <c r="K405" s="282"/>
      <c r="L405" s="233"/>
      <c r="M405" s="317"/>
    </row>
    <row r="406" spans="1:13" x14ac:dyDescent="0.3">
      <c r="A406" s="8"/>
      <c r="B406" s="10"/>
      <c r="C406" s="10"/>
      <c r="D406" s="10"/>
      <c r="E406" s="205"/>
      <c r="F406" s="9"/>
      <c r="H406" s="8"/>
      <c r="I406" s="205"/>
      <c r="J406" s="205"/>
      <c r="K406" s="282"/>
      <c r="L406" s="233"/>
      <c r="M406" s="317"/>
    </row>
    <row r="407" spans="1:13" x14ac:dyDescent="0.3">
      <c r="A407" s="8"/>
      <c r="B407" s="10"/>
      <c r="C407" s="10"/>
      <c r="D407" s="10"/>
      <c r="E407" s="205"/>
      <c r="F407" s="9"/>
      <c r="H407" s="8"/>
      <c r="I407" s="205"/>
      <c r="J407" s="205"/>
      <c r="K407" s="282"/>
      <c r="L407" s="233"/>
      <c r="M407" s="317"/>
    </row>
    <row r="408" spans="1:13" x14ac:dyDescent="0.3">
      <c r="A408" s="8"/>
      <c r="B408" s="10"/>
      <c r="C408" s="10"/>
      <c r="D408" s="10"/>
      <c r="E408" s="205"/>
      <c r="F408" s="9"/>
      <c r="H408" s="8"/>
      <c r="I408" s="205"/>
      <c r="J408" s="205"/>
      <c r="K408" s="282"/>
      <c r="L408" s="233"/>
      <c r="M408" s="317"/>
    </row>
    <row r="409" spans="1:13" x14ac:dyDescent="0.3">
      <c r="A409" s="8"/>
      <c r="B409" s="10"/>
      <c r="C409" s="10"/>
      <c r="D409" s="10"/>
      <c r="E409" s="205"/>
      <c r="F409" s="9"/>
      <c r="H409" s="8"/>
      <c r="I409" s="205"/>
      <c r="J409" s="205"/>
      <c r="K409" s="282"/>
      <c r="L409" s="233"/>
      <c r="M409" s="317"/>
    </row>
    <row r="410" spans="1:13" x14ac:dyDescent="0.3">
      <c r="A410" s="8"/>
      <c r="B410" s="10"/>
      <c r="C410" s="10"/>
      <c r="D410" s="10"/>
      <c r="E410" s="205"/>
      <c r="F410" s="9"/>
      <c r="H410" s="8"/>
      <c r="I410" s="205"/>
      <c r="J410" s="205"/>
      <c r="K410" s="282"/>
      <c r="L410" s="233"/>
      <c r="M410" s="317"/>
    </row>
    <row r="411" spans="1:13" x14ac:dyDescent="0.3">
      <c r="A411" s="8"/>
      <c r="B411" s="10"/>
      <c r="C411" s="10"/>
      <c r="D411" s="10"/>
      <c r="E411" s="205"/>
      <c r="F411" s="9"/>
      <c r="H411" s="8"/>
      <c r="I411" s="205"/>
      <c r="J411" s="205"/>
      <c r="K411" s="282"/>
      <c r="L411" s="233"/>
      <c r="M411" s="317"/>
    </row>
    <row r="412" spans="1:13" x14ac:dyDescent="0.3">
      <c r="A412" s="8"/>
      <c r="B412" s="10"/>
      <c r="C412" s="10"/>
      <c r="D412" s="10"/>
      <c r="E412" s="205"/>
      <c r="F412" s="9"/>
      <c r="H412" s="8"/>
      <c r="I412" s="205"/>
      <c r="J412" s="205"/>
      <c r="K412" s="282"/>
      <c r="L412" s="233"/>
      <c r="M412" s="317"/>
    </row>
    <row r="413" spans="1:13" x14ac:dyDescent="0.3">
      <c r="A413" s="8"/>
      <c r="B413" s="10"/>
      <c r="C413" s="10"/>
      <c r="D413" s="10"/>
      <c r="E413" s="205"/>
      <c r="F413" s="9"/>
      <c r="H413" s="8"/>
      <c r="I413" s="205"/>
      <c r="J413" s="205"/>
      <c r="K413" s="282"/>
      <c r="L413" s="233"/>
      <c r="M413" s="317"/>
    </row>
    <row r="414" spans="1:13" x14ac:dyDescent="0.3">
      <c r="A414" s="8"/>
      <c r="B414" s="10"/>
      <c r="C414" s="10"/>
      <c r="D414" s="10"/>
      <c r="E414" s="205"/>
      <c r="F414" s="9"/>
      <c r="H414" s="8"/>
      <c r="I414" s="205"/>
      <c r="J414" s="205"/>
      <c r="K414" s="282"/>
      <c r="L414" s="233"/>
      <c r="M414" s="317"/>
    </row>
    <row r="415" spans="1:13" x14ac:dyDescent="0.3">
      <c r="A415" s="8"/>
      <c r="B415" s="10"/>
      <c r="C415" s="10"/>
      <c r="D415" s="10"/>
      <c r="E415" s="205"/>
      <c r="F415" s="9"/>
      <c r="H415" s="8"/>
      <c r="I415" s="205"/>
      <c r="J415" s="205"/>
      <c r="K415" s="282"/>
      <c r="L415" s="233"/>
      <c r="M415" s="317"/>
    </row>
    <row r="416" spans="1:13" x14ac:dyDescent="0.3">
      <c r="A416" s="8"/>
      <c r="B416" s="10"/>
      <c r="C416" s="10"/>
      <c r="D416" s="10"/>
      <c r="E416" s="205"/>
      <c r="F416" s="9"/>
      <c r="H416" s="8"/>
      <c r="I416" s="205"/>
      <c r="J416" s="205"/>
      <c r="K416" s="282"/>
      <c r="L416" s="233"/>
      <c r="M416" s="317"/>
    </row>
    <row r="417" spans="1:13" x14ac:dyDescent="0.3">
      <c r="A417" s="8"/>
      <c r="B417" s="10"/>
      <c r="C417" s="10"/>
      <c r="D417" s="10"/>
      <c r="E417" s="205"/>
      <c r="F417" s="9"/>
      <c r="H417" s="8"/>
      <c r="I417" s="205"/>
      <c r="J417" s="205"/>
      <c r="K417" s="282"/>
      <c r="L417" s="233"/>
      <c r="M417" s="317"/>
    </row>
    <row r="418" spans="1:13" x14ac:dyDescent="0.3">
      <c r="A418" s="8"/>
      <c r="B418" s="10"/>
      <c r="C418" s="10"/>
      <c r="D418" s="10"/>
      <c r="E418" s="205"/>
      <c r="F418" s="9"/>
      <c r="H418" s="8"/>
      <c r="I418" s="205"/>
      <c r="J418" s="205"/>
      <c r="K418" s="282"/>
      <c r="L418" s="233"/>
      <c r="M418" s="317"/>
    </row>
    <row r="419" spans="1:13" x14ac:dyDescent="0.3">
      <c r="A419" s="8"/>
      <c r="B419" s="10"/>
      <c r="C419" s="10"/>
      <c r="D419" s="10"/>
      <c r="E419" s="205"/>
      <c r="F419" s="9"/>
      <c r="H419" s="8"/>
      <c r="I419" s="205"/>
      <c r="J419" s="205"/>
      <c r="K419" s="282"/>
      <c r="L419" s="233"/>
      <c r="M419" s="317"/>
    </row>
    <row r="420" spans="1:13" x14ac:dyDescent="0.3">
      <c r="A420" s="8"/>
      <c r="B420" s="10"/>
      <c r="C420" s="10"/>
      <c r="D420" s="10"/>
      <c r="E420" s="205"/>
      <c r="F420" s="9"/>
      <c r="H420" s="8"/>
      <c r="I420" s="205"/>
      <c r="J420" s="205"/>
      <c r="K420" s="282"/>
      <c r="L420" s="233"/>
      <c r="M420" s="317"/>
    </row>
    <row r="421" spans="1:13" x14ac:dyDescent="0.3">
      <c r="A421" s="8"/>
      <c r="B421" s="10"/>
      <c r="C421" s="10"/>
      <c r="D421" s="10"/>
      <c r="E421" s="205"/>
      <c r="F421" s="9"/>
      <c r="H421" s="8"/>
      <c r="I421" s="205"/>
      <c r="J421" s="205"/>
      <c r="K421" s="282"/>
      <c r="L421" s="233"/>
      <c r="M421" s="317"/>
    </row>
    <row r="422" spans="1:13" x14ac:dyDescent="0.3">
      <c r="A422" s="8"/>
      <c r="B422" s="10"/>
      <c r="C422" s="10"/>
      <c r="D422" s="10"/>
      <c r="E422" s="205"/>
      <c r="F422" s="9"/>
      <c r="H422" s="8"/>
      <c r="I422" s="205"/>
      <c r="J422" s="205"/>
      <c r="K422" s="282"/>
      <c r="L422" s="233"/>
      <c r="M422" s="317"/>
    </row>
    <row r="423" spans="1:13" x14ac:dyDescent="0.3">
      <c r="A423" s="8"/>
      <c r="B423" s="10"/>
      <c r="C423" s="10"/>
      <c r="D423" s="10"/>
      <c r="E423" s="205"/>
      <c r="F423" s="9"/>
      <c r="H423" s="8"/>
      <c r="I423" s="205"/>
      <c r="J423" s="205"/>
      <c r="K423" s="282"/>
      <c r="L423" s="233"/>
      <c r="M423" s="317"/>
    </row>
    <row r="424" spans="1:13" x14ac:dyDescent="0.3">
      <c r="A424" s="8"/>
      <c r="B424" s="10"/>
      <c r="C424" s="10"/>
      <c r="D424" s="10"/>
      <c r="E424" s="205"/>
      <c r="F424" s="9"/>
      <c r="H424" s="8"/>
      <c r="I424" s="205"/>
      <c r="J424" s="205"/>
      <c r="K424" s="282"/>
      <c r="L424" s="233"/>
      <c r="M424" s="317"/>
    </row>
    <row r="425" spans="1:13" x14ac:dyDescent="0.3">
      <c r="A425" s="8"/>
      <c r="B425" s="10"/>
      <c r="C425" s="10"/>
      <c r="D425" s="10"/>
      <c r="E425" s="205"/>
      <c r="F425" s="9"/>
      <c r="H425" s="8"/>
      <c r="I425" s="205"/>
      <c r="J425" s="205"/>
      <c r="K425" s="282"/>
      <c r="L425" s="233"/>
      <c r="M425" s="317"/>
    </row>
    <row r="426" spans="1:13" x14ac:dyDescent="0.3">
      <c r="A426" s="8"/>
      <c r="B426" s="10"/>
      <c r="C426" s="10"/>
      <c r="D426" s="10"/>
      <c r="E426" s="205"/>
      <c r="F426" s="9"/>
      <c r="H426" s="8"/>
      <c r="I426" s="205"/>
      <c r="J426" s="205"/>
      <c r="K426" s="282"/>
      <c r="L426" s="233"/>
      <c r="M426" s="317"/>
    </row>
    <row r="427" spans="1:13" x14ac:dyDescent="0.3">
      <c r="A427" s="8"/>
      <c r="B427" s="10"/>
      <c r="C427" s="10"/>
      <c r="D427" s="10"/>
      <c r="E427" s="205"/>
      <c r="F427" s="9"/>
      <c r="H427" s="8"/>
      <c r="I427" s="205"/>
      <c r="J427" s="205"/>
      <c r="K427" s="282"/>
      <c r="L427" s="233"/>
      <c r="M427" s="317"/>
    </row>
    <row r="428" spans="1:13" x14ac:dyDescent="0.3">
      <c r="A428" s="8"/>
      <c r="B428" s="10"/>
      <c r="C428" s="10"/>
      <c r="D428" s="10"/>
      <c r="E428" s="205"/>
      <c r="F428" s="9"/>
      <c r="H428" s="8"/>
      <c r="I428" s="205"/>
      <c r="J428" s="205"/>
      <c r="K428" s="282"/>
      <c r="L428" s="233"/>
      <c r="M428" s="317"/>
    </row>
    <row r="429" spans="1:13" x14ac:dyDescent="0.3">
      <c r="A429" s="8"/>
      <c r="B429" s="10"/>
      <c r="C429" s="10"/>
      <c r="D429" s="10"/>
      <c r="E429" s="205"/>
      <c r="F429" s="9"/>
      <c r="H429" s="8"/>
      <c r="I429" s="205"/>
      <c r="J429" s="205"/>
      <c r="K429" s="282"/>
      <c r="L429" s="233"/>
      <c r="M429" s="317"/>
    </row>
    <row r="430" spans="1:13" x14ac:dyDescent="0.3">
      <c r="A430" s="8"/>
      <c r="B430" s="10"/>
      <c r="C430" s="10"/>
      <c r="D430" s="10"/>
      <c r="E430" s="205"/>
      <c r="F430" s="9"/>
      <c r="H430" s="8"/>
      <c r="I430" s="205"/>
      <c r="J430" s="205"/>
      <c r="K430" s="282"/>
      <c r="L430" s="233"/>
      <c r="M430" s="317"/>
    </row>
    <row r="431" spans="1:13" x14ac:dyDescent="0.3">
      <c r="A431" s="8"/>
      <c r="B431" s="10"/>
      <c r="C431" s="10"/>
      <c r="D431" s="10"/>
      <c r="E431" s="205"/>
      <c r="F431" s="9"/>
      <c r="H431" s="8"/>
      <c r="I431" s="205"/>
      <c r="J431" s="205"/>
      <c r="K431" s="282"/>
      <c r="L431" s="233"/>
      <c r="M431" s="317"/>
    </row>
    <row r="432" spans="1:13" x14ac:dyDescent="0.3">
      <c r="A432" s="8"/>
      <c r="B432" s="10"/>
      <c r="C432" s="10"/>
      <c r="D432" s="10"/>
      <c r="E432" s="205"/>
      <c r="F432" s="9"/>
      <c r="H432" s="8"/>
      <c r="I432" s="205"/>
      <c r="J432" s="205"/>
      <c r="K432" s="282"/>
      <c r="L432" s="233"/>
      <c r="M432" s="317"/>
    </row>
    <row r="433" spans="1:13" x14ac:dyDescent="0.3">
      <c r="A433" s="8"/>
      <c r="B433" s="10"/>
      <c r="C433" s="10"/>
      <c r="D433" s="10"/>
      <c r="E433" s="205"/>
      <c r="F433" s="9"/>
      <c r="H433" s="8"/>
      <c r="I433" s="205"/>
      <c r="J433" s="205"/>
      <c r="K433" s="282"/>
      <c r="L433" s="233"/>
      <c r="M433" s="317"/>
    </row>
    <row r="434" spans="1:13" x14ac:dyDescent="0.3">
      <c r="A434" s="8"/>
      <c r="B434" s="10"/>
      <c r="C434" s="10"/>
      <c r="D434" s="10"/>
      <c r="E434" s="205"/>
      <c r="F434" s="9"/>
      <c r="H434" s="8"/>
      <c r="I434" s="205"/>
      <c r="J434" s="205"/>
      <c r="K434" s="282"/>
      <c r="L434" s="233"/>
      <c r="M434" s="317"/>
    </row>
    <row r="435" spans="1:13" x14ac:dyDescent="0.3">
      <c r="A435" s="8"/>
      <c r="B435" s="10"/>
      <c r="C435" s="10"/>
      <c r="D435" s="10"/>
      <c r="E435" s="205"/>
      <c r="F435" s="9"/>
      <c r="H435" s="8"/>
      <c r="I435" s="205"/>
      <c r="J435" s="205"/>
      <c r="K435" s="282"/>
      <c r="L435" s="233"/>
      <c r="M435" s="317"/>
    </row>
    <row r="436" spans="1:13" x14ac:dyDescent="0.3">
      <c r="A436" s="8"/>
      <c r="B436" s="10"/>
      <c r="C436" s="10"/>
      <c r="D436" s="10"/>
      <c r="E436" s="205"/>
      <c r="F436" s="9"/>
      <c r="H436" s="8"/>
      <c r="I436" s="205"/>
      <c r="J436" s="205"/>
      <c r="K436" s="282"/>
      <c r="L436" s="233"/>
      <c r="M436" s="317"/>
    </row>
    <row r="437" spans="1:13" x14ac:dyDescent="0.3">
      <c r="A437" s="8"/>
      <c r="B437" s="10"/>
      <c r="C437" s="10"/>
      <c r="D437" s="10"/>
      <c r="E437" s="205"/>
      <c r="F437" s="9"/>
      <c r="H437" s="8"/>
      <c r="I437" s="205"/>
      <c r="J437" s="205"/>
      <c r="K437" s="282"/>
      <c r="L437" s="233"/>
      <c r="M437" s="317"/>
    </row>
    <row r="438" spans="1:13" x14ac:dyDescent="0.3">
      <c r="A438" s="8"/>
      <c r="B438" s="10"/>
      <c r="C438" s="10"/>
      <c r="D438" s="10"/>
      <c r="E438" s="205"/>
      <c r="F438" s="9"/>
      <c r="H438" s="8"/>
      <c r="I438" s="205"/>
      <c r="J438" s="205"/>
      <c r="K438" s="282"/>
      <c r="L438" s="233"/>
      <c r="M438" s="317"/>
    </row>
    <row r="439" spans="1:13" x14ac:dyDescent="0.3">
      <c r="A439" s="8"/>
      <c r="B439" s="10"/>
      <c r="C439" s="10"/>
      <c r="D439" s="10"/>
      <c r="E439" s="205"/>
      <c r="F439" s="9"/>
      <c r="H439" s="8"/>
      <c r="I439" s="205"/>
      <c r="J439" s="205"/>
      <c r="K439" s="282"/>
      <c r="L439" s="233"/>
      <c r="M439" s="317"/>
    </row>
    <row r="440" spans="1:13" x14ac:dyDescent="0.3">
      <c r="A440" s="8"/>
      <c r="B440" s="10"/>
      <c r="C440" s="10"/>
      <c r="D440" s="10"/>
      <c r="E440" s="205"/>
      <c r="F440" s="9"/>
      <c r="H440" s="8"/>
      <c r="I440" s="205"/>
      <c r="J440" s="205"/>
      <c r="K440" s="282"/>
      <c r="L440" s="233"/>
      <c r="M440" s="317"/>
    </row>
    <row r="441" spans="1:13" x14ac:dyDescent="0.3">
      <c r="A441" s="8"/>
      <c r="B441" s="10"/>
      <c r="C441" s="10"/>
      <c r="D441" s="10"/>
      <c r="E441" s="205"/>
      <c r="F441" s="9"/>
      <c r="H441" s="8"/>
      <c r="I441" s="205"/>
      <c r="J441" s="205"/>
      <c r="K441" s="282"/>
      <c r="L441" s="233"/>
      <c r="M441" s="317"/>
    </row>
    <row r="442" spans="1:13" x14ac:dyDescent="0.3">
      <c r="A442" s="8"/>
      <c r="B442" s="10"/>
      <c r="C442" s="10"/>
      <c r="D442" s="10"/>
      <c r="E442" s="205"/>
      <c r="F442" s="9"/>
      <c r="H442" s="8"/>
      <c r="I442" s="205"/>
      <c r="J442" s="205"/>
      <c r="K442" s="282"/>
      <c r="L442" s="233"/>
      <c r="M442" s="317"/>
    </row>
    <row r="443" spans="1:13" x14ac:dyDescent="0.3">
      <c r="A443" s="8"/>
      <c r="B443" s="10"/>
      <c r="C443" s="10"/>
      <c r="D443" s="10"/>
      <c r="E443" s="205"/>
      <c r="F443" s="9"/>
      <c r="H443" s="8"/>
      <c r="I443" s="205"/>
      <c r="J443" s="205"/>
      <c r="K443" s="282"/>
      <c r="L443" s="233"/>
      <c r="M443" s="317"/>
    </row>
    <row r="444" spans="1:13" x14ac:dyDescent="0.3">
      <c r="A444" s="8"/>
      <c r="B444" s="10"/>
      <c r="C444" s="10"/>
      <c r="D444" s="10"/>
      <c r="E444" s="205"/>
      <c r="F444" s="9"/>
      <c r="H444" s="8"/>
      <c r="I444" s="205"/>
      <c r="J444" s="205"/>
      <c r="K444" s="282"/>
      <c r="L444" s="233"/>
      <c r="M444" s="317"/>
    </row>
    <row r="445" spans="1:13" x14ac:dyDescent="0.3">
      <c r="A445" s="8"/>
      <c r="B445" s="10"/>
      <c r="C445" s="10"/>
      <c r="D445" s="10"/>
      <c r="E445" s="205"/>
      <c r="F445" s="9"/>
      <c r="H445" s="8"/>
      <c r="I445" s="205"/>
      <c r="J445" s="205"/>
      <c r="K445" s="282"/>
      <c r="L445" s="233"/>
      <c r="M445" s="317"/>
    </row>
    <row r="446" spans="1:13" x14ac:dyDescent="0.3">
      <c r="A446" s="8"/>
      <c r="B446" s="10"/>
      <c r="C446" s="10"/>
      <c r="D446" s="10"/>
      <c r="E446" s="205"/>
      <c r="F446" s="9"/>
      <c r="H446" s="8"/>
      <c r="I446" s="205"/>
      <c r="J446" s="205"/>
      <c r="K446" s="282"/>
      <c r="L446" s="233"/>
      <c r="M446" s="317"/>
    </row>
    <row r="447" spans="1:13" x14ac:dyDescent="0.3">
      <c r="A447" s="8"/>
      <c r="B447" s="10"/>
      <c r="C447" s="10"/>
      <c r="D447" s="10"/>
      <c r="E447" s="205"/>
      <c r="F447" s="9"/>
      <c r="H447" s="8"/>
      <c r="I447" s="205"/>
      <c r="J447" s="205"/>
      <c r="K447" s="282"/>
      <c r="L447" s="233"/>
      <c r="M447" s="317"/>
    </row>
    <row r="448" spans="1:13" x14ac:dyDescent="0.3">
      <c r="A448" s="8"/>
      <c r="B448" s="10"/>
      <c r="C448" s="10"/>
      <c r="D448" s="10"/>
      <c r="E448" s="205"/>
      <c r="F448" s="9"/>
      <c r="H448" s="8"/>
      <c r="I448" s="205"/>
      <c r="J448" s="205"/>
      <c r="K448" s="282"/>
      <c r="L448" s="233"/>
      <c r="M448" s="317"/>
    </row>
    <row r="449" spans="1:13" x14ac:dyDescent="0.3">
      <c r="A449" s="8"/>
      <c r="B449" s="10"/>
      <c r="C449" s="10"/>
      <c r="D449" s="10"/>
      <c r="E449" s="205"/>
      <c r="F449" s="9"/>
      <c r="H449" s="8"/>
      <c r="I449" s="205"/>
      <c r="J449" s="205"/>
      <c r="K449" s="282"/>
      <c r="L449" s="233"/>
      <c r="M449" s="317"/>
    </row>
    <row r="450" spans="1:13" x14ac:dyDescent="0.3">
      <c r="A450" s="8"/>
      <c r="B450" s="10"/>
      <c r="C450" s="10"/>
      <c r="D450" s="10"/>
      <c r="E450" s="205"/>
      <c r="F450" s="9"/>
      <c r="H450" s="8"/>
      <c r="I450" s="205"/>
      <c r="J450" s="205"/>
      <c r="K450" s="282"/>
      <c r="L450" s="233"/>
      <c r="M450" s="317"/>
    </row>
    <row r="451" spans="1:13" x14ac:dyDescent="0.3">
      <c r="A451" s="8"/>
      <c r="B451" s="10"/>
      <c r="C451" s="10"/>
      <c r="D451" s="10"/>
      <c r="E451" s="205"/>
      <c r="F451" s="9"/>
      <c r="H451" s="8"/>
      <c r="I451" s="205"/>
      <c r="J451" s="205"/>
      <c r="K451" s="282"/>
      <c r="L451" s="233"/>
      <c r="M451" s="317"/>
    </row>
    <row r="452" spans="1:13" x14ac:dyDescent="0.3">
      <c r="A452" s="8"/>
      <c r="B452" s="10"/>
      <c r="C452" s="10"/>
      <c r="D452" s="10"/>
      <c r="E452" s="205"/>
      <c r="F452" s="9"/>
      <c r="H452" s="8"/>
      <c r="I452" s="205"/>
      <c r="J452" s="205"/>
      <c r="K452" s="282"/>
      <c r="L452" s="233"/>
      <c r="M452" s="317"/>
    </row>
    <row r="453" spans="1:13" x14ac:dyDescent="0.3">
      <c r="A453" s="8"/>
      <c r="B453" s="10"/>
      <c r="C453" s="10"/>
      <c r="D453" s="10"/>
      <c r="E453" s="205"/>
      <c r="F453" s="9"/>
      <c r="H453" s="8"/>
      <c r="I453" s="205"/>
      <c r="J453" s="205"/>
      <c r="K453" s="282"/>
      <c r="L453" s="233"/>
      <c r="M453" s="317"/>
    </row>
    <row r="454" spans="1:13" x14ac:dyDescent="0.3">
      <c r="A454" s="8"/>
      <c r="B454" s="10"/>
      <c r="C454" s="10"/>
      <c r="D454" s="10"/>
      <c r="E454" s="205"/>
      <c r="F454" s="9"/>
      <c r="H454" s="8"/>
      <c r="I454" s="205"/>
      <c r="J454" s="205"/>
      <c r="K454" s="282"/>
      <c r="L454" s="233"/>
      <c r="M454" s="317"/>
    </row>
    <row r="455" spans="1:13" x14ac:dyDescent="0.3">
      <c r="A455" s="8"/>
      <c r="B455" s="10"/>
      <c r="C455" s="10"/>
      <c r="D455" s="10"/>
      <c r="E455" s="205"/>
      <c r="F455" s="9"/>
      <c r="H455" s="8"/>
      <c r="I455" s="205"/>
      <c r="J455" s="205"/>
      <c r="K455" s="282"/>
      <c r="L455" s="233"/>
      <c r="M455" s="317"/>
    </row>
    <row r="456" spans="1:13" x14ac:dyDescent="0.3">
      <c r="A456" s="8"/>
      <c r="B456" s="10"/>
      <c r="C456" s="10"/>
      <c r="D456" s="10"/>
      <c r="E456" s="205"/>
      <c r="F456" s="9"/>
      <c r="H456" s="8"/>
      <c r="I456" s="205"/>
      <c r="J456" s="205"/>
      <c r="K456" s="282"/>
      <c r="L456" s="233"/>
      <c r="M456" s="317"/>
    </row>
    <row r="457" spans="1:13" x14ac:dyDescent="0.3">
      <c r="A457" s="8"/>
      <c r="B457" s="10"/>
      <c r="C457" s="10"/>
      <c r="D457" s="10"/>
      <c r="E457" s="205"/>
      <c r="F457" s="9"/>
      <c r="H457" s="8"/>
      <c r="I457" s="205"/>
      <c r="J457" s="205"/>
      <c r="K457" s="282"/>
      <c r="L457" s="233"/>
      <c r="M457" s="317"/>
    </row>
    <row r="458" spans="1:13" x14ac:dyDescent="0.3">
      <c r="A458" s="8"/>
      <c r="B458" s="10"/>
      <c r="C458" s="10"/>
      <c r="D458" s="10"/>
      <c r="E458" s="205"/>
      <c r="F458" s="9"/>
      <c r="H458" s="8"/>
      <c r="I458" s="205"/>
      <c r="J458" s="205"/>
      <c r="K458" s="282"/>
      <c r="L458" s="233"/>
      <c r="M458" s="317"/>
    </row>
    <row r="459" spans="1:13" x14ac:dyDescent="0.3">
      <c r="A459" s="8"/>
      <c r="B459" s="10"/>
      <c r="C459" s="10"/>
      <c r="D459" s="10"/>
      <c r="E459" s="205"/>
      <c r="F459" s="9"/>
      <c r="H459" s="8"/>
      <c r="I459" s="205"/>
      <c r="J459" s="205"/>
      <c r="K459" s="282"/>
      <c r="L459" s="233"/>
      <c r="M459" s="317"/>
    </row>
    <row r="460" spans="1:13" x14ac:dyDescent="0.3">
      <c r="A460" s="8"/>
      <c r="B460" s="10"/>
      <c r="C460" s="10"/>
      <c r="D460" s="10"/>
      <c r="E460" s="205"/>
      <c r="F460" s="9"/>
      <c r="H460" s="8"/>
      <c r="I460" s="205"/>
      <c r="J460" s="205"/>
      <c r="K460" s="282"/>
      <c r="L460" s="233"/>
      <c r="M460" s="317"/>
    </row>
    <row r="461" spans="1:13" x14ac:dyDescent="0.3">
      <c r="A461" s="8"/>
      <c r="B461" s="10"/>
      <c r="C461" s="10"/>
      <c r="D461" s="10"/>
      <c r="E461" s="205"/>
      <c r="F461" s="9"/>
      <c r="H461" s="8"/>
      <c r="I461" s="205"/>
      <c r="J461" s="205"/>
      <c r="K461" s="282"/>
      <c r="L461" s="233"/>
      <c r="M461" s="317"/>
    </row>
    <row r="462" spans="1:13" x14ac:dyDescent="0.3">
      <c r="A462" s="8"/>
      <c r="B462" s="10"/>
      <c r="C462" s="10"/>
      <c r="D462" s="10"/>
      <c r="E462" s="205"/>
      <c r="F462" s="9"/>
      <c r="H462" s="8"/>
      <c r="I462" s="205"/>
      <c r="J462" s="205"/>
      <c r="K462" s="282"/>
      <c r="L462" s="233"/>
      <c r="M462" s="317"/>
    </row>
    <row r="463" spans="1:13" x14ac:dyDescent="0.3">
      <c r="A463" s="8"/>
      <c r="B463" s="10"/>
      <c r="C463" s="10"/>
      <c r="D463" s="10"/>
      <c r="E463" s="205"/>
      <c r="F463" s="9"/>
      <c r="H463" s="8"/>
      <c r="I463" s="205"/>
      <c r="J463" s="205"/>
      <c r="K463" s="282"/>
      <c r="L463" s="233"/>
      <c r="M463" s="317"/>
    </row>
    <row r="464" spans="1:13" x14ac:dyDescent="0.3">
      <c r="A464" s="8"/>
      <c r="B464" s="10"/>
      <c r="C464" s="10"/>
      <c r="D464" s="10"/>
      <c r="E464" s="205"/>
      <c r="F464" s="9"/>
      <c r="H464" s="8"/>
      <c r="I464" s="205"/>
      <c r="J464" s="205"/>
      <c r="K464" s="282"/>
      <c r="L464" s="233"/>
      <c r="M464" s="317"/>
    </row>
    <row r="465" spans="1:13" x14ac:dyDescent="0.3">
      <c r="A465" s="8"/>
      <c r="B465" s="10"/>
      <c r="C465" s="10"/>
      <c r="D465" s="10"/>
      <c r="E465" s="205"/>
      <c r="F465" s="9"/>
      <c r="H465" s="8"/>
      <c r="I465" s="205"/>
      <c r="J465" s="205"/>
      <c r="K465" s="282"/>
      <c r="L465" s="233"/>
      <c r="M465" s="317"/>
    </row>
    <row r="466" spans="1:13" x14ac:dyDescent="0.3">
      <c r="A466" s="8"/>
      <c r="B466" s="10"/>
      <c r="C466" s="10"/>
      <c r="D466" s="10"/>
      <c r="E466" s="205"/>
      <c r="F466" s="9"/>
      <c r="H466" s="8"/>
      <c r="I466" s="205"/>
      <c r="J466" s="205"/>
      <c r="K466" s="282"/>
      <c r="L466" s="233"/>
      <c r="M466" s="317"/>
    </row>
    <row r="467" spans="1:13" x14ac:dyDescent="0.3">
      <c r="A467" s="8"/>
      <c r="B467" s="10"/>
      <c r="C467" s="10"/>
      <c r="D467" s="10"/>
      <c r="E467" s="205"/>
      <c r="F467" s="9"/>
      <c r="H467" s="8"/>
      <c r="I467" s="205"/>
      <c r="J467" s="205"/>
      <c r="K467" s="282"/>
      <c r="L467" s="233"/>
      <c r="M467" s="317"/>
    </row>
    <row r="468" spans="1:13" x14ac:dyDescent="0.3">
      <c r="A468" s="8"/>
      <c r="B468" s="10"/>
      <c r="C468" s="10"/>
      <c r="D468" s="10"/>
      <c r="E468" s="205"/>
      <c r="F468" s="9"/>
      <c r="H468" s="8"/>
      <c r="I468" s="205"/>
      <c r="J468" s="205"/>
      <c r="K468" s="282"/>
      <c r="L468" s="233"/>
      <c r="M468" s="317"/>
    </row>
    <row r="469" spans="1:13" x14ac:dyDescent="0.3">
      <c r="A469" s="8"/>
      <c r="B469" s="10"/>
      <c r="C469" s="10"/>
      <c r="D469" s="10"/>
      <c r="E469" s="205"/>
      <c r="F469" s="9"/>
      <c r="H469" s="8"/>
      <c r="I469" s="205"/>
      <c r="J469" s="205"/>
      <c r="K469" s="282"/>
      <c r="L469" s="233"/>
      <c r="M469" s="317"/>
    </row>
    <row r="470" spans="1:13" x14ac:dyDescent="0.3">
      <c r="A470" s="8"/>
      <c r="B470" s="10"/>
      <c r="C470" s="10"/>
      <c r="D470" s="10"/>
      <c r="E470" s="205"/>
      <c r="F470" s="9"/>
      <c r="H470" s="8"/>
      <c r="I470" s="205"/>
      <c r="J470" s="205"/>
      <c r="K470" s="282"/>
      <c r="L470" s="233"/>
      <c r="M470" s="317"/>
    </row>
    <row r="471" spans="1:13" x14ac:dyDescent="0.3">
      <c r="A471" s="8"/>
      <c r="B471" s="10"/>
      <c r="C471" s="10"/>
      <c r="D471" s="10"/>
      <c r="E471" s="205"/>
      <c r="F471" s="9"/>
      <c r="H471" s="8"/>
      <c r="I471" s="205"/>
      <c r="J471" s="205"/>
      <c r="K471" s="282"/>
      <c r="L471" s="233"/>
      <c r="M471" s="317"/>
    </row>
    <row r="472" spans="1:13" x14ac:dyDescent="0.3">
      <c r="A472" s="8"/>
      <c r="B472" s="10"/>
      <c r="C472" s="10"/>
      <c r="D472" s="10"/>
      <c r="E472" s="205"/>
      <c r="F472" s="9"/>
      <c r="H472" s="8"/>
      <c r="I472" s="205"/>
      <c r="J472" s="205"/>
      <c r="K472" s="282"/>
      <c r="L472" s="233"/>
      <c r="M472" s="317"/>
    </row>
    <row r="473" spans="1:13" x14ac:dyDescent="0.3">
      <c r="A473" s="8"/>
      <c r="B473" s="10"/>
      <c r="C473" s="10"/>
      <c r="D473" s="10"/>
      <c r="E473" s="205"/>
      <c r="F473" s="9"/>
      <c r="H473" s="8"/>
      <c r="I473" s="205"/>
      <c r="J473" s="205"/>
      <c r="K473" s="282"/>
      <c r="L473" s="233"/>
      <c r="M473" s="317"/>
    </row>
    <row r="474" spans="1:13" x14ac:dyDescent="0.3">
      <c r="A474" s="8"/>
      <c r="B474" s="10"/>
      <c r="C474" s="10"/>
      <c r="D474" s="10"/>
      <c r="E474" s="205"/>
      <c r="F474" s="9"/>
      <c r="H474" s="8"/>
      <c r="I474" s="205"/>
      <c r="J474" s="205"/>
      <c r="K474" s="282"/>
      <c r="L474" s="233"/>
      <c r="M474" s="317"/>
    </row>
    <row r="475" spans="1:13" x14ac:dyDescent="0.3">
      <c r="A475" s="8"/>
      <c r="B475" s="10"/>
      <c r="C475" s="10"/>
      <c r="D475" s="10"/>
      <c r="E475" s="205"/>
      <c r="F475" s="9"/>
      <c r="H475" s="8"/>
      <c r="I475" s="205"/>
      <c r="J475" s="205"/>
      <c r="K475" s="282"/>
      <c r="L475" s="233"/>
      <c r="M475" s="317"/>
    </row>
    <row r="476" spans="1:13" x14ac:dyDescent="0.3">
      <c r="A476" s="8"/>
      <c r="B476" s="10"/>
      <c r="C476" s="10"/>
      <c r="D476" s="10"/>
      <c r="E476" s="205"/>
      <c r="F476" s="9"/>
      <c r="H476" s="8"/>
      <c r="I476" s="205"/>
      <c r="J476" s="205"/>
      <c r="K476" s="282"/>
      <c r="L476" s="233"/>
      <c r="M476" s="317"/>
    </row>
    <row r="477" spans="1:13" x14ac:dyDescent="0.3">
      <c r="A477" s="8"/>
      <c r="B477" s="10"/>
      <c r="C477" s="10"/>
      <c r="D477" s="10"/>
      <c r="E477" s="205"/>
      <c r="F477" s="9"/>
      <c r="H477" s="8"/>
      <c r="I477" s="205"/>
      <c r="J477" s="205"/>
      <c r="K477" s="282"/>
      <c r="L477" s="233"/>
      <c r="M477" s="317"/>
    </row>
    <row r="478" spans="1:13" x14ac:dyDescent="0.3">
      <c r="A478" s="8"/>
      <c r="B478" s="10"/>
      <c r="C478" s="10"/>
      <c r="D478" s="10"/>
      <c r="E478" s="205"/>
      <c r="F478" s="9"/>
      <c r="H478" s="8"/>
      <c r="I478" s="205"/>
      <c r="J478" s="205"/>
      <c r="K478" s="282"/>
      <c r="L478" s="233"/>
      <c r="M478" s="317"/>
    </row>
    <row r="479" spans="1:13" x14ac:dyDescent="0.3">
      <c r="A479" s="8"/>
      <c r="B479" s="10"/>
      <c r="C479" s="10"/>
      <c r="D479" s="10"/>
      <c r="E479" s="205"/>
      <c r="F479" s="9"/>
      <c r="H479" s="8"/>
      <c r="I479" s="205"/>
      <c r="J479" s="205"/>
      <c r="K479" s="282"/>
      <c r="L479" s="233"/>
      <c r="M479" s="317"/>
    </row>
    <row r="480" spans="1:13" x14ac:dyDescent="0.3">
      <c r="A480" s="8"/>
      <c r="B480" s="10"/>
      <c r="C480" s="10"/>
      <c r="D480" s="10"/>
      <c r="E480" s="205"/>
      <c r="F480" s="9"/>
      <c r="H480" s="8"/>
      <c r="I480" s="205"/>
      <c r="J480" s="205"/>
      <c r="K480" s="282"/>
      <c r="L480" s="233"/>
      <c r="M480" s="317"/>
    </row>
    <row r="481" spans="1:13" x14ac:dyDescent="0.3">
      <c r="A481" s="8"/>
      <c r="B481" s="10"/>
      <c r="C481" s="10"/>
      <c r="D481" s="10"/>
      <c r="E481" s="205"/>
      <c r="F481" s="9"/>
      <c r="H481" s="8"/>
      <c r="I481" s="205"/>
      <c r="J481" s="205"/>
      <c r="K481" s="282"/>
      <c r="L481" s="233"/>
      <c r="M481" s="317"/>
    </row>
    <row r="482" spans="1:13" x14ac:dyDescent="0.3">
      <c r="A482" s="8"/>
      <c r="B482" s="10"/>
      <c r="C482" s="10"/>
      <c r="D482" s="10"/>
      <c r="E482" s="205"/>
      <c r="F482" s="9"/>
      <c r="H482" s="8"/>
      <c r="I482" s="205"/>
      <c r="J482" s="205"/>
      <c r="K482" s="282"/>
      <c r="L482" s="233"/>
      <c r="M482" s="317"/>
    </row>
    <row r="483" spans="1:13" x14ac:dyDescent="0.3">
      <c r="A483" s="8"/>
      <c r="B483" s="10"/>
      <c r="C483" s="10"/>
      <c r="D483" s="10"/>
      <c r="E483" s="205"/>
      <c r="F483" s="9"/>
      <c r="H483" s="8"/>
      <c r="I483" s="205"/>
      <c r="J483" s="205"/>
      <c r="K483" s="282"/>
      <c r="L483" s="233"/>
      <c r="M483" s="317"/>
    </row>
    <row r="484" spans="1:13" x14ac:dyDescent="0.3">
      <c r="A484" s="8"/>
      <c r="B484" s="10"/>
      <c r="C484" s="10"/>
      <c r="D484" s="10"/>
      <c r="E484" s="205"/>
      <c r="F484" s="9"/>
      <c r="H484" s="8"/>
      <c r="I484" s="205"/>
      <c r="J484" s="205"/>
      <c r="K484" s="282"/>
      <c r="L484" s="233"/>
      <c r="M484" s="317"/>
    </row>
    <row r="485" spans="1:13" x14ac:dyDescent="0.3">
      <c r="A485" s="8"/>
      <c r="B485" s="10"/>
      <c r="C485" s="10"/>
      <c r="D485" s="10"/>
      <c r="E485" s="205"/>
      <c r="F485" s="9"/>
      <c r="H485" s="8"/>
      <c r="I485" s="205"/>
      <c r="J485" s="205"/>
      <c r="K485" s="282"/>
      <c r="L485" s="233"/>
      <c r="M485" s="317"/>
    </row>
    <row r="486" spans="1:13" x14ac:dyDescent="0.3">
      <c r="A486" s="8"/>
      <c r="B486" s="10"/>
      <c r="C486" s="10"/>
      <c r="D486" s="10"/>
      <c r="E486" s="205"/>
      <c r="F486" s="9"/>
      <c r="H486" s="8"/>
      <c r="I486" s="205"/>
      <c r="J486" s="205"/>
      <c r="K486" s="282"/>
      <c r="L486" s="233"/>
      <c r="M486" s="317"/>
    </row>
    <row r="487" spans="1:13" x14ac:dyDescent="0.3">
      <c r="A487" s="8"/>
      <c r="B487" s="10"/>
      <c r="C487" s="10"/>
      <c r="D487" s="10"/>
      <c r="E487" s="205"/>
      <c r="F487" s="9"/>
      <c r="H487" s="8"/>
      <c r="I487" s="205"/>
      <c r="J487" s="205"/>
      <c r="K487" s="282"/>
      <c r="L487" s="233"/>
      <c r="M487" s="317"/>
    </row>
    <row r="488" spans="1:13" x14ac:dyDescent="0.3">
      <c r="A488" s="8"/>
      <c r="B488" s="10"/>
      <c r="C488" s="10"/>
      <c r="D488" s="10"/>
      <c r="E488" s="205"/>
      <c r="F488" s="9"/>
      <c r="H488" s="8"/>
      <c r="I488" s="205"/>
      <c r="J488" s="205"/>
      <c r="K488" s="282"/>
      <c r="L488" s="233"/>
      <c r="M488" s="317"/>
    </row>
    <row r="489" spans="1:13" x14ac:dyDescent="0.3">
      <c r="A489" s="8"/>
      <c r="B489" s="10"/>
      <c r="C489" s="10"/>
      <c r="D489" s="10"/>
      <c r="E489" s="205"/>
      <c r="F489" s="9"/>
      <c r="H489" s="8"/>
      <c r="I489" s="205"/>
      <c r="J489" s="205"/>
      <c r="K489" s="282"/>
      <c r="L489" s="233"/>
      <c r="M489" s="317"/>
    </row>
    <row r="490" spans="1:13" x14ac:dyDescent="0.3">
      <c r="A490" s="8"/>
      <c r="B490" s="10"/>
      <c r="C490" s="10"/>
      <c r="D490" s="10"/>
      <c r="E490" s="205"/>
      <c r="F490" s="9"/>
      <c r="H490" s="8"/>
      <c r="I490" s="205"/>
      <c r="J490" s="205"/>
      <c r="K490" s="282"/>
      <c r="L490" s="233"/>
      <c r="M490" s="317"/>
    </row>
    <row r="491" spans="1:13" x14ac:dyDescent="0.3">
      <c r="A491" s="8"/>
      <c r="B491" s="10"/>
      <c r="C491" s="10"/>
      <c r="D491" s="10"/>
      <c r="E491" s="205"/>
      <c r="F491" s="9"/>
      <c r="H491" s="8"/>
      <c r="I491" s="205"/>
      <c r="J491" s="205"/>
      <c r="K491" s="282"/>
      <c r="L491" s="233"/>
      <c r="M491" s="317"/>
    </row>
    <row r="492" spans="1:13" x14ac:dyDescent="0.3">
      <c r="A492" s="8"/>
      <c r="B492" s="10"/>
      <c r="C492" s="10"/>
      <c r="D492" s="10"/>
      <c r="E492" s="205"/>
      <c r="F492" s="9"/>
      <c r="H492" s="8"/>
      <c r="I492" s="205"/>
      <c r="J492" s="205"/>
      <c r="K492" s="282"/>
      <c r="L492" s="233"/>
      <c r="M492" s="317"/>
    </row>
    <row r="493" spans="1:13" x14ac:dyDescent="0.3">
      <c r="A493" s="8"/>
      <c r="B493" s="10"/>
      <c r="C493" s="10"/>
      <c r="D493" s="10"/>
      <c r="E493" s="205"/>
      <c r="F493" s="9"/>
      <c r="H493" s="8"/>
      <c r="I493" s="205"/>
      <c r="J493" s="205"/>
      <c r="K493" s="282"/>
      <c r="L493" s="233"/>
      <c r="M493" s="317"/>
    </row>
    <row r="494" spans="1:13" x14ac:dyDescent="0.3">
      <c r="A494" s="8"/>
      <c r="B494" s="10"/>
      <c r="C494" s="10"/>
      <c r="D494" s="10"/>
      <c r="E494" s="205"/>
      <c r="F494" s="9"/>
      <c r="H494" s="8"/>
      <c r="I494" s="205"/>
      <c r="J494" s="205"/>
      <c r="K494" s="282"/>
      <c r="L494" s="233"/>
      <c r="M494" s="317"/>
    </row>
    <row r="495" spans="1:13" x14ac:dyDescent="0.3">
      <c r="A495" s="8"/>
      <c r="B495" s="10"/>
      <c r="C495" s="10"/>
      <c r="D495" s="10"/>
      <c r="E495" s="205"/>
      <c r="F495" s="9"/>
      <c r="H495" s="8"/>
      <c r="I495" s="205"/>
      <c r="J495" s="205"/>
      <c r="K495" s="282"/>
      <c r="L495" s="233"/>
      <c r="M495" s="317"/>
    </row>
    <row r="496" spans="1:13" x14ac:dyDescent="0.3">
      <c r="A496" s="8"/>
      <c r="B496" s="10"/>
      <c r="C496" s="10"/>
      <c r="D496" s="10"/>
      <c r="E496" s="205"/>
      <c r="F496" s="9"/>
      <c r="H496" s="8"/>
      <c r="I496" s="205"/>
      <c r="J496" s="205"/>
      <c r="K496" s="282"/>
      <c r="L496" s="233"/>
      <c r="M496" s="317"/>
    </row>
    <row r="497" spans="1:13" x14ac:dyDescent="0.3">
      <c r="A497" s="8"/>
      <c r="B497" s="10"/>
      <c r="C497" s="10"/>
      <c r="D497" s="10"/>
      <c r="E497" s="205"/>
      <c r="F497" s="9"/>
      <c r="H497" s="8"/>
      <c r="I497" s="205"/>
      <c r="J497" s="205"/>
      <c r="K497" s="282"/>
      <c r="L497" s="233"/>
      <c r="M497" s="317"/>
    </row>
    <row r="498" spans="1:13" x14ac:dyDescent="0.3">
      <c r="A498" s="8"/>
      <c r="B498" s="10"/>
      <c r="C498" s="10"/>
      <c r="D498" s="10"/>
      <c r="E498" s="205"/>
      <c r="F498" s="9"/>
      <c r="H498" s="8"/>
      <c r="I498" s="205"/>
      <c r="J498" s="205"/>
      <c r="K498" s="282"/>
      <c r="L498" s="233"/>
      <c r="M498" s="317"/>
    </row>
    <row r="499" spans="1:13" x14ac:dyDescent="0.3">
      <c r="A499" s="8"/>
      <c r="B499" s="10"/>
      <c r="C499" s="10"/>
      <c r="D499" s="10"/>
      <c r="E499" s="205"/>
      <c r="F499" s="9"/>
      <c r="H499" s="8"/>
      <c r="I499" s="205"/>
      <c r="J499" s="205"/>
      <c r="K499" s="282"/>
      <c r="L499" s="233"/>
      <c r="M499" s="317"/>
    </row>
    <row r="500" spans="1:13" x14ac:dyDescent="0.3">
      <c r="A500" s="8"/>
      <c r="B500" s="10"/>
      <c r="C500" s="10"/>
      <c r="D500" s="10"/>
      <c r="E500" s="205"/>
      <c r="F500" s="9"/>
      <c r="H500" s="8"/>
      <c r="I500" s="205"/>
      <c r="J500" s="205"/>
      <c r="K500" s="282"/>
      <c r="L500" s="233"/>
      <c r="M500" s="317"/>
    </row>
    <row r="501" spans="1:13" x14ac:dyDescent="0.3">
      <c r="A501" s="8"/>
      <c r="B501" s="10"/>
      <c r="C501" s="10"/>
      <c r="D501" s="10"/>
      <c r="E501" s="205"/>
      <c r="F501" s="9"/>
      <c r="H501" s="8"/>
      <c r="I501" s="205"/>
      <c r="J501" s="205"/>
      <c r="K501" s="282"/>
      <c r="L501" s="233"/>
      <c r="M501" s="317"/>
    </row>
    <row r="502" spans="1:13" x14ac:dyDescent="0.3">
      <c r="A502" s="8"/>
      <c r="B502" s="10"/>
      <c r="C502" s="10"/>
      <c r="D502" s="10"/>
      <c r="E502" s="205"/>
      <c r="F502" s="9"/>
      <c r="H502" s="8"/>
      <c r="I502" s="205"/>
      <c r="J502" s="205"/>
      <c r="K502" s="282"/>
      <c r="L502" s="233"/>
      <c r="M502" s="317"/>
    </row>
    <row r="503" spans="1:13" x14ac:dyDescent="0.3">
      <c r="A503" s="8"/>
      <c r="B503" s="10"/>
      <c r="C503" s="10"/>
      <c r="D503" s="10"/>
      <c r="E503" s="205"/>
      <c r="F503" s="9"/>
      <c r="H503" s="8"/>
      <c r="I503" s="205"/>
      <c r="J503" s="205"/>
      <c r="K503" s="282"/>
      <c r="L503" s="233"/>
      <c r="M503" s="317"/>
    </row>
    <row r="504" spans="1:13" x14ac:dyDescent="0.3">
      <c r="A504" s="8"/>
      <c r="B504" s="10"/>
      <c r="C504" s="10"/>
      <c r="D504" s="10"/>
      <c r="E504" s="205"/>
      <c r="F504" s="9"/>
      <c r="H504" s="8"/>
      <c r="I504" s="205"/>
      <c r="J504" s="205"/>
      <c r="K504" s="282"/>
      <c r="L504" s="233"/>
      <c r="M504" s="317"/>
    </row>
    <row r="505" spans="1:13" x14ac:dyDescent="0.3">
      <c r="A505" s="8"/>
      <c r="B505" s="10"/>
      <c r="C505" s="10"/>
      <c r="D505" s="10"/>
      <c r="E505" s="205"/>
      <c r="F505" s="9"/>
      <c r="H505" s="8"/>
      <c r="I505" s="205"/>
      <c r="J505" s="205"/>
      <c r="K505" s="282"/>
      <c r="L505" s="233"/>
      <c r="M505" s="317"/>
    </row>
    <row r="506" spans="1:13" x14ac:dyDescent="0.3">
      <c r="A506" s="8"/>
      <c r="B506" s="10"/>
      <c r="C506" s="10"/>
      <c r="D506" s="10"/>
      <c r="E506" s="205"/>
      <c r="F506" s="9"/>
      <c r="H506" s="8"/>
      <c r="I506" s="205"/>
      <c r="J506" s="205"/>
      <c r="K506" s="282"/>
      <c r="L506" s="233"/>
      <c r="M506" s="317"/>
    </row>
    <row r="507" spans="1:13" x14ac:dyDescent="0.3">
      <c r="A507" s="8"/>
      <c r="B507" s="10"/>
      <c r="C507" s="10"/>
      <c r="D507" s="10"/>
      <c r="E507" s="205"/>
      <c r="F507" s="9"/>
      <c r="H507" s="8"/>
      <c r="I507" s="205"/>
      <c r="J507" s="205"/>
      <c r="K507" s="282"/>
      <c r="L507" s="233"/>
      <c r="M507" s="317"/>
    </row>
    <row r="508" spans="1:13" x14ac:dyDescent="0.3">
      <c r="A508" s="8"/>
      <c r="B508" s="10"/>
      <c r="C508" s="10"/>
      <c r="D508" s="10"/>
      <c r="E508" s="205"/>
      <c r="F508" s="9"/>
      <c r="H508" s="8"/>
      <c r="I508" s="205"/>
      <c r="J508" s="205"/>
      <c r="K508" s="282"/>
      <c r="L508" s="233"/>
      <c r="M508" s="317"/>
    </row>
    <row r="509" spans="1:13" x14ac:dyDescent="0.3">
      <c r="A509" s="8"/>
      <c r="B509" s="10"/>
      <c r="C509" s="10"/>
      <c r="D509" s="10"/>
      <c r="E509" s="205"/>
      <c r="F509" s="9"/>
      <c r="H509" s="8"/>
      <c r="I509" s="205"/>
      <c r="J509" s="205"/>
      <c r="K509" s="282"/>
      <c r="L509" s="233"/>
      <c r="M509" s="317"/>
    </row>
    <row r="510" spans="1:13" x14ac:dyDescent="0.3">
      <c r="A510" s="8"/>
      <c r="B510" s="10"/>
      <c r="C510" s="10"/>
      <c r="D510" s="10"/>
      <c r="E510" s="205"/>
      <c r="F510" s="9"/>
      <c r="H510" s="8"/>
      <c r="I510" s="205"/>
      <c r="J510" s="205"/>
      <c r="K510" s="282"/>
      <c r="L510" s="233"/>
      <c r="M510" s="317"/>
    </row>
    <row r="511" spans="1:13" x14ac:dyDescent="0.3">
      <c r="A511" s="8"/>
      <c r="B511" s="10"/>
      <c r="C511" s="10"/>
      <c r="D511" s="10"/>
      <c r="E511" s="205"/>
      <c r="F511" s="9"/>
      <c r="H511" s="8"/>
      <c r="I511" s="205"/>
      <c r="J511" s="205"/>
      <c r="K511" s="282"/>
      <c r="L511" s="233"/>
      <c r="M511" s="317"/>
    </row>
    <row r="512" spans="1:13" x14ac:dyDescent="0.3">
      <c r="A512" s="8"/>
      <c r="B512" s="10"/>
      <c r="C512" s="10"/>
      <c r="D512" s="10"/>
      <c r="E512" s="205"/>
      <c r="F512" s="9"/>
      <c r="H512" s="8"/>
      <c r="I512" s="205"/>
      <c r="J512" s="205"/>
      <c r="K512" s="282"/>
      <c r="L512" s="233"/>
      <c r="M512" s="317"/>
    </row>
    <row r="513" spans="1:13" x14ac:dyDescent="0.3">
      <c r="A513" s="8"/>
      <c r="B513" s="10"/>
      <c r="C513" s="10"/>
      <c r="D513" s="10"/>
      <c r="E513" s="205"/>
      <c r="F513" s="9"/>
      <c r="H513" s="8"/>
      <c r="I513" s="205"/>
      <c r="J513" s="205"/>
      <c r="K513" s="282"/>
      <c r="L513" s="233"/>
      <c r="M513" s="317"/>
    </row>
    <row r="514" spans="1:13" x14ac:dyDescent="0.3">
      <c r="A514" s="8"/>
      <c r="B514" s="10"/>
      <c r="C514" s="10"/>
      <c r="D514" s="10"/>
      <c r="E514" s="205"/>
      <c r="F514" s="9"/>
      <c r="H514" s="8"/>
      <c r="I514" s="205"/>
      <c r="J514" s="205"/>
      <c r="K514" s="282"/>
      <c r="L514" s="233"/>
      <c r="M514" s="317"/>
    </row>
    <row r="515" spans="1:13" x14ac:dyDescent="0.3">
      <c r="A515" s="8"/>
      <c r="B515" s="10"/>
      <c r="C515" s="10"/>
      <c r="D515" s="10"/>
      <c r="E515" s="205"/>
      <c r="F515" s="9"/>
      <c r="H515" s="8"/>
      <c r="I515" s="205"/>
      <c r="J515" s="205"/>
      <c r="K515" s="282"/>
      <c r="L515" s="233"/>
      <c r="M515" s="317"/>
    </row>
    <row r="516" spans="1:13" x14ac:dyDescent="0.3">
      <c r="A516" s="8"/>
      <c r="B516" s="10"/>
      <c r="C516" s="10"/>
      <c r="D516" s="10"/>
      <c r="E516" s="205"/>
      <c r="F516" s="9"/>
      <c r="H516" s="8"/>
      <c r="I516" s="205"/>
      <c r="J516" s="205"/>
      <c r="K516" s="282"/>
      <c r="L516" s="233"/>
      <c r="M516" s="317"/>
    </row>
    <row r="517" spans="1:13" x14ac:dyDescent="0.3">
      <c r="A517" s="8"/>
      <c r="B517" s="10"/>
      <c r="C517" s="10"/>
      <c r="D517" s="10"/>
      <c r="E517" s="205"/>
      <c r="F517" s="9"/>
      <c r="H517" s="8"/>
      <c r="I517" s="205"/>
      <c r="J517" s="205"/>
      <c r="K517" s="282"/>
      <c r="L517" s="233"/>
      <c r="M517" s="317"/>
    </row>
    <row r="518" spans="1:13" x14ac:dyDescent="0.3">
      <c r="A518" s="8"/>
      <c r="B518" s="10"/>
      <c r="C518" s="10"/>
      <c r="D518" s="10"/>
      <c r="E518" s="205"/>
      <c r="F518" s="9"/>
      <c r="H518" s="8"/>
      <c r="I518" s="205"/>
      <c r="J518" s="205"/>
      <c r="K518" s="282"/>
      <c r="L518" s="233"/>
      <c r="M518" s="317"/>
    </row>
    <row r="519" spans="1:13" x14ac:dyDescent="0.3">
      <c r="A519" s="8"/>
      <c r="B519" s="10"/>
      <c r="C519" s="10"/>
      <c r="D519" s="10"/>
      <c r="E519" s="205"/>
      <c r="F519" s="9"/>
      <c r="H519" s="8"/>
      <c r="I519" s="205"/>
      <c r="J519" s="205"/>
      <c r="K519" s="282"/>
      <c r="L519" s="233"/>
      <c r="M519" s="317"/>
    </row>
    <row r="520" spans="1:13" x14ac:dyDescent="0.3">
      <c r="A520" s="8"/>
      <c r="B520" s="10"/>
      <c r="C520" s="10"/>
      <c r="D520" s="10"/>
      <c r="E520" s="205"/>
      <c r="F520" s="9"/>
      <c r="H520" s="8"/>
      <c r="I520" s="205"/>
      <c r="J520" s="205"/>
      <c r="K520" s="282"/>
      <c r="L520" s="233"/>
      <c r="M520" s="317"/>
    </row>
    <row r="521" spans="1:13" x14ac:dyDescent="0.3">
      <c r="A521" s="8"/>
      <c r="B521" s="10"/>
      <c r="C521" s="10"/>
      <c r="D521" s="10"/>
      <c r="E521" s="205"/>
      <c r="F521" s="9"/>
      <c r="H521" s="8"/>
      <c r="I521" s="205"/>
      <c r="J521" s="205"/>
      <c r="K521" s="282"/>
      <c r="L521" s="233"/>
      <c r="M521" s="317"/>
    </row>
    <row r="522" spans="1:13" x14ac:dyDescent="0.3">
      <c r="A522" s="8"/>
      <c r="B522" s="10"/>
      <c r="C522" s="10"/>
      <c r="D522" s="10"/>
      <c r="E522" s="205"/>
      <c r="F522" s="9"/>
      <c r="H522" s="8"/>
      <c r="I522" s="205"/>
      <c r="J522" s="205"/>
      <c r="K522" s="282"/>
      <c r="L522" s="233"/>
      <c r="M522" s="317"/>
    </row>
    <row r="523" spans="1:13" x14ac:dyDescent="0.3">
      <c r="A523" s="8"/>
      <c r="B523" s="10"/>
      <c r="C523" s="10"/>
      <c r="D523" s="10"/>
      <c r="E523" s="205"/>
      <c r="F523" s="9"/>
      <c r="H523" s="8"/>
      <c r="I523" s="205"/>
      <c r="J523" s="205"/>
      <c r="K523" s="282"/>
      <c r="L523" s="233"/>
      <c r="M523" s="317"/>
    </row>
    <row r="524" spans="1:13" x14ac:dyDescent="0.3">
      <c r="A524" s="8"/>
      <c r="B524" s="10"/>
      <c r="C524" s="10"/>
      <c r="D524" s="10"/>
      <c r="E524" s="205"/>
      <c r="F524" s="9"/>
      <c r="H524" s="8"/>
      <c r="I524" s="205"/>
      <c r="J524" s="205"/>
      <c r="K524" s="282"/>
      <c r="L524" s="233"/>
      <c r="M524" s="317"/>
    </row>
    <row r="525" spans="1:13" x14ac:dyDescent="0.3">
      <c r="A525" s="8"/>
      <c r="B525" s="10"/>
      <c r="C525" s="10"/>
      <c r="D525" s="10"/>
      <c r="E525" s="205"/>
      <c r="F525" s="9"/>
      <c r="H525" s="8"/>
      <c r="I525" s="205"/>
      <c r="J525" s="205"/>
      <c r="K525" s="282"/>
      <c r="L525" s="233"/>
      <c r="M525" s="317"/>
    </row>
    <row r="526" spans="1:13" x14ac:dyDescent="0.3">
      <c r="A526" s="8"/>
      <c r="B526" s="10"/>
      <c r="C526" s="10"/>
      <c r="D526" s="10"/>
      <c r="E526" s="205"/>
      <c r="F526" s="9"/>
      <c r="H526" s="8"/>
      <c r="I526" s="205"/>
      <c r="J526" s="205"/>
      <c r="K526" s="282"/>
      <c r="L526" s="233"/>
      <c r="M526" s="317"/>
    </row>
    <row r="527" spans="1:13" x14ac:dyDescent="0.3">
      <c r="A527" s="8"/>
      <c r="B527" s="10"/>
      <c r="C527" s="10"/>
      <c r="D527" s="10"/>
      <c r="E527" s="205"/>
      <c r="F527" s="9"/>
      <c r="H527" s="8"/>
      <c r="I527" s="205"/>
      <c r="J527" s="205"/>
      <c r="K527" s="282"/>
      <c r="L527" s="233"/>
      <c r="M527" s="317"/>
    </row>
    <row r="528" spans="1:13" x14ac:dyDescent="0.3">
      <c r="A528" s="8"/>
      <c r="B528" s="10"/>
      <c r="C528" s="10"/>
      <c r="D528" s="10"/>
      <c r="E528" s="205"/>
      <c r="F528" s="9"/>
      <c r="H528" s="8"/>
      <c r="I528" s="205"/>
      <c r="J528" s="205"/>
      <c r="K528" s="282"/>
      <c r="L528" s="233"/>
      <c r="M528" s="317"/>
    </row>
    <row r="529" spans="1:13" x14ac:dyDescent="0.3">
      <c r="A529" s="8"/>
      <c r="B529" s="10"/>
      <c r="C529" s="10"/>
      <c r="D529" s="10"/>
      <c r="E529" s="205"/>
      <c r="F529" s="9"/>
      <c r="H529" s="8"/>
      <c r="I529" s="205"/>
      <c r="J529" s="205"/>
      <c r="K529" s="282"/>
      <c r="L529" s="233"/>
      <c r="M529" s="317"/>
    </row>
    <row r="530" spans="1:13" x14ac:dyDescent="0.3">
      <c r="A530" s="8"/>
      <c r="B530" s="10"/>
      <c r="C530" s="10"/>
      <c r="D530" s="10"/>
      <c r="E530" s="205"/>
      <c r="F530" s="9"/>
      <c r="H530" s="8"/>
      <c r="I530" s="205"/>
      <c r="J530" s="205"/>
      <c r="K530" s="282"/>
      <c r="L530" s="233"/>
      <c r="M530" s="317"/>
    </row>
    <row r="531" spans="1:13" x14ac:dyDescent="0.3">
      <c r="A531" s="8"/>
      <c r="B531" s="10"/>
      <c r="C531" s="10"/>
      <c r="D531" s="10"/>
      <c r="E531" s="205"/>
      <c r="F531" s="9"/>
      <c r="H531" s="8"/>
      <c r="I531" s="205"/>
      <c r="J531" s="205"/>
      <c r="K531" s="282"/>
      <c r="L531" s="233"/>
      <c r="M531" s="317"/>
    </row>
    <row r="532" spans="1:13" x14ac:dyDescent="0.3">
      <c r="A532" s="8"/>
      <c r="B532" s="10"/>
      <c r="C532" s="10"/>
      <c r="D532" s="10"/>
      <c r="E532" s="205"/>
      <c r="F532" s="9"/>
      <c r="H532" s="8"/>
      <c r="I532" s="205"/>
      <c r="J532" s="205"/>
      <c r="K532" s="282"/>
      <c r="L532" s="233"/>
      <c r="M532" s="317"/>
    </row>
    <row r="533" spans="1:13" x14ac:dyDescent="0.3">
      <c r="A533" s="8"/>
      <c r="B533" s="10"/>
      <c r="C533" s="10"/>
      <c r="D533" s="10"/>
      <c r="E533" s="205"/>
      <c r="F533" s="9"/>
      <c r="H533" s="8"/>
      <c r="I533" s="205"/>
      <c r="J533" s="205"/>
      <c r="K533" s="282"/>
      <c r="L533" s="233"/>
      <c r="M533" s="317"/>
    </row>
    <row r="534" spans="1:13" x14ac:dyDescent="0.3">
      <c r="A534" s="8"/>
      <c r="B534" s="10"/>
      <c r="C534" s="10"/>
      <c r="D534" s="10"/>
      <c r="E534" s="205"/>
      <c r="F534" s="9"/>
      <c r="H534" s="8"/>
      <c r="I534" s="205"/>
      <c r="J534" s="205"/>
      <c r="K534" s="282"/>
      <c r="L534" s="233"/>
      <c r="M534" s="317"/>
    </row>
    <row r="535" spans="1:13" x14ac:dyDescent="0.3">
      <c r="A535" s="8"/>
      <c r="B535" s="10"/>
      <c r="C535" s="10"/>
      <c r="D535" s="10"/>
      <c r="E535" s="205"/>
      <c r="F535" s="9"/>
      <c r="H535" s="8"/>
      <c r="I535" s="205"/>
      <c r="J535" s="205"/>
      <c r="K535" s="282"/>
      <c r="L535" s="233"/>
      <c r="M535" s="317"/>
    </row>
    <row r="536" spans="1:13" x14ac:dyDescent="0.3">
      <c r="A536" s="8"/>
      <c r="B536" s="10"/>
      <c r="C536" s="10"/>
      <c r="D536" s="10"/>
      <c r="E536" s="205"/>
      <c r="F536" s="9"/>
      <c r="H536" s="8"/>
      <c r="I536" s="205"/>
      <c r="J536" s="205"/>
      <c r="K536" s="282"/>
      <c r="L536" s="233"/>
      <c r="M536" s="317"/>
    </row>
    <row r="537" spans="1:13" x14ac:dyDescent="0.3">
      <c r="A537" s="8"/>
      <c r="B537" s="10"/>
      <c r="C537" s="10"/>
      <c r="D537" s="10"/>
      <c r="E537" s="205"/>
      <c r="F537" s="9"/>
      <c r="H537" s="8"/>
      <c r="I537" s="205"/>
      <c r="J537" s="205"/>
      <c r="K537" s="282"/>
      <c r="L537" s="233"/>
      <c r="M537" s="317"/>
    </row>
    <row r="538" spans="1:13" x14ac:dyDescent="0.3">
      <c r="A538" s="8"/>
      <c r="B538" s="10"/>
      <c r="C538" s="10"/>
      <c r="D538" s="10"/>
      <c r="E538" s="205"/>
      <c r="F538" s="9"/>
      <c r="H538" s="8"/>
      <c r="I538" s="205"/>
      <c r="J538" s="205"/>
      <c r="K538" s="282"/>
      <c r="L538" s="233"/>
      <c r="M538" s="317"/>
    </row>
    <row r="539" spans="1:13" x14ac:dyDescent="0.3">
      <c r="A539" s="8"/>
      <c r="B539" s="10"/>
      <c r="C539" s="10"/>
      <c r="D539" s="10"/>
      <c r="E539" s="205"/>
      <c r="F539" s="9"/>
      <c r="H539" s="8"/>
      <c r="I539" s="205"/>
      <c r="J539" s="205"/>
      <c r="K539" s="282"/>
      <c r="L539" s="233"/>
      <c r="M539" s="317"/>
    </row>
    <row r="540" spans="1:13" x14ac:dyDescent="0.3">
      <c r="A540" s="8"/>
      <c r="B540" s="10"/>
      <c r="C540" s="10"/>
      <c r="D540" s="10"/>
      <c r="E540" s="205"/>
      <c r="F540" s="9"/>
      <c r="H540" s="8"/>
      <c r="I540" s="205"/>
      <c r="J540" s="205"/>
      <c r="K540" s="282"/>
      <c r="L540" s="233"/>
      <c r="M540" s="317"/>
    </row>
    <row r="541" spans="1:13" x14ac:dyDescent="0.3">
      <c r="A541" s="8"/>
      <c r="B541" s="10"/>
      <c r="C541" s="10"/>
      <c r="D541" s="10"/>
      <c r="E541" s="205"/>
      <c r="F541" s="9"/>
      <c r="H541" s="8"/>
      <c r="I541" s="205"/>
      <c r="J541" s="205"/>
      <c r="K541" s="282"/>
      <c r="L541" s="233"/>
      <c r="M541" s="317"/>
    </row>
    <row r="542" spans="1:13" x14ac:dyDescent="0.3">
      <c r="A542" s="8"/>
      <c r="B542" s="10"/>
      <c r="C542" s="10"/>
      <c r="D542" s="10"/>
      <c r="E542" s="205"/>
      <c r="F542" s="9"/>
      <c r="H542" s="8"/>
      <c r="I542" s="205"/>
      <c r="J542" s="205"/>
      <c r="K542" s="282"/>
      <c r="L542" s="233"/>
      <c r="M542" s="317"/>
    </row>
    <row r="543" spans="1:13" x14ac:dyDescent="0.3">
      <c r="A543" s="8"/>
      <c r="B543" s="10"/>
      <c r="C543" s="10"/>
      <c r="D543" s="10"/>
      <c r="E543" s="205"/>
      <c r="F543" s="9"/>
      <c r="H543" s="8"/>
      <c r="I543" s="205"/>
      <c r="J543" s="205"/>
      <c r="K543" s="282"/>
      <c r="L543" s="233"/>
      <c r="M543" s="317"/>
    </row>
    <row r="544" spans="1:13" x14ac:dyDescent="0.3">
      <c r="A544" s="8"/>
      <c r="B544" s="10"/>
      <c r="C544" s="10"/>
      <c r="D544" s="10"/>
      <c r="E544" s="205"/>
      <c r="F544" s="9"/>
      <c r="H544" s="8"/>
      <c r="I544" s="205"/>
      <c r="J544" s="205"/>
      <c r="K544" s="282"/>
      <c r="L544" s="233"/>
      <c r="M544" s="317"/>
    </row>
    <row r="545" spans="1:13" x14ac:dyDescent="0.3">
      <c r="A545" s="8"/>
      <c r="B545" s="10"/>
      <c r="C545" s="10"/>
      <c r="D545" s="10"/>
      <c r="E545" s="205"/>
      <c r="F545" s="9"/>
      <c r="H545" s="8"/>
      <c r="I545" s="205"/>
      <c r="J545" s="205"/>
      <c r="K545" s="282"/>
      <c r="L545" s="233"/>
      <c r="M545" s="317"/>
    </row>
    <row r="546" spans="1:13" x14ac:dyDescent="0.3">
      <c r="A546" s="8"/>
      <c r="B546" s="10"/>
      <c r="C546" s="10"/>
      <c r="D546" s="10"/>
      <c r="E546" s="205"/>
      <c r="F546" s="9"/>
      <c r="H546" s="8"/>
      <c r="I546" s="205"/>
      <c r="J546" s="205"/>
      <c r="K546" s="282"/>
      <c r="L546" s="233"/>
      <c r="M546" s="317"/>
    </row>
    <row r="547" spans="1:13" x14ac:dyDescent="0.3">
      <c r="A547" s="8"/>
      <c r="B547" s="10"/>
      <c r="C547" s="10"/>
      <c r="D547" s="10"/>
      <c r="E547" s="205"/>
      <c r="F547" s="9"/>
      <c r="H547" s="8"/>
      <c r="I547" s="205"/>
      <c r="J547" s="205"/>
      <c r="K547" s="282"/>
      <c r="L547" s="233"/>
      <c r="M547" s="317"/>
    </row>
    <row r="548" spans="1:13" x14ac:dyDescent="0.3">
      <c r="A548" s="8"/>
      <c r="B548" s="10"/>
      <c r="C548" s="10"/>
      <c r="D548" s="10"/>
      <c r="E548" s="205"/>
      <c r="F548" s="9"/>
      <c r="H548" s="8"/>
      <c r="I548" s="205"/>
      <c r="J548" s="205"/>
      <c r="K548" s="282"/>
      <c r="L548" s="233"/>
      <c r="M548" s="317"/>
    </row>
    <row r="549" spans="1:13" x14ac:dyDescent="0.3">
      <c r="A549" s="8"/>
      <c r="B549" s="10"/>
      <c r="C549" s="10"/>
      <c r="D549" s="10"/>
      <c r="E549" s="205"/>
      <c r="F549" s="9"/>
      <c r="H549" s="8"/>
      <c r="I549" s="205"/>
      <c r="J549" s="205"/>
      <c r="K549" s="282"/>
      <c r="L549" s="233"/>
      <c r="M549" s="317"/>
    </row>
    <row r="550" spans="1:13" x14ac:dyDescent="0.3">
      <c r="A550" s="8"/>
      <c r="B550" s="10"/>
      <c r="C550" s="10"/>
      <c r="D550" s="10"/>
      <c r="E550" s="205"/>
      <c r="F550" s="9"/>
      <c r="H550" s="8"/>
      <c r="I550" s="205"/>
      <c r="J550" s="205"/>
      <c r="K550" s="282"/>
      <c r="L550" s="233"/>
      <c r="M550" s="317"/>
    </row>
    <row r="551" spans="1:13" x14ac:dyDescent="0.3">
      <c r="A551" s="8"/>
      <c r="B551" s="10"/>
      <c r="C551" s="10"/>
      <c r="D551" s="10"/>
      <c r="E551" s="205"/>
      <c r="F551" s="9"/>
      <c r="H551" s="8"/>
      <c r="I551" s="205"/>
      <c r="J551" s="205"/>
      <c r="K551" s="282"/>
      <c r="L551" s="233"/>
      <c r="M551" s="317"/>
    </row>
    <row r="552" spans="1:13" x14ac:dyDescent="0.3">
      <c r="A552" s="8"/>
      <c r="B552" s="10"/>
      <c r="C552" s="10"/>
      <c r="D552" s="10"/>
      <c r="E552" s="205"/>
      <c r="F552" s="9"/>
      <c r="H552" s="8"/>
      <c r="I552" s="205"/>
      <c r="J552" s="205"/>
      <c r="K552" s="282"/>
      <c r="L552" s="233"/>
      <c r="M552" s="317"/>
    </row>
    <row r="553" spans="1:13" x14ac:dyDescent="0.3">
      <c r="A553" s="8"/>
      <c r="B553" s="10"/>
      <c r="C553" s="10"/>
      <c r="D553" s="10"/>
      <c r="E553" s="205"/>
      <c r="F553" s="9"/>
      <c r="H553" s="8"/>
      <c r="I553" s="205"/>
      <c r="J553" s="205"/>
      <c r="K553" s="282"/>
      <c r="L553" s="233"/>
      <c r="M553" s="317"/>
    </row>
    <row r="554" spans="1:13" x14ac:dyDescent="0.3">
      <c r="A554" s="8"/>
      <c r="B554" s="10"/>
      <c r="C554" s="10"/>
      <c r="D554" s="10"/>
      <c r="E554" s="205"/>
      <c r="F554" s="9"/>
      <c r="H554" s="8"/>
      <c r="I554" s="205"/>
      <c r="J554" s="205"/>
      <c r="K554" s="282"/>
      <c r="L554" s="233"/>
      <c r="M554" s="317"/>
    </row>
    <row r="555" spans="1:13" x14ac:dyDescent="0.3">
      <c r="A555" s="8"/>
      <c r="B555" s="10"/>
      <c r="C555" s="10"/>
      <c r="D555" s="10"/>
      <c r="E555" s="205"/>
      <c r="F555" s="9"/>
      <c r="H555" s="8"/>
      <c r="I555" s="205"/>
      <c r="J555" s="205"/>
      <c r="K555" s="282"/>
      <c r="L555" s="233"/>
      <c r="M555" s="317"/>
    </row>
    <row r="556" spans="1:13" x14ac:dyDescent="0.3">
      <c r="A556" s="8"/>
      <c r="B556" s="10"/>
      <c r="C556" s="10"/>
      <c r="D556" s="10"/>
      <c r="E556" s="205"/>
      <c r="F556" s="9"/>
      <c r="H556" s="8"/>
      <c r="I556" s="205"/>
      <c r="J556" s="205"/>
      <c r="K556" s="282"/>
      <c r="L556" s="233"/>
      <c r="M556" s="317"/>
    </row>
    <row r="557" spans="1:13" x14ac:dyDescent="0.3">
      <c r="A557" s="8"/>
      <c r="B557" s="10"/>
      <c r="C557" s="10"/>
      <c r="D557" s="10"/>
      <c r="E557" s="205"/>
      <c r="F557" s="9"/>
      <c r="H557" s="8"/>
      <c r="I557" s="205"/>
      <c r="J557" s="205"/>
      <c r="K557" s="282"/>
      <c r="L557" s="233"/>
      <c r="M557" s="317"/>
    </row>
    <row r="558" spans="1:13" x14ac:dyDescent="0.3">
      <c r="A558" s="8"/>
      <c r="B558" s="10"/>
      <c r="C558" s="10"/>
      <c r="D558" s="10"/>
      <c r="E558" s="205"/>
      <c r="F558" s="9"/>
      <c r="H558" s="8"/>
      <c r="I558" s="205"/>
      <c r="J558" s="205"/>
      <c r="K558" s="282"/>
      <c r="L558" s="233"/>
      <c r="M558" s="317"/>
    </row>
    <row r="559" spans="1:13" x14ac:dyDescent="0.3">
      <c r="A559" s="8"/>
      <c r="B559" s="10"/>
      <c r="C559" s="10"/>
      <c r="D559" s="10"/>
      <c r="E559" s="205"/>
      <c r="F559" s="9"/>
      <c r="H559" s="8"/>
      <c r="I559" s="205"/>
      <c r="J559" s="205"/>
      <c r="K559" s="282"/>
      <c r="L559" s="233"/>
      <c r="M559" s="317"/>
    </row>
    <row r="560" spans="1:13" x14ac:dyDescent="0.3">
      <c r="A560" s="8"/>
      <c r="B560" s="10"/>
      <c r="C560" s="10"/>
      <c r="D560" s="10"/>
      <c r="E560" s="205"/>
      <c r="F560" s="9"/>
      <c r="H560" s="8"/>
      <c r="I560" s="205"/>
      <c r="J560" s="205"/>
      <c r="K560" s="282"/>
      <c r="L560" s="233"/>
      <c r="M560" s="317"/>
    </row>
    <row r="561" spans="1:13" x14ac:dyDescent="0.3">
      <c r="A561" s="8"/>
      <c r="B561" s="10"/>
      <c r="C561" s="10"/>
      <c r="D561" s="10"/>
      <c r="E561" s="205"/>
      <c r="F561" s="9"/>
      <c r="H561" s="8"/>
      <c r="I561" s="205"/>
      <c r="J561" s="205"/>
      <c r="K561" s="282"/>
      <c r="L561" s="233"/>
      <c r="M561" s="317"/>
    </row>
    <row r="562" spans="1:13" x14ac:dyDescent="0.3">
      <c r="A562" s="8"/>
      <c r="B562" s="10"/>
      <c r="C562" s="10"/>
      <c r="D562" s="10"/>
      <c r="E562" s="205"/>
      <c r="F562" s="9"/>
      <c r="H562" s="8"/>
      <c r="I562" s="205"/>
      <c r="J562" s="205"/>
      <c r="K562" s="282"/>
      <c r="L562" s="233"/>
      <c r="M562" s="317"/>
    </row>
    <row r="563" spans="1:13" x14ac:dyDescent="0.3">
      <c r="A563" s="8"/>
      <c r="B563" s="10"/>
      <c r="C563" s="10"/>
      <c r="D563" s="10"/>
      <c r="E563" s="205"/>
      <c r="F563" s="9"/>
      <c r="H563" s="8"/>
      <c r="I563" s="205"/>
      <c r="J563" s="205"/>
      <c r="K563" s="282"/>
      <c r="L563" s="233"/>
      <c r="M563" s="317"/>
    </row>
    <row r="564" spans="1:13" x14ac:dyDescent="0.3">
      <c r="A564" s="8"/>
      <c r="B564" s="10"/>
      <c r="C564" s="10"/>
      <c r="D564" s="10"/>
      <c r="E564" s="205"/>
      <c r="F564" s="9"/>
      <c r="H564" s="8"/>
      <c r="I564" s="205"/>
      <c r="J564" s="205"/>
      <c r="K564" s="282"/>
      <c r="L564" s="233"/>
      <c r="M564" s="317"/>
    </row>
    <row r="565" spans="1:13" x14ac:dyDescent="0.3">
      <c r="A565" s="8"/>
      <c r="B565" s="10"/>
      <c r="C565" s="10"/>
      <c r="D565" s="10"/>
      <c r="E565" s="205"/>
      <c r="F565" s="9"/>
      <c r="H565" s="8"/>
      <c r="I565" s="205"/>
      <c r="J565" s="205"/>
      <c r="K565" s="282"/>
      <c r="L565" s="233"/>
      <c r="M565" s="317"/>
    </row>
    <row r="566" spans="1:13" x14ac:dyDescent="0.3">
      <c r="A566" s="8"/>
      <c r="B566" s="10"/>
      <c r="C566" s="10"/>
      <c r="D566" s="10"/>
      <c r="E566" s="205"/>
      <c r="F566" s="9"/>
      <c r="H566" s="8"/>
      <c r="I566" s="205"/>
      <c r="J566" s="205"/>
      <c r="K566" s="282"/>
      <c r="L566" s="233"/>
      <c r="M566" s="317"/>
    </row>
    <row r="567" spans="1:13" x14ac:dyDescent="0.3">
      <c r="A567" s="8"/>
      <c r="B567" s="10"/>
      <c r="C567" s="10"/>
      <c r="D567" s="10"/>
      <c r="E567" s="205"/>
      <c r="F567" s="9"/>
      <c r="H567" s="8"/>
      <c r="I567" s="205"/>
      <c r="J567" s="205"/>
      <c r="K567" s="282"/>
      <c r="L567" s="233"/>
      <c r="M567" s="317"/>
    </row>
    <row r="568" spans="1:13" x14ac:dyDescent="0.3">
      <c r="A568" s="8"/>
      <c r="B568" s="10"/>
      <c r="C568" s="10"/>
      <c r="D568" s="10"/>
      <c r="E568" s="205"/>
      <c r="F568" s="9"/>
      <c r="H568" s="8"/>
      <c r="I568" s="205"/>
      <c r="J568" s="205"/>
      <c r="K568" s="282"/>
      <c r="L568" s="233"/>
      <c r="M568" s="317"/>
    </row>
    <row r="569" spans="1:13" x14ac:dyDescent="0.3">
      <c r="A569" s="8"/>
      <c r="B569" s="10"/>
      <c r="C569" s="10"/>
      <c r="D569" s="10"/>
      <c r="E569" s="205"/>
      <c r="F569" s="9"/>
      <c r="H569" s="8"/>
      <c r="I569" s="205"/>
      <c r="J569" s="205"/>
      <c r="K569" s="282"/>
      <c r="L569" s="233"/>
      <c r="M569" s="317"/>
    </row>
    <row r="570" spans="1:13" x14ac:dyDescent="0.3">
      <c r="A570" s="8"/>
      <c r="B570" s="10"/>
      <c r="C570" s="10"/>
      <c r="D570" s="10"/>
      <c r="E570" s="205"/>
      <c r="F570" s="9"/>
      <c r="H570" s="8"/>
      <c r="I570" s="205"/>
      <c r="J570" s="205"/>
      <c r="K570" s="282"/>
      <c r="L570" s="233"/>
      <c r="M570" s="317"/>
    </row>
    <row r="571" spans="1:13" x14ac:dyDescent="0.3">
      <c r="A571" s="8"/>
      <c r="B571" s="10"/>
      <c r="C571" s="10"/>
      <c r="D571" s="10"/>
      <c r="E571" s="205"/>
      <c r="F571" s="9"/>
      <c r="H571" s="8"/>
      <c r="I571" s="205"/>
      <c r="J571" s="205"/>
      <c r="K571" s="282"/>
      <c r="L571" s="233"/>
      <c r="M571" s="317"/>
    </row>
    <row r="572" spans="1:13" x14ac:dyDescent="0.3">
      <c r="A572" s="8"/>
      <c r="B572" s="10"/>
      <c r="C572" s="10"/>
      <c r="D572" s="10"/>
      <c r="E572" s="205"/>
      <c r="F572" s="9"/>
      <c r="H572" s="8"/>
      <c r="I572" s="205"/>
      <c r="J572" s="205"/>
      <c r="K572" s="282"/>
      <c r="L572" s="233"/>
      <c r="M572" s="317"/>
    </row>
    <row r="573" spans="1:13" x14ac:dyDescent="0.3">
      <c r="A573" s="8"/>
      <c r="B573" s="10"/>
      <c r="C573" s="10"/>
      <c r="D573" s="10"/>
      <c r="E573" s="205"/>
      <c r="F573" s="9"/>
      <c r="H573" s="8"/>
      <c r="I573" s="205"/>
      <c r="J573" s="205"/>
      <c r="K573" s="282"/>
      <c r="L573" s="233"/>
      <c r="M573" s="317"/>
    </row>
    <row r="574" spans="1:13" x14ac:dyDescent="0.3">
      <c r="A574" s="8"/>
      <c r="B574" s="10"/>
      <c r="C574" s="10"/>
      <c r="D574" s="10"/>
      <c r="E574" s="205"/>
      <c r="F574" s="9"/>
      <c r="H574" s="8"/>
      <c r="I574" s="205"/>
      <c r="J574" s="205"/>
      <c r="K574" s="282"/>
      <c r="L574" s="233"/>
      <c r="M574" s="317"/>
    </row>
    <row r="575" spans="1:13" x14ac:dyDescent="0.3">
      <c r="A575" s="8"/>
      <c r="B575" s="10"/>
      <c r="C575" s="10"/>
      <c r="D575" s="10"/>
      <c r="E575" s="205"/>
      <c r="F575" s="9"/>
      <c r="H575" s="8"/>
      <c r="I575" s="205"/>
      <c r="J575" s="205"/>
      <c r="K575" s="282"/>
      <c r="L575" s="233"/>
      <c r="M575" s="317"/>
    </row>
    <row r="576" spans="1:13" x14ac:dyDescent="0.3">
      <c r="A576" s="8"/>
      <c r="B576" s="10"/>
      <c r="C576" s="10"/>
      <c r="D576" s="10"/>
      <c r="E576" s="205"/>
      <c r="F576" s="9"/>
      <c r="H576" s="8"/>
      <c r="I576" s="205"/>
      <c r="J576" s="205"/>
      <c r="K576" s="282"/>
      <c r="L576" s="233"/>
      <c r="M576" s="317"/>
    </row>
    <row r="577" spans="1:13" x14ac:dyDescent="0.3">
      <c r="A577" s="8"/>
      <c r="B577" s="10"/>
      <c r="C577" s="10"/>
      <c r="D577" s="10"/>
      <c r="E577" s="205"/>
      <c r="F577" s="9"/>
      <c r="H577" s="8"/>
      <c r="I577" s="205"/>
      <c r="J577" s="205"/>
      <c r="K577" s="282"/>
      <c r="L577" s="233"/>
      <c r="M577" s="317"/>
    </row>
    <row r="578" spans="1:13" x14ac:dyDescent="0.3">
      <c r="A578" s="8"/>
      <c r="B578" s="175"/>
      <c r="C578" s="175"/>
      <c r="D578" s="175"/>
      <c r="E578" s="264"/>
      <c r="F578" s="265"/>
      <c r="H578" s="8"/>
      <c r="I578" s="205"/>
      <c r="J578" s="205"/>
      <c r="K578" s="282"/>
      <c r="L578" s="233"/>
      <c r="M578" s="317"/>
    </row>
    <row r="579" spans="1:13" x14ac:dyDescent="0.3">
      <c r="A579" s="8"/>
      <c r="B579" s="175"/>
      <c r="C579" s="175"/>
      <c r="D579" s="175"/>
      <c r="E579" s="264"/>
      <c r="F579" s="265"/>
      <c r="H579" s="8"/>
      <c r="I579" s="205"/>
      <c r="J579" s="205"/>
      <c r="K579" s="282"/>
      <c r="L579" s="233"/>
      <c r="M579" s="317"/>
    </row>
    <row r="580" spans="1:13" x14ac:dyDescent="0.3">
      <c r="A580" s="8"/>
      <c r="B580" s="175"/>
      <c r="C580" s="175"/>
      <c r="D580" s="175"/>
      <c r="E580" s="264"/>
      <c r="F580" s="265"/>
      <c r="H580" s="8"/>
      <c r="I580" s="205"/>
      <c r="J580" s="205"/>
      <c r="K580" s="282"/>
      <c r="L580" s="233"/>
      <c r="M580" s="317"/>
    </row>
    <row r="581" spans="1:13" x14ac:dyDescent="0.3">
      <c r="A581" s="8"/>
      <c r="B581" s="175"/>
      <c r="C581" s="175"/>
      <c r="D581" s="175"/>
      <c r="E581" s="264"/>
      <c r="F581" s="265"/>
      <c r="H581" s="8"/>
      <c r="I581" s="205"/>
      <c r="J581" s="205"/>
      <c r="K581" s="282"/>
      <c r="L581" s="233"/>
      <c r="M581" s="317"/>
    </row>
    <row r="582" spans="1:13" x14ac:dyDescent="0.3">
      <c r="A582" s="8"/>
      <c r="B582" s="175"/>
      <c r="C582" s="175"/>
      <c r="D582" s="175"/>
      <c r="E582" s="264"/>
      <c r="F582" s="265"/>
      <c r="H582" s="8"/>
      <c r="I582" s="205"/>
      <c r="J582" s="205"/>
      <c r="K582" s="282"/>
      <c r="L582" s="233"/>
      <c r="M582" s="317"/>
    </row>
    <row r="583" spans="1:13" x14ac:dyDescent="0.3">
      <c r="A583" s="8"/>
      <c r="B583" s="175"/>
      <c r="C583" s="175"/>
      <c r="D583" s="175"/>
      <c r="E583" s="264"/>
      <c r="F583" s="265"/>
      <c r="H583" s="8"/>
      <c r="I583" s="205"/>
      <c r="J583" s="205"/>
      <c r="K583" s="282"/>
      <c r="L583" s="233"/>
      <c r="M583" s="317"/>
    </row>
    <row r="584" spans="1:13" x14ac:dyDescent="0.3">
      <c r="A584" s="8"/>
      <c r="B584" s="175"/>
      <c r="C584" s="175"/>
      <c r="D584" s="175"/>
      <c r="E584" s="264"/>
      <c r="F584" s="265"/>
      <c r="H584" s="8"/>
      <c r="I584" s="205"/>
      <c r="J584" s="205"/>
      <c r="K584" s="282"/>
      <c r="L584" s="233"/>
      <c r="M584" s="317"/>
    </row>
    <row r="585" spans="1:13" x14ac:dyDescent="0.3">
      <c r="A585" s="8"/>
      <c r="B585" s="175"/>
      <c r="C585" s="175"/>
      <c r="D585" s="175"/>
      <c r="E585" s="264"/>
      <c r="F585" s="265"/>
      <c r="H585" s="8"/>
      <c r="I585" s="205"/>
      <c r="J585" s="205"/>
      <c r="K585" s="282"/>
      <c r="L585" s="233"/>
      <c r="M585" s="317"/>
    </row>
    <row r="586" spans="1:13" x14ac:dyDescent="0.3">
      <c r="A586" s="8"/>
      <c r="B586" s="175"/>
      <c r="C586" s="175"/>
      <c r="D586" s="175"/>
      <c r="E586" s="264"/>
      <c r="F586" s="265"/>
      <c r="H586" s="8"/>
      <c r="I586" s="205"/>
      <c r="J586" s="205"/>
      <c r="K586" s="282"/>
      <c r="L586" s="233"/>
      <c r="M586" s="317"/>
    </row>
    <row r="587" spans="1:13" x14ac:dyDescent="0.3">
      <c r="A587" s="8"/>
      <c r="B587" s="175"/>
      <c r="C587" s="175"/>
      <c r="D587" s="175"/>
      <c r="E587" s="264"/>
      <c r="F587" s="265"/>
      <c r="H587" s="8"/>
      <c r="I587" s="205"/>
      <c r="J587" s="205"/>
      <c r="K587" s="282"/>
      <c r="L587" s="233"/>
      <c r="M587" s="317"/>
    </row>
    <row r="588" spans="1:13" x14ac:dyDescent="0.3">
      <c r="A588" s="8"/>
      <c r="B588" s="175"/>
      <c r="C588" s="175"/>
      <c r="D588" s="175"/>
      <c r="E588" s="264"/>
      <c r="F588" s="265"/>
      <c r="H588" s="8"/>
      <c r="I588" s="205"/>
      <c r="J588" s="205"/>
      <c r="K588" s="282"/>
      <c r="L588" s="233"/>
      <c r="M588" s="317"/>
    </row>
    <row r="589" spans="1:13" x14ac:dyDescent="0.3">
      <c r="A589" s="8"/>
      <c r="B589" s="175"/>
      <c r="C589" s="175"/>
      <c r="D589" s="175"/>
      <c r="E589" s="264"/>
      <c r="F589" s="265"/>
      <c r="H589" s="8"/>
      <c r="I589" s="205"/>
      <c r="J589" s="205"/>
      <c r="K589" s="282"/>
      <c r="L589" s="233"/>
      <c r="M589" s="317"/>
    </row>
    <row r="590" spans="1:13" x14ac:dyDescent="0.3">
      <c r="A590" s="8"/>
      <c r="B590" s="175"/>
      <c r="C590" s="175"/>
      <c r="D590" s="175"/>
      <c r="E590" s="264"/>
      <c r="F590" s="265"/>
      <c r="H590" s="8"/>
      <c r="I590" s="205"/>
      <c r="J590" s="205"/>
      <c r="K590" s="282"/>
      <c r="L590" s="233"/>
      <c r="M590" s="317"/>
    </row>
    <row r="591" spans="1:13" x14ac:dyDescent="0.3">
      <c r="A591" s="8"/>
      <c r="B591" s="175"/>
      <c r="C591" s="175"/>
      <c r="D591" s="175"/>
      <c r="E591" s="264"/>
      <c r="F591" s="265"/>
      <c r="H591" s="8"/>
      <c r="I591" s="205"/>
      <c r="J591" s="205"/>
      <c r="K591" s="282"/>
      <c r="L591" s="233"/>
      <c r="M591" s="317"/>
    </row>
    <row r="592" spans="1:13" x14ac:dyDescent="0.3">
      <c r="A592" s="8"/>
      <c r="B592" s="175"/>
      <c r="C592" s="175"/>
      <c r="D592" s="175"/>
      <c r="E592" s="264"/>
      <c r="F592" s="265"/>
      <c r="H592" s="8"/>
      <c r="I592" s="205"/>
      <c r="J592" s="205"/>
      <c r="K592" s="282"/>
      <c r="L592" s="233"/>
      <c r="M592" s="317"/>
    </row>
    <row r="593" spans="1:13" x14ac:dyDescent="0.3">
      <c r="A593" s="8"/>
      <c r="B593" s="175"/>
      <c r="C593" s="175"/>
      <c r="D593" s="175"/>
      <c r="E593" s="264"/>
      <c r="F593" s="265"/>
      <c r="H593" s="8"/>
      <c r="I593" s="205"/>
      <c r="J593" s="205"/>
      <c r="K593" s="282"/>
      <c r="L593" s="233"/>
      <c r="M593" s="317"/>
    </row>
    <row r="594" spans="1:13" x14ac:dyDescent="0.3">
      <c r="A594" s="8"/>
      <c r="B594" s="175"/>
      <c r="C594" s="175"/>
      <c r="D594" s="175"/>
      <c r="E594" s="264"/>
      <c r="F594" s="265"/>
      <c r="H594" s="8"/>
      <c r="I594" s="205"/>
      <c r="J594" s="205"/>
      <c r="K594" s="282"/>
      <c r="L594" s="233"/>
      <c r="M594" s="317"/>
    </row>
    <row r="595" spans="1:13" x14ac:dyDescent="0.3">
      <c r="A595" s="8"/>
      <c r="B595" s="175"/>
      <c r="C595" s="175"/>
      <c r="D595" s="175"/>
      <c r="E595" s="264"/>
      <c r="F595" s="265"/>
      <c r="H595" s="8"/>
      <c r="I595" s="205"/>
      <c r="J595" s="205"/>
      <c r="K595" s="282"/>
      <c r="L595" s="233"/>
      <c r="M595" s="317"/>
    </row>
    <row r="596" spans="1:13" x14ac:dyDescent="0.3">
      <c r="A596" s="8"/>
      <c r="B596" s="175"/>
      <c r="C596" s="175"/>
      <c r="D596" s="175"/>
      <c r="E596" s="264"/>
      <c r="F596" s="265"/>
      <c r="H596" s="8"/>
      <c r="I596" s="205"/>
      <c r="J596" s="205"/>
      <c r="K596" s="282"/>
      <c r="L596" s="233"/>
      <c r="M596" s="317"/>
    </row>
    <row r="597" spans="1:13" x14ac:dyDescent="0.3">
      <c r="A597" s="8"/>
      <c r="B597" s="175"/>
      <c r="C597" s="175"/>
      <c r="D597" s="175"/>
      <c r="E597" s="264"/>
      <c r="F597" s="265"/>
      <c r="H597" s="8"/>
      <c r="I597" s="205"/>
      <c r="J597" s="205"/>
      <c r="K597" s="282"/>
      <c r="L597" s="233"/>
      <c r="M597" s="317"/>
    </row>
    <row r="598" spans="1:13" x14ac:dyDescent="0.3">
      <c r="A598" s="8"/>
      <c r="B598" s="175"/>
      <c r="C598" s="175"/>
      <c r="D598" s="175"/>
      <c r="E598" s="264"/>
      <c r="F598" s="265"/>
      <c r="H598" s="8"/>
      <c r="I598" s="205"/>
      <c r="J598" s="205"/>
      <c r="K598" s="282"/>
      <c r="L598" s="233"/>
      <c r="M598" s="317"/>
    </row>
    <row r="599" spans="1:13" x14ac:dyDescent="0.3">
      <c r="A599" s="8"/>
      <c r="B599" s="175"/>
      <c r="C599" s="175"/>
      <c r="D599" s="175"/>
      <c r="E599" s="264"/>
      <c r="F599" s="265"/>
      <c r="H599" s="8"/>
      <c r="I599" s="205"/>
      <c r="J599" s="205"/>
      <c r="K599" s="282"/>
      <c r="L599" s="233"/>
      <c r="M599" s="317"/>
    </row>
    <row r="600" spans="1:13" x14ac:dyDescent="0.3">
      <c r="A600" s="8"/>
      <c r="B600" s="175"/>
      <c r="C600" s="175"/>
      <c r="D600" s="175"/>
      <c r="E600" s="264"/>
      <c r="F600" s="265"/>
      <c r="H600" s="8"/>
      <c r="I600" s="205"/>
      <c r="J600" s="205"/>
      <c r="K600" s="282"/>
      <c r="L600" s="233"/>
      <c r="M600" s="317"/>
    </row>
    <row r="601" spans="1:13" x14ac:dyDescent="0.3">
      <c r="A601" s="8"/>
      <c r="B601" s="175"/>
      <c r="C601" s="175"/>
      <c r="D601" s="175"/>
      <c r="E601" s="264"/>
      <c r="F601" s="265"/>
      <c r="H601" s="8"/>
      <c r="I601" s="205"/>
      <c r="J601" s="205"/>
      <c r="K601" s="282"/>
      <c r="L601" s="233"/>
      <c r="M601" s="317"/>
    </row>
    <row r="602" spans="1:13" x14ac:dyDescent="0.3">
      <c r="A602" s="8"/>
      <c r="B602" s="175"/>
      <c r="C602" s="175"/>
      <c r="D602" s="175"/>
      <c r="E602" s="264"/>
      <c r="F602" s="265"/>
      <c r="H602" s="8"/>
      <c r="I602" s="205"/>
      <c r="J602" s="205"/>
      <c r="K602" s="282"/>
      <c r="L602" s="233"/>
      <c r="M602" s="317"/>
    </row>
    <row r="603" spans="1:13" x14ac:dyDescent="0.3">
      <c r="A603" s="8"/>
      <c r="B603" s="175"/>
      <c r="C603" s="175"/>
      <c r="D603" s="175"/>
      <c r="E603" s="264"/>
      <c r="F603" s="265"/>
      <c r="H603" s="8"/>
      <c r="I603" s="205"/>
      <c r="J603" s="205"/>
      <c r="K603" s="282"/>
      <c r="L603" s="233"/>
      <c r="M603" s="317"/>
    </row>
    <row r="604" spans="1:13" x14ac:dyDescent="0.3">
      <c r="A604" s="8"/>
      <c r="B604" s="175"/>
      <c r="C604" s="175"/>
      <c r="D604" s="175"/>
      <c r="E604" s="264"/>
      <c r="F604" s="265"/>
      <c r="H604" s="8"/>
      <c r="I604" s="205"/>
      <c r="J604" s="205"/>
      <c r="K604" s="282"/>
      <c r="L604" s="233"/>
      <c r="M604" s="317"/>
    </row>
    <row r="605" spans="1:13" x14ac:dyDescent="0.3">
      <c r="A605" s="8"/>
      <c r="B605" s="175"/>
      <c r="C605" s="175"/>
      <c r="D605" s="175"/>
      <c r="E605" s="264"/>
      <c r="F605" s="265"/>
      <c r="H605" s="8"/>
      <c r="I605" s="205"/>
      <c r="J605" s="205"/>
      <c r="K605" s="282"/>
      <c r="L605" s="233"/>
      <c r="M605" s="317"/>
    </row>
    <row r="606" spans="1:13" x14ac:dyDescent="0.3">
      <c r="A606" s="8"/>
      <c r="B606" s="175"/>
      <c r="C606" s="175"/>
      <c r="D606" s="175"/>
      <c r="E606" s="264"/>
      <c r="F606" s="265"/>
      <c r="H606" s="8"/>
      <c r="I606" s="205"/>
      <c r="J606" s="205"/>
      <c r="K606" s="282"/>
      <c r="L606" s="233"/>
      <c r="M606" s="317"/>
    </row>
    <row r="607" spans="1:13" x14ac:dyDescent="0.3">
      <c r="A607" s="8"/>
      <c r="B607" s="175"/>
      <c r="C607" s="175"/>
      <c r="D607" s="175"/>
      <c r="E607" s="264"/>
      <c r="F607" s="265"/>
      <c r="H607" s="8"/>
      <c r="I607" s="205"/>
      <c r="J607" s="205"/>
      <c r="K607" s="282"/>
      <c r="L607" s="233"/>
      <c r="M607" s="317"/>
    </row>
    <row r="608" spans="1:13" x14ac:dyDescent="0.3">
      <c r="A608" s="8"/>
      <c r="B608" s="175"/>
      <c r="C608" s="175"/>
      <c r="D608" s="175"/>
      <c r="E608" s="264"/>
      <c r="F608" s="265"/>
      <c r="H608" s="8"/>
      <c r="I608" s="205"/>
      <c r="J608" s="205"/>
      <c r="K608" s="282"/>
      <c r="L608" s="233"/>
      <c r="M608" s="317"/>
    </row>
    <row r="609" spans="1:13" x14ac:dyDescent="0.3">
      <c r="A609" s="8"/>
      <c r="B609" s="175"/>
      <c r="C609" s="175"/>
      <c r="D609" s="175"/>
      <c r="E609" s="264"/>
      <c r="F609" s="265"/>
      <c r="H609" s="8"/>
      <c r="I609" s="205"/>
      <c r="J609" s="205"/>
      <c r="K609" s="282"/>
      <c r="L609" s="233"/>
      <c r="M609" s="317"/>
    </row>
    <row r="610" spans="1:13" x14ac:dyDescent="0.3">
      <c r="A610" s="8"/>
      <c r="B610" s="175"/>
      <c r="C610" s="175"/>
      <c r="D610" s="175"/>
      <c r="E610" s="264"/>
      <c r="F610" s="265"/>
      <c r="H610" s="8"/>
      <c r="I610" s="205"/>
      <c r="J610" s="205"/>
      <c r="K610" s="282"/>
      <c r="L610" s="233"/>
      <c r="M610" s="317"/>
    </row>
    <row r="611" spans="1:13" x14ac:dyDescent="0.3">
      <c r="A611" s="8"/>
      <c r="B611" s="175"/>
      <c r="C611" s="175"/>
      <c r="D611" s="175"/>
      <c r="E611" s="264"/>
      <c r="F611" s="265"/>
      <c r="H611" s="8"/>
      <c r="I611" s="205"/>
      <c r="J611" s="205"/>
      <c r="K611" s="282"/>
      <c r="L611" s="233"/>
      <c r="M611" s="317"/>
    </row>
    <row r="612" spans="1:13" x14ac:dyDescent="0.3">
      <c r="A612" s="8"/>
      <c r="B612" s="175"/>
      <c r="C612" s="175"/>
      <c r="D612" s="175"/>
      <c r="E612" s="264"/>
      <c r="F612" s="265"/>
      <c r="H612" s="8"/>
      <c r="I612" s="205"/>
      <c r="J612" s="205"/>
      <c r="K612" s="282"/>
      <c r="L612" s="233"/>
      <c r="M612" s="317"/>
    </row>
    <row r="613" spans="1:13" x14ac:dyDescent="0.3">
      <c r="A613" s="8"/>
      <c r="B613" s="175"/>
      <c r="C613" s="175"/>
      <c r="D613" s="175"/>
      <c r="E613" s="264"/>
      <c r="F613" s="265"/>
      <c r="H613" s="8"/>
      <c r="I613" s="205"/>
      <c r="J613" s="205"/>
      <c r="K613" s="282"/>
      <c r="L613" s="233"/>
      <c r="M613" s="317"/>
    </row>
    <row r="614" spans="1:13" x14ac:dyDescent="0.3">
      <c r="A614" s="8"/>
      <c r="B614" s="175"/>
      <c r="C614" s="175"/>
      <c r="D614" s="175"/>
      <c r="E614" s="264"/>
      <c r="F614" s="265"/>
      <c r="H614" s="8"/>
      <c r="I614" s="205"/>
      <c r="J614" s="205"/>
      <c r="K614" s="282"/>
      <c r="L614" s="233"/>
      <c r="M614" s="317"/>
    </row>
    <row r="615" spans="1:13" x14ac:dyDescent="0.3">
      <c r="A615" s="8"/>
      <c r="B615" s="175"/>
      <c r="C615" s="175"/>
      <c r="D615" s="175"/>
      <c r="E615" s="264"/>
      <c r="F615" s="265"/>
      <c r="H615" s="8"/>
      <c r="I615" s="205"/>
      <c r="J615" s="205"/>
      <c r="K615" s="282"/>
      <c r="L615" s="233"/>
      <c r="M615" s="317"/>
    </row>
    <row r="616" spans="1:13" x14ac:dyDescent="0.3">
      <c r="A616" s="8"/>
      <c r="B616" s="175"/>
      <c r="C616" s="175"/>
      <c r="D616" s="175"/>
      <c r="E616" s="264"/>
      <c r="F616" s="265"/>
      <c r="H616" s="8"/>
      <c r="I616" s="205"/>
      <c r="J616" s="205"/>
      <c r="K616" s="282"/>
      <c r="L616" s="233"/>
      <c r="M616" s="317"/>
    </row>
    <row r="617" spans="1:13" x14ac:dyDescent="0.3">
      <c r="A617" s="8"/>
      <c r="B617" s="175"/>
      <c r="C617" s="175"/>
      <c r="D617" s="175"/>
      <c r="E617" s="264"/>
      <c r="F617" s="265"/>
      <c r="H617" s="8"/>
      <c r="I617" s="205"/>
      <c r="J617" s="205"/>
      <c r="K617" s="282"/>
      <c r="L617" s="233"/>
      <c r="M617" s="317"/>
    </row>
    <row r="618" spans="1:13" x14ac:dyDescent="0.3">
      <c r="A618" s="8"/>
      <c r="B618" s="175"/>
      <c r="C618" s="175"/>
      <c r="D618" s="175"/>
      <c r="E618" s="264"/>
      <c r="F618" s="265"/>
      <c r="H618" s="8"/>
      <c r="I618" s="205"/>
      <c r="J618" s="205"/>
      <c r="K618" s="282"/>
      <c r="L618" s="233"/>
      <c r="M618" s="317"/>
    </row>
    <row r="619" spans="1:13" x14ac:dyDescent="0.3">
      <c r="A619" s="8"/>
      <c r="B619" s="175"/>
      <c r="C619" s="175"/>
      <c r="D619" s="175"/>
      <c r="E619" s="264"/>
      <c r="F619" s="265"/>
      <c r="H619" s="8"/>
      <c r="I619" s="205"/>
      <c r="J619" s="205"/>
      <c r="K619" s="282"/>
      <c r="L619" s="233"/>
      <c r="M619" s="317"/>
    </row>
    <row r="620" spans="1:13" x14ac:dyDescent="0.3">
      <c r="A620" s="8"/>
      <c r="B620" s="175"/>
      <c r="C620" s="175"/>
      <c r="D620" s="175"/>
      <c r="E620" s="264"/>
      <c r="F620" s="265"/>
      <c r="H620" s="8"/>
      <c r="I620" s="205"/>
      <c r="J620" s="205"/>
      <c r="K620" s="282"/>
      <c r="L620" s="233"/>
      <c r="M620" s="317"/>
    </row>
    <row r="621" spans="1:13" x14ac:dyDescent="0.3">
      <c r="A621" s="8"/>
      <c r="B621" s="175"/>
      <c r="C621" s="175"/>
      <c r="D621" s="175"/>
      <c r="E621" s="264"/>
      <c r="F621" s="265"/>
      <c r="H621" s="8"/>
      <c r="I621" s="205"/>
      <c r="J621" s="205"/>
      <c r="K621" s="282"/>
      <c r="L621" s="233"/>
      <c r="M621" s="317"/>
    </row>
    <row r="622" spans="1:13" x14ac:dyDescent="0.3">
      <c r="A622" s="8"/>
      <c r="B622" s="175"/>
      <c r="C622" s="175"/>
      <c r="D622" s="175"/>
      <c r="E622" s="264"/>
      <c r="F622" s="265"/>
      <c r="H622" s="8"/>
      <c r="I622" s="205"/>
      <c r="J622" s="205"/>
      <c r="K622" s="282"/>
      <c r="L622" s="233"/>
      <c r="M622" s="317"/>
    </row>
    <row r="623" spans="1:13" x14ac:dyDescent="0.3">
      <c r="A623" s="8"/>
      <c r="B623" s="175"/>
      <c r="C623" s="175"/>
      <c r="D623" s="175"/>
      <c r="E623" s="264"/>
      <c r="F623" s="265"/>
      <c r="H623" s="8"/>
      <c r="I623" s="205"/>
      <c r="J623" s="205"/>
      <c r="K623" s="282"/>
      <c r="L623" s="233"/>
      <c r="M623" s="317"/>
    </row>
    <row r="624" spans="1:13" x14ac:dyDescent="0.3">
      <c r="A624" s="8"/>
      <c r="B624" s="175"/>
      <c r="C624" s="175"/>
      <c r="D624" s="175"/>
      <c r="E624" s="264"/>
      <c r="F624" s="265"/>
      <c r="H624" s="8"/>
      <c r="I624" s="205"/>
      <c r="J624" s="205"/>
      <c r="K624" s="282"/>
      <c r="L624" s="233"/>
      <c r="M624" s="317"/>
    </row>
    <row r="625" spans="1:13" x14ac:dyDescent="0.3">
      <c r="A625" s="8"/>
      <c r="B625" s="175"/>
      <c r="C625" s="175"/>
      <c r="D625" s="175"/>
      <c r="E625" s="264"/>
      <c r="F625" s="265"/>
      <c r="H625" s="8"/>
      <c r="I625" s="205"/>
      <c r="J625" s="205"/>
      <c r="K625" s="282"/>
      <c r="L625" s="233"/>
      <c r="M625" s="317"/>
    </row>
    <row r="626" spans="1:13" x14ac:dyDescent="0.3">
      <c r="A626" s="8"/>
      <c r="B626" s="175"/>
      <c r="C626" s="175"/>
      <c r="D626" s="175"/>
      <c r="E626" s="264"/>
      <c r="F626" s="265"/>
      <c r="H626" s="8"/>
      <c r="I626" s="205"/>
      <c r="J626" s="205"/>
      <c r="K626" s="282"/>
      <c r="L626" s="233"/>
      <c r="M626" s="317"/>
    </row>
    <row r="627" spans="1:13" x14ac:dyDescent="0.3">
      <c r="A627" s="8"/>
      <c r="B627" s="175"/>
      <c r="C627" s="175"/>
      <c r="D627" s="175"/>
      <c r="E627" s="264"/>
      <c r="F627" s="265"/>
      <c r="H627" s="8"/>
      <c r="I627" s="205"/>
      <c r="J627" s="205"/>
      <c r="K627" s="282"/>
      <c r="L627" s="233"/>
      <c r="M627" s="317"/>
    </row>
    <row r="628" spans="1:13" x14ac:dyDescent="0.3">
      <c r="A628" s="8"/>
      <c r="B628" s="175"/>
      <c r="C628" s="175"/>
      <c r="D628" s="175"/>
      <c r="E628" s="264"/>
      <c r="F628" s="265"/>
      <c r="H628" s="8"/>
      <c r="I628" s="205"/>
      <c r="J628" s="205"/>
      <c r="K628" s="282"/>
      <c r="L628" s="233"/>
      <c r="M628" s="317"/>
    </row>
    <row r="629" spans="1:13" x14ac:dyDescent="0.3">
      <c r="A629" s="8"/>
      <c r="B629" s="175"/>
      <c r="C629" s="175"/>
      <c r="D629" s="175"/>
      <c r="E629" s="264"/>
      <c r="F629" s="265"/>
      <c r="H629" s="8"/>
      <c r="I629" s="205"/>
      <c r="J629" s="205"/>
      <c r="K629" s="282"/>
      <c r="L629" s="233"/>
      <c r="M629" s="317"/>
    </row>
    <row r="630" spans="1:13" x14ac:dyDescent="0.3">
      <c r="A630" s="8"/>
      <c r="B630" s="175"/>
      <c r="C630" s="175"/>
      <c r="D630" s="175"/>
      <c r="E630" s="264"/>
      <c r="F630" s="265"/>
      <c r="H630" s="8"/>
      <c r="I630" s="205"/>
      <c r="J630" s="205"/>
      <c r="K630" s="282"/>
      <c r="L630" s="233"/>
      <c r="M630" s="317"/>
    </row>
    <row r="631" spans="1:13" x14ac:dyDescent="0.3">
      <c r="A631" s="8"/>
      <c r="B631" s="175"/>
      <c r="C631" s="175"/>
      <c r="D631" s="175"/>
      <c r="E631" s="264"/>
      <c r="F631" s="265"/>
      <c r="H631" s="8"/>
      <c r="I631" s="205"/>
      <c r="J631" s="205"/>
      <c r="K631" s="282"/>
      <c r="L631" s="233"/>
      <c r="M631" s="317"/>
    </row>
    <row r="632" spans="1:13" x14ac:dyDescent="0.3">
      <c r="A632" s="8"/>
      <c r="B632" s="175"/>
      <c r="C632" s="175"/>
      <c r="D632" s="175"/>
      <c r="E632" s="264"/>
      <c r="F632" s="265"/>
      <c r="H632" s="8"/>
      <c r="I632" s="205"/>
      <c r="J632" s="205"/>
      <c r="K632" s="282"/>
      <c r="L632" s="233"/>
      <c r="M632" s="317"/>
    </row>
    <row r="633" spans="1:13" x14ac:dyDescent="0.3">
      <c r="A633" s="8"/>
      <c r="B633" s="175"/>
      <c r="C633" s="175"/>
      <c r="D633" s="175"/>
      <c r="E633" s="264"/>
      <c r="F633" s="265"/>
      <c r="H633" s="8"/>
      <c r="I633" s="205"/>
      <c r="J633" s="205"/>
      <c r="K633" s="282"/>
      <c r="L633" s="233"/>
      <c r="M633" s="317"/>
    </row>
    <row r="634" spans="1:13" x14ac:dyDescent="0.3">
      <c r="A634" s="8"/>
      <c r="B634" s="175"/>
      <c r="C634" s="175"/>
      <c r="D634" s="175"/>
      <c r="E634" s="264"/>
      <c r="F634" s="265"/>
      <c r="H634" s="8"/>
      <c r="I634" s="205"/>
      <c r="J634" s="205"/>
      <c r="K634" s="282"/>
      <c r="L634" s="233"/>
      <c r="M634" s="317"/>
    </row>
    <row r="635" spans="1:13" x14ac:dyDescent="0.3">
      <c r="A635" s="8"/>
      <c r="B635" s="175"/>
      <c r="C635" s="175"/>
      <c r="D635" s="175"/>
      <c r="E635" s="264"/>
      <c r="F635" s="265"/>
      <c r="H635" s="8"/>
      <c r="I635" s="205"/>
      <c r="J635" s="205"/>
      <c r="K635" s="282"/>
      <c r="L635" s="233"/>
      <c r="M635" s="317"/>
    </row>
    <row r="636" spans="1:13" x14ac:dyDescent="0.3">
      <c r="A636" s="8"/>
      <c r="B636" s="175"/>
      <c r="C636" s="175"/>
      <c r="D636" s="175"/>
      <c r="E636" s="264"/>
      <c r="F636" s="265"/>
      <c r="H636" s="8"/>
      <c r="I636" s="205"/>
      <c r="J636" s="205"/>
      <c r="K636" s="282"/>
      <c r="L636" s="233"/>
      <c r="M636" s="317"/>
    </row>
    <row r="637" spans="1:13" x14ac:dyDescent="0.3">
      <c r="A637" s="8"/>
      <c r="B637" s="175"/>
      <c r="C637" s="175"/>
      <c r="D637" s="175"/>
      <c r="E637" s="264"/>
      <c r="F637" s="265"/>
      <c r="H637" s="8"/>
      <c r="I637" s="205"/>
      <c r="J637" s="205"/>
      <c r="K637" s="282"/>
      <c r="L637" s="233"/>
      <c r="M637" s="317"/>
    </row>
    <row r="638" spans="1:13" x14ac:dyDescent="0.3">
      <c r="A638" s="8"/>
      <c r="B638" s="175"/>
      <c r="C638" s="175"/>
      <c r="D638" s="175"/>
      <c r="E638" s="264"/>
      <c r="F638" s="265"/>
      <c r="H638" s="8"/>
      <c r="I638" s="205"/>
      <c r="J638" s="205"/>
      <c r="K638" s="282"/>
      <c r="L638" s="233"/>
      <c r="M638" s="317"/>
    </row>
    <row r="639" spans="1:13" x14ac:dyDescent="0.3">
      <c r="A639" s="8"/>
      <c r="B639" s="175"/>
      <c r="C639" s="175"/>
      <c r="D639" s="175"/>
      <c r="E639" s="264"/>
      <c r="F639" s="265"/>
      <c r="H639" s="8"/>
      <c r="I639" s="205"/>
      <c r="J639" s="205"/>
      <c r="K639" s="282"/>
      <c r="L639" s="233"/>
      <c r="M639" s="317"/>
    </row>
    <row r="640" spans="1:13" x14ac:dyDescent="0.3">
      <c r="A640" s="8"/>
      <c r="B640" s="175"/>
      <c r="C640" s="175"/>
      <c r="D640" s="175"/>
      <c r="E640" s="264"/>
      <c r="F640" s="265"/>
      <c r="H640" s="8"/>
      <c r="I640" s="205"/>
      <c r="J640" s="205"/>
      <c r="K640" s="282"/>
      <c r="L640" s="233"/>
      <c r="M640" s="317"/>
    </row>
    <row r="641" spans="1:13" x14ac:dyDescent="0.3">
      <c r="A641" s="8"/>
      <c r="B641" s="175"/>
      <c r="C641" s="175"/>
      <c r="D641" s="175"/>
      <c r="E641" s="264"/>
      <c r="F641" s="265"/>
      <c r="H641" s="8"/>
      <c r="I641" s="205"/>
      <c r="J641" s="205"/>
      <c r="K641" s="282"/>
      <c r="L641" s="233"/>
      <c r="M641" s="317"/>
    </row>
    <row r="642" spans="1:13" x14ac:dyDescent="0.3">
      <c r="A642" s="8"/>
      <c r="B642" s="175"/>
      <c r="C642" s="175"/>
      <c r="D642" s="175"/>
      <c r="E642" s="264"/>
      <c r="F642" s="265"/>
      <c r="H642" s="8"/>
      <c r="I642" s="205"/>
      <c r="J642" s="205"/>
      <c r="K642" s="282"/>
      <c r="L642" s="233"/>
      <c r="M642" s="317"/>
    </row>
    <row r="643" spans="1:13" x14ac:dyDescent="0.3">
      <c r="A643" s="8"/>
      <c r="B643" s="175"/>
      <c r="C643" s="175"/>
      <c r="D643" s="175"/>
      <c r="E643" s="264"/>
      <c r="F643" s="265"/>
      <c r="H643" s="8"/>
      <c r="I643" s="205"/>
      <c r="J643" s="205"/>
      <c r="K643" s="282"/>
      <c r="L643" s="233"/>
      <c r="M643" s="317"/>
    </row>
    <row r="644" spans="1:13" x14ac:dyDescent="0.3">
      <c r="A644" s="8"/>
      <c r="B644" s="175"/>
      <c r="C644" s="175"/>
      <c r="D644" s="175"/>
      <c r="E644" s="264"/>
      <c r="F644" s="265"/>
      <c r="H644" s="8"/>
      <c r="I644" s="205"/>
      <c r="J644" s="205"/>
      <c r="K644" s="282"/>
      <c r="L644" s="233"/>
      <c r="M644" s="317"/>
    </row>
    <row r="645" spans="1:13" x14ac:dyDescent="0.3">
      <c r="A645" s="8"/>
      <c r="B645" s="175"/>
      <c r="C645" s="175"/>
      <c r="D645" s="175"/>
      <c r="E645" s="264"/>
      <c r="F645" s="265"/>
      <c r="H645" s="8"/>
      <c r="I645" s="205"/>
      <c r="J645" s="205"/>
      <c r="K645" s="282"/>
      <c r="L645" s="233"/>
      <c r="M645" s="317"/>
    </row>
    <row r="646" spans="1:13" x14ac:dyDescent="0.3">
      <c r="A646" s="8"/>
      <c r="B646" s="175"/>
      <c r="C646" s="175"/>
      <c r="D646" s="175"/>
      <c r="E646" s="264"/>
      <c r="F646" s="265"/>
      <c r="H646" s="8"/>
      <c r="I646" s="205"/>
      <c r="J646" s="205"/>
      <c r="K646" s="282"/>
      <c r="L646" s="233"/>
      <c r="M646" s="317"/>
    </row>
    <row r="647" spans="1:13" x14ac:dyDescent="0.3">
      <c r="A647" s="8"/>
      <c r="B647" s="175"/>
      <c r="C647" s="175"/>
      <c r="D647" s="175"/>
      <c r="E647" s="264"/>
      <c r="F647" s="265"/>
      <c r="H647" s="8"/>
      <c r="I647" s="205"/>
      <c r="J647" s="205"/>
      <c r="K647" s="282"/>
      <c r="L647" s="233"/>
      <c r="M647" s="317"/>
    </row>
    <row r="648" spans="1:13" x14ac:dyDescent="0.3">
      <c r="A648" s="8"/>
      <c r="B648" s="175"/>
      <c r="C648" s="175"/>
      <c r="D648" s="175"/>
      <c r="E648" s="264"/>
      <c r="F648" s="265"/>
      <c r="H648" s="8"/>
      <c r="I648" s="205"/>
      <c r="J648" s="205"/>
      <c r="K648" s="282"/>
      <c r="L648" s="233"/>
      <c r="M648" s="317"/>
    </row>
    <row r="649" spans="1:13" x14ac:dyDescent="0.3">
      <c r="A649" s="8"/>
      <c r="B649" s="175"/>
      <c r="C649" s="175"/>
      <c r="D649" s="175"/>
      <c r="E649" s="264"/>
      <c r="F649" s="265"/>
      <c r="H649" s="8"/>
      <c r="I649" s="205"/>
      <c r="J649" s="205"/>
      <c r="K649" s="282"/>
      <c r="L649" s="233"/>
      <c r="M649" s="317"/>
    </row>
    <row r="650" spans="1:13" x14ac:dyDescent="0.3">
      <c r="A650" s="8"/>
      <c r="B650" s="175"/>
      <c r="C650" s="175"/>
      <c r="D650" s="175"/>
      <c r="E650" s="264"/>
      <c r="F650" s="265"/>
      <c r="H650" s="8"/>
      <c r="I650" s="205"/>
      <c r="J650" s="205"/>
      <c r="K650" s="282"/>
      <c r="L650" s="233"/>
      <c r="M650" s="317"/>
    </row>
    <row r="651" spans="1:13" x14ac:dyDescent="0.3">
      <c r="A651" s="8"/>
      <c r="B651" s="175"/>
      <c r="C651" s="175"/>
      <c r="D651" s="175"/>
      <c r="E651" s="264"/>
      <c r="F651" s="265"/>
      <c r="H651" s="8"/>
      <c r="I651" s="205"/>
      <c r="J651" s="205"/>
      <c r="K651" s="282"/>
      <c r="L651" s="233"/>
      <c r="M651" s="317"/>
    </row>
    <row r="652" spans="1:13" x14ac:dyDescent="0.3">
      <c r="A652" s="8"/>
      <c r="B652" s="175"/>
      <c r="C652" s="175"/>
      <c r="D652" s="175"/>
      <c r="E652" s="264"/>
      <c r="F652" s="265"/>
      <c r="H652" s="8"/>
      <c r="I652" s="205"/>
      <c r="J652" s="205"/>
      <c r="K652" s="282"/>
      <c r="L652" s="233"/>
      <c r="M652" s="317"/>
    </row>
    <row r="653" spans="1:13" x14ac:dyDescent="0.3">
      <c r="A653" s="8"/>
      <c r="B653" s="175"/>
      <c r="C653" s="175"/>
      <c r="D653" s="175"/>
      <c r="E653" s="264"/>
      <c r="F653" s="265"/>
      <c r="H653" s="8"/>
      <c r="I653" s="205"/>
      <c r="J653" s="205"/>
      <c r="K653" s="282"/>
      <c r="L653" s="233"/>
      <c r="M653" s="317"/>
    </row>
    <row r="654" spans="1:13" x14ac:dyDescent="0.3">
      <c r="A654" s="8"/>
      <c r="B654" s="175"/>
      <c r="C654" s="175"/>
      <c r="D654" s="175"/>
      <c r="E654" s="264"/>
      <c r="F654" s="265"/>
      <c r="H654" s="8"/>
      <c r="I654" s="205"/>
      <c r="J654" s="205"/>
      <c r="K654" s="282"/>
      <c r="L654" s="233"/>
      <c r="M654" s="317"/>
    </row>
    <row r="655" spans="1:13" x14ac:dyDescent="0.3">
      <c r="A655" s="8"/>
      <c r="B655" s="175"/>
      <c r="C655" s="175"/>
      <c r="D655" s="175"/>
      <c r="E655" s="264"/>
      <c r="F655" s="265"/>
      <c r="H655" s="8"/>
      <c r="I655" s="205"/>
      <c r="J655" s="205"/>
      <c r="K655" s="282"/>
      <c r="L655" s="233"/>
      <c r="M655" s="317"/>
    </row>
    <row r="656" spans="1:13" x14ac:dyDescent="0.3">
      <c r="A656" s="8"/>
      <c r="B656" s="175"/>
      <c r="C656" s="175"/>
      <c r="D656" s="175"/>
      <c r="E656" s="264"/>
      <c r="F656" s="265"/>
      <c r="H656" s="8"/>
      <c r="I656" s="205"/>
      <c r="J656" s="205"/>
      <c r="K656" s="282"/>
      <c r="L656" s="233"/>
      <c r="M656" s="317"/>
    </row>
    <row r="657" spans="1:13" x14ac:dyDescent="0.3">
      <c r="A657" s="8"/>
      <c r="B657" s="175"/>
      <c r="C657" s="175"/>
      <c r="D657" s="175"/>
      <c r="E657" s="264"/>
      <c r="F657" s="265"/>
      <c r="H657" s="8"/>
      <c r="I657" s="205"/>
      <c r="J657" s="205"/>
      <c r="K657" s="282"/>
      <c r="L657" s="233"/>
      <c r="M657" s="317"/>
    </row>
    <row r="658" spans="1:13" x14ac:dyDescent="0.3">
      <c r="A658" s="8"/>
      <c r="B658" s="175"/>
      <c r="C658" s="175"/>
      <c r="D658" s="175"/>
      <c r="E658" s="264"/>
      <c r="F658" s="265"/>
      <c r="H658" s="8"/>
      <c r="I658" s="205"/>
      <c r="J658" s="205"/>
      <c r="K658" s="282"/>
      <c r="L658" s="233"/>
      <c r="M658" s="317"/>
    </row>
    <row r="659" spans="1:13" x14ac:dyDescent="0.3">
      <c r="A659" s="8"/>
      <c r="B659" s="175"/>
      <c r="C659" s="175"/>
      <c r="D659" s="175"/>
      <c r="E659" s="264"/>
      <c r="F659" s="265"/>
      <c r="H659" s="8"/>
      <c r="I659" s="205"/>
      <c r="J659" s="205"/>
      <c r="K659" s="282"/>
      <c r="L659" s="233"/>
      <c r="M659" s="317"/>
    </row>
    <row r="660" spans="1:13" x14ac:dyDescent="0.3">
      <c r="A660" s="8"/>
      <c r="B660" s="175"/>
      <c r="C660" s="175"/>
      <c r="D660" s="175"/>
      <c r="E660" s="264"/>
      <c r="F660" s="265"/>
      <c r="H660" s="8"/>
      <c r="I660" s="205"/>
      <c r="J660" s="205"/>
      <c r="K660" s="282"/>
      <c r="L660" s="233"/>
      <c r="M660" s="317"/>
    </row>
    <row r="661" spans="1:13" x14ac:dyDescent="0.3">
      <c r="A661" s="8"/>
      <c r="B661" s="175"/>
      <c r="C661" s="175"/>
      <c r="D661" s="175"/>
      <c r="E661" s="264"/>
      <c r="F661" s="265"/>
      <c r="H661" s="8"/>
      <c r="I661" s="205"/>
      <c r="J661" s="205"/>
      <c r="K661" s="282"/>
      <c r="L661" s="233"/>
      <c r="M661" s="317"/>
    </row>
    <row r="662" spans="1:13" x14ac:dyDescent="0.3">
      <c r="A662" s="8"/>
      <c r="B662" s="175"/>
      <c r="C662" s="175"/>
      <c r="D662" s="175"/>
      <c r="E662" s="264"/>
      <c r="F662" s="265"/>
      <c r="H662" s="8"/>
      <c r="I662" s="205"/>
      <c r="J662" s="205"/>
      <c r="K662" s="282"/>
      <c r="L662" s="233"/>
      <c r="M662" s="317"/>
    </row>
    <row r="663" spans="1:13" x14ac:dyDescent="0.3">
      <c r="A663" s="8"/>
      <c r="B663" s="175"/>
      <c r="C663" s="175"/>
      <c r="D663" s="175"/>
      <c r="E663" s="264"/>
      <c r="F663" s="265"/>
      <c r="H663" s="8"/>
      <c r="I663" s="205"/>
      <c r="J663" s="205"/>
      <c r="K663" s="282"/>
      <c r="L663" s="233"/>
      <c r="M663" s="317"/>
    </row>
    <row r="664" spans="1:13" x14ac:dyDescent="0.3">
      <c r="A664" s="8"/>
      <c r="B664" s="175"/>
      <c r="C664" s="175"/>
      <c r="D664" s="175"/>
      <c r="E664" s="264"/>
      <c r="F664" s="265"/>
      <c r="H664" s="8"/>
      <c r="I664" s="205"/>
      <c r="J664" s="205"/>
      <c r="K664" s="282"/>
      <c r="L664" s="233"/>
      <c r="M664" s="317"/>
    </row>
    <row r="665" spans="1:13" x14ac:dyDescent="0.3">
      <c r="A665" s="8"/>
      <c r="B665" s="175"/>
      <c r="C665" s="175"/>
      <c r="D665" s="175"/>
      <c r="E665" s="264"/>
      <c r="F665" s="265"/>
      <c r="H665" s="8"/>
      <c r="I665" s="205"/>
      <c r="J665" s="205"/>
      <c r="K665" s="282"/>
      <c r="L665" s="233"/>
      <c r="M665" s="317"/>
    </row>
    <row r="666" spans="1:13" x14ac:dyDescent="0.3">
      <c r="A666" s="8"/>
      <c r="B666" s="175"/>
      <c r="C666" s="175"/>
      <c r="D666" s="175"/>
      <c r="E666" s="264"/>
      <c r="F666" s="265"/>
      <c r="H666" s="8"/>
      <c r="I666" s="205"/>
      <c r="J666" s="205"/>
      <c r="K666" s="282"/>
      <c r="L666" s="233"/>
      <c r="M666" s="317"/>
    </row>
    <row r="667" spans="1:13" x14ac:dyDescent="0.3">
      <c r="A667" s="8"/>
      <c r="B667" s="175"/>
      <c r="C667" s="175"/>
      <c r="D667" s="175"/>
      <c r="E667" s="264"/>
      <c r="F667" s="265"/>
      <c r="H667" s="8"/>
      <c r="I667" s="205"/>
      <c r="J667" s="205"/>
      <c r="K667" s="282"/>
      <c r="L667" s="233"/>
      <c r="M667" s="317"/>
    </row>
    <row r="668" spans="1:13" x14ac:dyDescent="0.3">
      <c r="A668" s="8"/>
      <c r="B668" s="175"/>
      <c r="C668" s="175"/>
      <c r="D668" s="175"/>
      <c r="E668" s="264"/>
      <c r="F668" s="265"/>
      <c r="H668" s="8"/>
      <c r="I668" s="205"/>
      <c r="J668" s="205"/>
      <c r="K668" s="282"/>
      <c r="L668" s="233"/>
      <c r="M668" s="317"/>
    </row>
    <row r="669" spans="1:13" x14ac:dyDescent="0.3">
      <c r="A669" s="8"/>
      <c r="B669" s="175"/>
      <c r="C669" s="175"/>
      <c r="D669" s="175"/>
      <c r="E669" s="264"/>
      <c r="F669" s="265"/>
      <c r="H669" s="8"/>
      <c r="I669" s="205"/>
      <c r="J669" s="205"/>
      <c r="K669" s="282"/>
      <c r="L669" s="233"/>
      <c r="M669" s="317"/>
    </row>
    <row r="670" spans="1:13" x14ac:dyDescent="0.3">
      <c r="A670" s="8"/>
      <c r="B670" s="175"/>
      <c r="C670" s="175"/>
      <c r="D670" s="175"/>
      <c r="E670" s="264"/>
      <c r="F670" s="265"/>
      <c r="H670" s="8"/>
      <c r="I670" s="205"/>
      <c r="J670" s="205"/>
      <c r="K670" s="282"/>
      <c r="L670" s="233"/>
      <c r="M670" s="317"/>
    </row>
    <row r="671" spans="1:13" x14ac:dyDescent="0.3">
      <c r="A671" s="8"/>
      <c r="B671" s="175"/>
      <c r="C671" s="175"/>
      <c r="D671" s="175"/>
      <c r="E671" s="264"/>
      <c r="F671" s="265"/>
      <c r="H671" s="8"/>
      <c r="I671" s="205"/>
      <c r="J671" s="205"/>
      <c r="K671" s="282"/>
      <c r="L671" s="233"/>
      <c r="M671" s="317"/>
    </row>
    <row r="672" spans="1:13" x14ac:dyDescent="0.3">
      <c r="A672" s="8"/>
      <c r="B672" s="175"/>
      <c r="C672" s="175"/>
      <c r="D672" s="175"/>
      <c r="E672" s="264"/>
      <c r="F672" s="265"/>
      <c r="H672" s="8"/>
      <c r="I672" s="205"/>
      <c r="J672" s="205"/>
      <c r="K672" s="282"/>
      <c r="L672" s="233"/>
      <c r="M672" s="317"/>
    </row>
    <row r="673" spans="1:13" x14ac:dyDescent="0.3">
      <c r="A673" s="8"/>
      <c r="B673" s="175"/>
      <c r="C673" s="175"/>
      <c r="D673" s="175"/>
      <c r="E673" s="264"/>
      <c r="F673" s="265"/>
      <c r="H673" s="8"/>
      <c r="I673" s="205"/>
      <c r="J673" s="205"/>
      <c r="K673" s="282"/>
      <c r="L673" s="233"/>
      <c r="M673" s="317"/>
    </row>
    <row r="674" spans="1:13" x14ac:dyDescent="0.3">
      <c r="A674" s="8"/>
      <c r="B674" s="175"/>
      <c r="C674" s="175"/>
      <c r="D674" s="175"/>
      <c r="E674" s="264"/>
      <c r="F674" s="265"/>
      <c r="H674" s="8"/>
      <c r="I674" s="205"/>
      <c r="J674" s="205"/>
      <c r="K674" s="282"/>
      <c r="L674" s="233"/>
      <c r="M674" s="317"/>
    </row>
    <row r="675" spans="1:13" x14ac:dyDescent="0.3">
      <c r="A675" s="8"/>
      <c r="B675" s="175"/>
      <c r="C675" s="175"/>
      <c r="D675" s="175"/>
      <c r="E675" s="264"/>
      <c r="F675" s="265"/>
      <c r="H675" s="8"/>
      <c r="I675" s="205"/>
      <c r="J675" s="205"/>
      <c r="K675" s="282"/>
      <c r="L675" s="233"/>
      <c r="M675" s="317"/>
    </row>
    <row r="676" spans="1:13" x14ac:dyDescent="0.3">
      <c r="A676" s="8"/>
      <c r="B676" s="175"/>
      <c r="C676" s="175"/>
      <c r="D676" s="175"/>
      <c r="E676" s="264"/>
      <c r="F676" s="265"/>
      <c r="H676" s="8"/>
      <c r="I676" s="205"/>
      <c r="J676" s="205"/>
      <c r="K676" s="282"/>
      <c r="L676" s="233"/>
      <c r="M676" s="317"/>
    </row>
    <row r="677" spans="1:13" x14ac:dyDescent="0.3">
      <c r="A677" s="8"/>
      <c r="B677" s="175"/>
      <c r="C677" s="175"/>
      <c r="D677" s="175"/>
      <c r="E677" s="264"/>
      <c r="F677" s="265"/>
      <c r="H677" s="8"/>
      <c r="I677" s="205"/>
      <c r="J677" s="205"/>
      <c r="K677" s="282"/>
      <c r="L677" s="233"/>
      <c r="M677" s="317"/>
    </row>
    <row r="678" spans="1:13" x14ac:dyDescent="0.3">
      <c r="A678" s="8"/>
      <c r="B678" s="175"/>
      <c r="C678" s="175"/>
      <c r="D678" s="175"/>
      <c r="E678" s="264"/>
      <c r="F678" s="265"/>
      <c r="H678" s="8"/>
      <c r="I678" s="205"/>
      <c r="J678" s="205"/>
      <c r="K678" s="282"/>
      <c r="L678" s="233"/>
      <c r="M678" s="317"/>
    </row>
    <row r="679" spans="1:13" x14ac:dyDescent="0.3">
      <c r="A679" s="8"/>
      <c r="B679" s="175"/>
      <c r="C679" s="175"/>
      <c r="D679" s="175"/>
      <c r="E679" s="264"/>
      <c r="F679" s="265"/>
      <c r="H679" s="8"/>
      <c r="I679" s="205"/>
      <c r="J679" s="205"/>
      <c r="K679" s="282"/>
      <c r="L679" s="233"/>
      <c r="M679" s="317"/>
    </row>
    <row r="680" spans="1:13" x14ac:dyDescent="0.3">
      <c r="A680" s="8"/>
      <c r="B680" s="175"/>
      <c r="C680" s="175"/>
      <c r="D680" s="175"/>
      <c r="E680" s="264"/>
      <c r="F680" s="265"/>
      <c r="H680" s="8"/>
      <c r="I680" s="205"/>
      <c r="J680" s="205"/>
      <c r="K680" s="282"/>
      <c r="L680" s="233"/>
      <c r="M680" s="317"/>
    </row>
    <row r="681" spans="1:13" x14ac:dyDescent="0.3">
      <c r="A681" s="8"/>
      <c r="B681" s="175"/>
      <c r="C681" s="175"/>
      <c r="D681" s="175"/>
      <c r="E681" s="264"/>
      <c r="F681" s="265"/>
      <c r="H681" s="8"/>
      <c r="I681" s="205"/>
      <c r="J681" s="205"/>
      <c r="K681" s="282"/>
      <c r="L681" s="233"/>
      <c r="M681" s="317"/>
    </row>
    <row r="682" spans="1:13" x14ac:dyDescent="0.3">
      <c r="A682" s="8"/>
      <c r="B682" s="175"/>
      <c r="C682" s="175"/>
      <c r="D682" s="175"/>
      <c r="E682" s="264"/>
      <c r="F682" s="265"/>
      <c r="H682" s="8"/>
      <c r="I682" s="205"/>
      <c r="J682" s="205"/>
      <c r="K682" s="282"/>
      <c r="L682" s="233"/>
      <c r="M682" s="317"/>
    </row>
    <row r="683" spans="1:13" x14ac:dyDescent="0.3">
      <c r="A683" s="8"/>
      <c r="B683" s="175"/>
      <c r="C683" s="175"/>
      <c r="D683" s="175"/>
      <c r="E683" s="264"/>
      <c r="F683" s="265"/>
      <c r="H683" s="8"/>
      <c r="I683" s="205"/>
      <c r="J683" s="205"/>
      <c r="K683" s="282"/>
      <c r="L683" s="233"/>
      <c r="M683" s="317"/>
    </row>
    <row r="684" spans="1:13" x14ac:dyDescent="0.3">
      <c r="A684" s="8"/>
      <c r="B684" s="175"/>
      <c r="C684" s="175"/>
      <c r="D684" s="175"/>
      <c r="E684" s="264"/>
      <c r="F684" s="265"/>
      <c r="H684" s="8"/>
      <c r="I684" s="205"/>
      <c r="J684" s="205"/>
      <c r="K684" s="282"/>
      <c r="L684" s="233"/>
      <c r="M684" s="317"/>
    </row>
    <row r="685" spans="1:13" x14ac:dyDescent="0.3">
      <c r="A685" s="8"/>
      <c r="B685" s="175"/>
      <c r="C685" s="175"/>
      <c r="D685" s="175"/>
      <c r="E685" s="264"/>
      <c r="F685" s="265"/>
      <c r="H685" s="8"/>
      <c r="I685" s="205"/>
      <c r="J685" s="205"/>
      <c r="K685" s="282"/>
      <c r="L685" s="233"/>
      <c r="M685" s="317"/>
    </row>
    <row r="686" spans="1:13" x14ac:dyDescent="0.3">
      <c r="A686" s="8"/>
      <c r="B686" s="175"/>
      <c r="C686" s="175"/>
      <c r="D686" s="175"/>
      <c r="E686" s="264"/>
      <c r="F686" s="265"/>
      <c r="H686" s="8"/>
      <c r="I686" s="205"/>
      <c r="J686" s="205"/>
      <c r="K686" s="282"/>
      <c r="L686" s="233"/>
      <c r="M686" s="317"/>
    </row>
    <row r="687" spans="1:13" x14ac:dyDescent="0.3">
      <c r="A687" s="8"/>
      <c r="B687" s="175"/>
      <c r="C687" s="175"/>
      <c r="D687" s="175"/>
      <c r="E687" s="264"/>
      <c r="F687" s="265"/>
      <c r="H687" s="8"/>
      <c r="I687" s="205"/>
      <c r="J687" s="205"/>
      <c r="K687" s="282"/>
      <c r="L687" s="233"/>
      <c r="M687" s="317"/>
    </row>
    <row r="688" spans="1:13" x14ac:dyDescent="0.3">
      <c r="A688" s="8"/>
      <c r="B688" s="175"/>
      <c r="C688" s="175"/>
      <c r="D688" s="175"/>
      <c r="E688" s="264"/>
      <c r="F688" s="265"/>
      <c r="H688" s="8"/>
      <c r="I688" s="205"/>
      <c r="J688" s="205"/>
      <c r="K688" s="282"/>
      <c r="L688" s="233"/>
      <c r="M688" s="317"/>
    </row>
    <row r="689" spans="1:13" x14ac:dyDescent="0.3">
      <c r="A689" s="8"/>
      <c r="B689" s="175"/>
      <c r="C689" s="175"/>
      <c r="D689" s="175"/>
      <c r="E689" s="264"/>
      <c r="F689" s="265"/>
      <c r="H689" s="8"/>
      <c r="I689" s="205"/>
      <c r="J689" s="205"/>
      <c r="K689" s="282"/>
      <c r="L689" s="233"/>
      <c r="M689" s="317"/>
    </row>
    <row r="690" spans="1:13" x14ac:dyDescent="0.3">
      <c r="A690" s="8"/>
      <c r="B690" s="175"/>
      <c r="C690" s="175"/>
      <c r="D690" s="175"/>
      <c r="E690" s="264"/>
      <c r="F690" s="265"/>
      <c r="H690" s="8"/>
      <c r="I690" s="205"/>
      <c r="J690" s="205"/>
      <c r="K690" s="282"/>
      <c r="L690" s="233"/>
      <c r="M690" s="317"/>
    </row>
    <row r="691" spans="1:13" x14ac:dyDescent="0.3">
      <c r="A691" s="8"/>
      <c r="B691" s="175"/>
      <c r="C691" s="175"/>
      <c r="D691" s="175"/>
      <c r="E691" s="264"/>
      <c r="F691" s="265"/>
      <c r="H691" s="8"/>
      <c r="I691" s="205"/>
      <c r="J691" s="205"/>
      <c r="K691" s="282"/>
      <c r="L691" s="233"/>
      <c r="M691" s="317"/>
    </row>
    <row r="692" spans="1:13" x14ac:dyDescent="0.3">
      <c r="A692" s="8"/>
      <c r="B692" s="175"/>
      <c r="C692" s="175"/>
      <c r="D692" s="175"/>
      <c r="E692" s="264"/>
      <c r="F692" s="265"/>
      <c r="H692" s="8"/>
      <c r="I692" s="205"/>
      <c r="J692" s="205"/>
      <c r="K692" s="282"/>
      <c r="L692" s="233"/>
      <c r="M692" s="317"/>
    </row>
    <row r="693" spans="1:13" x14ac:dyDescent="0.3">
      <c r="A693" s="8"/>
      <c r="B693" s="175"/>
      <c r="C693" s="175"/>
      <c r="D693" s="175"/>
      <c r="E693" s="264"/>
      <c r="F693" s="265"/>
      <c r="H693" s="8"/>
      <c r="I693" s="205"/>
      <c r="J693" s="205"/>
      <c r="K693" s="282"/>
      <c r="L693" s="233"/>
      <c r="M693" s="317"/>
    </row>
    <row r="694" spans="1:13" x14ac:dyDescent="0.3">
      <c r="A694" s="8"/>
      <c r="B694" s="175"/>
      <c r="C694" s="175"/>
      <c r="D694" s="175"/>
      <c r="E694" s="264"/>
      <c r="F694" s="265"/>
      <c r="H694" s="8"/>
      <c r="I694" s="205"/>
      <c r="J694" s="205"/>
      <c r="K694" s="282"/>
      <c r="L694" s="233"/>
      <c r="M694" s="317"/>
    </row>
    <row r="695" spans="1:13" x14ac:dyDescent="0.3">
      <c r="A695" s="8"/>
      <c r="B695" s="175"/>
      <c r="C695" s="175"/>
      <c r="D695" s="175"/>
      <c r="E695" s="264"/>
      <c r="F695" s="265"/>
      <c r="H695" s="8"/>
      <c r="I695" s="205"/>
      <c r="J695" s="205"/>
      <c r="K695" s="282"/>
      <c r="L695" s="233"/>
      <c r="M695" s="317"/>
    </row>
    <row r="696" spans="1:13" x14ac:dyDescent="0.3">
      <c r="A696" s="8"/>
      <c r="B696" s="175"/>
      <c r="C696" s="175"/>
      <c r="D696" s="175"/>
      <c r="E696" s="264"/>
      <c r="F696" s="265"/>
      <c r="H696" s="8"/>
      <c r="I696" s="205"/>
      <c r="J696" s="205"/>
      <c r="K696" s="282"/>
      <c r="L696" s="233"/>
      <c r="M696" s="317"/>
    </row>
    <row r="697" spans="1:13" x14ac:dyDescent="0.3">
      <c r="A697" s="8"/>
      <c r="B697" s="175"/>
      <c r="C697" s="175"/>
      <c r="D697" s="175"/>
      <c r="E697" s="264"/>
      <c r="F697" s="265"/>
      <c r="H697" s="8"/>
      <c r="I697" s="205"/>
      <c r="J697" s="205"/>
      <c r="K697" s="282"/>
      <c r="L697" s="233"/>
      <c r="M697" s="317"/>
    </row>
    <row r="698" spans="1:13" x14ac:dyDescent="0.3">
      <c r="A698" s="8"/>
      <c r="B698" s="175"/>
      <c r="C698" s="175"/>
      <c r="D698" s="175"/>
      <c r="E698" s="264"/>
      <c r="F698" s="265"/>
      <c r="H698" s="8"/>
      <c r="I698" s="205"/>
      <c r="J698" s="205"/>
      <c r="K698" s="282"/>
      <c r="L698" s="233"/>
      <c r="M698" s="317"/>
    </row>
    <row r="699" spans="1:13" x14ac:dyDescent="0.3">
      <c r="A699" s="8"/>
      <c r="B699" s="175"/>
      <c r="C699" s="175"/>
      <c r="D699" s="175"/>
      <c r="E699" s="264"/>
      <c r="F699" s="265"/>
      <c r="H699" s="8"/>
      <c r="I699" s="205"/>
      <c r="J699" s="205"/>
      <c r="K699" s="282"/>
      <c r="L699" s="233"/>
      <c r="M699" s="317"/>
    </row>
    <row r="700" spans="1:13" x14ac:dyDescent="0.3">
      <c r="A700" s="8"/>
      <c r="B700" s="175"/>
      <c r="C700" s="175"/>
      <c r="D700" s="175"/>
      <c r="E700" s="264"/>
      <c r="F700" s="265"/>
      <c r="H700" s="8"/>
      <c r="I700" s="205"/>
      <c r="J700" s="205"/>
      <c r="K700" s="282"/>
      <c r="L700" s="233"/>
      <c r="M700" s="317"/>
    </row>
    <row r="701" spans="1:13" x14ac:dyDescent="0.3">
      <c r="A701" s="8"/>
      <c r="B701" s="175"/>
      <c r="C701" s="175"/>
      <c r="D701" s="175"/>
      <c r="E701" s="264"/>
      <c r="F701" s="265"/>
      <c r="H701" s="8"/>
      <c r="I701" s="205"/>
      <c r="J701" s="205"/>
      <c r="K701" s="282"/>
      <c r="L701" s="233"/>
      <c r="M701" s="317"/>
    </row>
    <row r="702" spans="1:13" x14ac:dyDescent="0.3">
      <c r="A702" s="8"/>
      <c r="B702" s="175"/>
      <c r="C702" s="175"/>
      <c r="D702" s="175"/>
      <c r="E702" s="264"/>
      <c r="F702" s="265"/>
      <c r="H702" s="8"/>
      <c r="I702" s="205"/>
      <c r="J702" s="205"/>
      <c r="K702" s="282"/>
      <c r="L702" s="233"/>
      <c r="M702" s="317"/>
    </row>
    <row r="703" spans="1:13" x14ac:dyDescent="0.3">
      <c r="A703" s="8"/>
      <c r="B703" s="175"/>
      <c r="C703" s="175"/>
      <c r="D703" s="175"/>
      <c r="E703" s="264"/>
      <c r="F703" s="265"/>
      <c r="H703" s="8"/>
      <c r="I703" s="205"/>
      <c r="J703" s="205"/>
      <c r="K703" s="282"/>
      <c r="L703" s="233"/>
      <c r="M703" s="317"/>
    </row>
    <row r="704" spans="1:13" x14ac:dyDescent="0.3">
      <c r="A704" s="8"/>
      <c r="B704" s="175"/>
      <c r="C704" s="175"/>
      <c r="D704" s="175"/>
      <c r="E704" s="264"/>
      <c r="F704" s="265"/>
      <c r="H704" s="8"/>
      <c r="I704" s="205"/>
      <c r="J704" s="205"/>
      <c r="K704" s="282"/>
      <c r="L704" s="233"/>
      <c r="M704" s="317"/>
    </row>
    <row r="705" spans="1:13" x14ac:dyDescent="0.3">
      <c r="A705" s="8"/>
      <c r="B705" s="175"/>
      <c r="C705" s="175"/>
      <c r="D705" s="175"/>
      <c r="E705" s="264"/>
      <c r="F705" s="265"/>
      <c r="H705" s="8"/>
      <c r="I705" s="205"/>
      <c r="J705" s="205"/>
      <c r="K705" s="282"/>
      <c r="L705" s="233"/>
      <c r="M705" s="317"/>
    </row>
    <row r="706" spans="1:13" x14ac:dyDescent="0.3">
      <c r="A706" s="8"/>
      <c r="B706" s="175"/>
      <c r="C706" s="175"/>
      <c r="D706" s="175"/>
      <c r="E706" s="264"/>
      <c r="F706" s="265"/>
      <c r="H706" s="8"/>
      <c r="I706" s="205"/>
      <c r="J706" s="205"/>
      <c r="K706" s="282"/>
      <c r="L706" s="233"/>
      <c r="M706" s="317"/>
    </row>
    <row r="707" spans="1:13" x14ac:dyDescent="0.3">
      <c r="A707" s="8"/>
      <c r="B707" s="175"/>
      <c r="C707" s="175"/>
      <c r="D707" s="175"/>
      <c r="E707" s="264"/>
      <c r="F707" s="265"/>
      <c r="H707" s="8"/>
      <c r="I707" s="205"/>
      <c r="J707" s="205"/>
      <c r="K707" s="282"/>
      <c r="L707" s="233"/>
      <c r="M707" s="317"/>
    </row>
    <row r="708" spans="1:13" x14ac:dyDescent="0.3">
      <c r="A708" s="8"/>
      <c r="B708" s="175"/>
      <c r="C708" s="175"/>
      <c r="D708" s="175"/>
      <c r="E708" s="264"/>
      <c r="F708" s="265"/>
      <c r="H708" s="8"/>
      <c r="I708" s="205"/>
      <c r="J708" s="205"/>
      <c r="K708" s="282"/>
      <c r="L708" s="233"/>
      <c r="M708" s="317"/>
    </row>
    <row r="709" spans="1:13" x14ac:dyDescent="0.3">
      <c r="A709" s="8"/>
      <c r="B709" s="175"/>
      <c r="C709" s="175"/>
      <c r="D709" s="175"/>
      <c r="E709" s="264"/>
      <c r="F709" s="265"/>
      <c r="H709" s="8"/>
      <c r="I709" s="205"/>
      <c r="J709" s="205"/>
      <c r="K709" s="282"/>
      <c r="L709" s="233"/>
      <c r="M709" s="317"/>
    </row>
    <row r="710" spans="1:13" x14ac:dyDescent="0.3">
      <c r="A710" s="8"/>
      <c r="B710" s="175"/>
      <c r="C710" s="175"/>
      <c r="D710" s="175"/>
      <c r="E710" s="264"/>
      <c r="F710" s="265"/>
      <c r="H710" s="8"/>
      <c r="I710" s="205"/>
      <c r="J710" s="205"/>
      <c r="K710" s="282"/>
      <c r="L710" s="233"/>
      <c r="M710" s="317"/>
    </row>
    <row r="711" spans="1:13" x14ac:dyDescent="0.3">
      <c r="A711" s="8"/>
      <c r="B711" s="175"/>
      <c r="C711" s="175"/>
      <c r="D711" s="175"/>
      <c r="E711" s="264"/>
      <c r="F711" s="265"/>
      <c r="H711" s="8"/>
      <c r="I711" s="205"/>
      <c r="J711" s="205"/>
      <c r="K711" s="282"/>
      <c r="L711" s="233"/>
      <c r="M711" s="317"/>
    </row>
    <row r="712" spans="1:13" x14ac:dyDescent="0.3">
      <c r="A712" s="8"/>
      <c r="B712" s="175"/>
      <c r="C712" s="175"/>
      <c r="D712" s="175"/>
      <c r="E712" s="264"/>
      <c r="F712" s="265"/>
      <c r="H712" s="8"/>
      <c r="I712" s="205"/>
      <c r="J712" s="205"/>
      <c r="K712" s="282"/>
      <c r="L712" s="233"/>
      <c r="M712" s="317"/>
    </row>
    <row r="713" spans="1:13" x14ac:dyDescent="0.3">
      <c r="A713" s="8"/>
      <c r="B713" s="175"/>
      <c r="C713" s="175"/>
      <c r="D713" s="175"/>
      <c r="E713" s="264"/>
      <c r="F713" s="265"/>
      <c r="H713" s="8"/>
      <c r="I713" s="205"/>
      <c r="J713" s="205"/>
      <c r="K713" s="282"/>
      <c r="L713" s="233"/>
      <c r="M713" s="317"/>
    </row>
    <row r="714" spans="1:13" x14ac:dyDescent="0.3">
      <c r="A714" s="8"/>
      <c r="B714" s="175"/>
      <c r="C714" s="175"/>
      <c r="D714" s="175"/>
      <c r="E714" s="264"/>
      <c r="F714" s="265"/>
      <c r="H714" s="8"/>
      <c r="I714" s="205"/>
      <c r="J714" s="205"/>
      <c r="K714" s="282"/>
      <c r="L714" s="233"/>
      <c r="M714" s="317"/>
    </row>
    <row r="715" spans="1:13" x14ac:dyDescent="0.3">
      <c r="A715" s="8"/>
      <c r="B715" s="175"/>
      <c r="C715" s="175"/>
      <c r="D715" s="175"/>
      <c r="E715" s="264"/>
      <c r="F715" s="265"/>
      <c r="H715" s="8"/>
      <c r="I715" s="205"/>
      <c r="J715" s="205"/>
      <c r="K715" s="282"/>
      <c r="L715" s="233"/>
      <c r="M715" s="317"/>
    </row>
    <row r="716" spans="1:13" x14ac:dyDescent="0.3">
      <c r="A716" s="8"/>
      <c r="B716" s="175"/>
      <c r="C716" s="175"/>
      <c r="D716" s="175"/>
      <c r="E716" s="264"/>
      <c r="F716" s="265"/>
      <c r="H716" s="8"/>
      <c r="I716" s="205"/>
      <c r="J716" s="205"/>
      <c r="K716" s="282"/>
      <c r="L716" s="233"/>
      <c r="M716" s="317"/>
    </row>
    <row r="717" spans="1:13" x14ac:dyDescent="0.3">
      <c r="A717" s="8"/>
      <c r="B717" s="175"/>
      <c r="C717" s="175"/>
      <c r="D717" s="175"/>
      <c r="E717" s="264"/>
      <c r="F717" s="265"/>
      <c r="H717" s="8"/>
      <c r="I717" s="205"/>
      <c r="J717" s="205"/>
      <c r="K717" s="282"/>
      <c r="L717" s="233"/>
      <c r="M717" s="317"/>
    </row>
    <row r="718" spans="1:13" x14ac:dyDescent="0.3">
      <c r="A718" s="8"/>
      <c r="B718" s="175"/>
      <c r="C718" s="175"/>
      <c r="D718" s="175"/>
      <c r="E718" s="264"/>
      <c r="F718" s="265"/>
      <c r="H718" s="8"/>
      <c r="I718" s="205"/>
      <c r="J718" s="205"/>
      <c r="K718" s="282"/>
      <c r="L718" s="233"/>
      <c r="M718" s="317"/>
    </row>
    <row r="719" spans="1:13" x14ac:dyDescent="0.3">
      <c r="A719" s="8"/>
      <c r="B719" s="175"/>
      <c r="C719" s="175"/>
      <c r="D719" s="175"/>
      <c r="E719" s="264"/>
      <c r="F719" s="265"/>
      <c r="H719" s="8"/>
      <c r="I719" s="205"/>
      <c r="J719" s="205"/>
      <c r="K719" s="282"/>
      <c r="L719" s="233"/>
      <c r="M719" s="317"/>
    </row>
    <row r="720" spans="1:13" x14ac:dyDescent="0.3">
      <c r="A720" s="8"/>
      <c r="B720" s="175"/>
      <c r="C720" s="175"/>
      <c r="D720" s="175"/>
      <c r="E720" s="264"/>
      <c r="F720" s="265"/>
      <c r="H720" s="8"/>
      <c r="I720" s="205"/>
      <c r="J720" s="205"/>
      <c r="K720" s="282"/>
      <c r="L720" s="233"/>
      <c r="M720" s="317"/>
    </row>
    <row r="721" spans="1:13" x14ac:dyDescent="0.3">
      <c r="A721" s="8"/>
      <c r="B721" s="175"/>
      <c r="C721" s="175"/>
      <c r="D721" s="175"/>
      <c r="E721" s="264"/>
      <c r="F721" s="265"/>
      <c r="H721" s="8"/>
      <c r="I721" s="205"/>
      <c r="J721" s="205"/>
      <c r="K721" s="282"/>
      <c r="L721" s="233"/>
      <c r="M721" s="317"/>
    </row>
    <row r="722" spans="1:13" x14ac:dyDescent="0.3">
      <c r="A722" s="8"/>
      <c r="B722" s="175"/>
      <c r="C722" s="175"/>
      <c r="D722" s="175"/>
      <c r="E722" s="264"/>
      <c r="F722" s="265"/>
      <c r="H722" s="8"/>
      <c r="I722" s="205"/>
      <c r="J722" s="205"/>
      <c r="K722" s="282"/>
      <c r="L722" s="233"/>
      <c r="M722" s="317"/>
    </row>
    <row r="723" spans="1:13" x14ac:dyDescent="0.3">
      <c r="A723" s="8"/>
      <c r="B723" s="175"/>
      <c r="C723" s="175"/>
      <c r="D723" s="175"/>
      <c r="E723" s="264"/>
      <c r="F723" s="265"/>
      <c r="H723" s="8"/>
      <c r="I723" s="205"/>
      <c r="J723" s="205"/>
      <c r="K723" s="282"/>
      <c r="L723" s="233"/>
      <c r="M723" s="317"/>
    </row>
    <row r="724" spans="1:13" x14ac:dyDescent="0.3">
      <c r="A724" s="8"/>
      <c r="B724" s="175"/>
      <c r="C724" s="175"/>
      <c r="D724" s="175"/>
      <c r="E724" s="264"/>
      <c r="F724" s="265"/>
      <c r="H724" s="8"/>
      <c r="I724" s="205"/>
      <c r="J724" s="205"/>
      <c r="K724" s="282"/>
      <c r="L724" s="233"/>
      <c r="M724" s="317"/>
    </row>
    <row r="725" spans="1:13" x14ac:dyDescent="0.3">
      <c r="A725" s="8"/>
      <c r="B725" s="175"/>
      <c r="C725" s="175"/>
      <c r="D725" s="175"/>
      <c r="E725" s="264"/>
      <c r="F725" s="265"/>
      <c r="H725" s="8"/>
      <c r="I725" s="205"/>
      <c r="J725" s="205"/>
      <c r="K725" s="282"/>
      <c r="L725" s="233"/>
      <c r="M725" s="317"/>
    </row>
    <row r="726" spans="1:13" x14ac:dyDescent="0.3">
      <c r="A726" s="8"/>
      <c r="B726" s="175"/>
      <c r="C726" s="175"/>
      <c r="D726" s="175"/>
      <c r="E726" s="264"/>
      <c r="F726" s="265"/>
      <c r="H726" s="8"/>
      <c r="I726" s="205"/>
      <c r="J726" s="205"/>
      <c r="K726" s="282"/>
      <c r="L726" s="233"/>
      <c r="M726" s="317"/>
    </row>
    <row r="727" spans="1:13" x14ac:dyDescent="0.3">
      <c r="A727" s="8"/>
      <c r="B727" s="175"/>
      <c r="C727" s="175"/>
      <c r="D727" s="175"/>
      <c r="E727" s="264"/>
      <c r="F727" s="265"/>
      <c r="H727" s="8"/>
      <c r="I727" s="205"/>
      <c r="J727" s="205"/>
      <c r="K727" s="282"/>
      <c r="L727" s="233"/>
      <c r="M727" s="317"/>
    </row>
    <row r="728" spans="1:13" x14ac:dyDescent="0.3">
      <c r="A728" s="8"/>
      <c r="B728" s="175"/>
      <c r="C728" s="175"/>
      <c r="D728" s="175"/>
      <c r="E728" s="264"/>
      <c r="F728" s="265"/>
      <c r="H728" s="8"/>
      <c r="I728" s="205"/>
      <c r="J728" s="205"/>
      <c r="K728" s="282"/>
      <c r="L728" s="233"/>
      <c r="M728" s="317"/>
    </row>
    <row r="729" spans="1:13" x14ac:dyDescent="0.3">
      <c r="A729" s="8"/>
      <c r="B729" s="175"/>
      <c r="C729" s="175"/>
      <c r="D729" s="175"/>
      <c r="E729" s="264"/>
      <c r="F729" s="265"/>
      <c r="H729" s="8"/>
      <c r="I729" s="205"/>
      <c r="J729" s="205"/>
      <c r="K729" s="282"/>
      <c r="L729" s="233"/>
      <c r="M729" s="317"/>
    </row>
    <row r="730" spans="1:13" x14ac:dyDescent="0.3">
      <c r="A730" s="8"/>
      <c r="B730" s="175"/>
      <c r="C730" s="175"/>
      <c r="D730" s="175"/>
      <c r="E730" s="264"/>
      <c r="F730" s="265"/>
      <c r="H730" s="8"/>
      <c r="I730" s="205"/>
      <c r="J730" s="205"/>
      <c r="K730" s="282"/>
      <c r="L730" s="233"/>
      <c r="M730" s="317"/>
    </row>
    <row r="731" spans="1:13" x14ac:dyDescent="0.3">
      <c r="A731" s="8"/>
      <c r="B731" s="175"/>
      <c r="C731" s="175"/>
      <c r="D731" s="175"/>
      <c r="E731" s="264"/>
      <c r="F731" s="265"/>
      <c r="H731" s="8"/>
      <c r="I731" s="205"/>
      <c r="J731" s="205"/>
      <c r="K731" s="282"/>
      <c r="L731" s="233"/>
      <c r="M731" s="317"/>
    </row>
    <row r="732" spans="1:13" x14ac:dyDescent="0.3">
      <c r="A732" s="8"/>
      <c r="B732" s="175"/>
      <c r="C732" s="175"/>
      <c r="D732" s="175"/>
      <c r="E732" s="264"/>
      <c r="F732" s="265"/>
      <c r="H732" s="8"/>
      <c r="I732" s="205"/>
      <c r="J732" s="205"/>
      <c r="K732" s="282"/>
      <c r="L732" s="233"/>
      <c r="M732" s="317"/>
    </row>
    <row r="733" spans="1:13" x14ac:dyDescent="0.3">
      <c r="A733" s="8"/>
      <c r="B733" s="175"/>
      <c r="C733" s="175"/>
      <c r="D733" s="175"/>
      <c r="E733" s="264"/>
      <c r="F733" s="265"/>
      <c r="H733" s="8"/>
      <c r="I733" s="205"/>
      <c r="J733" s="205"/>
      <c r="K733" s="282"/>
      <c r="L733" s="233"/>
      <c r="M733" s="317"/>
    </row>
    <row r="734" spans="1:13" x14ac:dyDescent="0.3">
      <c r="A734" s="8"/>
      <c r="B734" s="175"/>
      <c r="C734" s="175"/>
      <c r="D734" s="175"/>
      <c r="E734" s="264"/>
      <c r="F734" s="265"/>
      <c r="H734" s="8"/>
      <c r="I734" s="205"/>
      <c r="J734" s="205"/>
      <c r="K734" s="282"/>
      <c r="L734" s="233"/>
      <c r="M734" s="317"/>
    </row>
    <row r="735" spans="1:13" x14ac:dyDescent="0.3">
      <c r="A735" s="8"/>
      <c r="B735" s="175"/>
      <c r="C735" s="175"/>
      <c r="D735" s="175"/>
      <c r="E735" s="264"/>
      <c r="F735" s="265"/>
      <c r="H735" s="8"/>
      <c r="I735" s="205"/>
      <c r="J735" s="205"/>
      <c r="K735" s="282"/>
      <c r="L735" s="233"/>
      <c r="M735" s="317"/>
    </row>
    <row r="736" spans="1:13" x14ac:dyDescent="0.3">
      <c r="A736" s="8"/>
      <c r="B736" s="175"/>
      <c r="C736" s="175"/>
      <c r="D736" s="175"/>
      <c r="E736" s="264"/>
      <c r="F736" s="265"/>
      <c r="H736" s="8"/>
      <c r="I736" s="205"/>
      <c r="J736" s="205"/>
      <c r="K736" s="282"/>
      <c r="L736" s="233"/>
      <c r="M736" s="317"/>
    </row>
    <row r="737" spans="1:13" x14ac:dyDescent="0.3">
      <c r="A737" s="8"/>
      <c r="B737" s="175"/>
      <c r="C737" s="175"/>
      <c r="D737" s="175"/>
      <c r="E737" s="264"/>
      <c r="F737" s="265"/>
      <c r="H737" s="8"/>
      <c r="I737" s="205"/>
      <c r="J737" s="205"/>
      <c r="K737" s="282"/>
      <c r="L737" s="233"/>
      <c r="M737" s="317"/>
    </row>
    <row r="738" spans="1:13" x14ac:dyDescent="0.3">
      <c r="A738" s="8"/>
      <c r="B738" s="175"/>
      <c r="C738" s="175"/>
      <c r="D738" s="175"/>
      <c r="E738" s="264"/>
      <c r="F738" s="265"/>
      <c r="H738" s="8"/>
      <c r="I738" s="205"/>
      <c r="J738" s="205"/>
      <c r="K738" s="282"/>
      <c r="L738" s="233"/>
      <c r="M738" s="317"/>
    </row>
    <row r="739" spans="1:13" x14ac:dyDescent="0.3">
      <c r="A739" s="8"/>
      <c r="B739" s="175"/>
      <c r="C739" s="175"/>
      <c r="D739" s="175"/>
      <c r="E739" s="264"/>
      <c r="F739" s="265"/>
      <c r="H739" s="8"/>
      <c r="I739" s="205"/>
      <c r="J739" s="205"/>
      <c r="K739" s="282"/>
      <c r="L739" s="233"/>
      <c r="M739" s="317"/>
    </row>
    <row r="740" spans="1:13" x14ac:dyDescent="0.3">
      <c r="A740" s="8"/>
      <c r="B740" s="175"/>
      <c r="C740" s="175"/>
      <c r="D740" s="175"/>
      <c r="E740" s="264"/>
      <c r="F740" s="265"/>
      <c r="H740" s="8"/>
      <c r="I740" s="205"/>
      <c r="J740" s="205"/>
      <c r="K740" s="282"/>
      <c r="L740" s="233"/>
      <c r="M740" s="317"/>
    </row>
    <row r="741" spans="1:13" x14ac:dyDescent="0.3">
      <c r="A741" s="8"/>
      <c r="B741" s="175"/>
      <c r="C741" s="175"/>
      <c r="D741" s="175"/>
      <c r="E741" s="264"/>
      <c r="F741" s="265"/>
      <c r="H741" s="8"/>
      <c r="I741" s="205"/>
      <c r="J741" s="205"/>
      <c r="K741" s="282"/>
      <c r="L741" s="233"/>
      <c r="M741" s="317"/>
    </row>
    <row r="742" spans="1:13" x14ac:dyDescent="0.3">
      <c r="A742" s="8"/>
      <c r="B742" s="175"/>
      <c r="C742" s="175"/>
      <c r="D742" s="175"/>
      <c r="E742" s="264"/>
      <c r="F742" s="265"/>
      <c r="H742" s="8"/>
      <c r="I742" s="205"/>
      <c r="J742" s="205"/>
      <c r="K742" s="282"/>
      <c r="L742" s="233"/>
      <c r="M742" s="317"/>
    </row>
    <row r="743" spans="1:13" x14ac:dyDescent="0.3">
      <c r="A743" s="8"/>
      <c r="B743" s="175"/>
      <c r="C743" s="175"/>
      <c r="D743" s="175"/>
      <c r="E743" s="264"/>
      <c r="F743" s="265"/>
      <c r="H743" s="8"/>
      <c r="I743" s="205"/>
      <c r="J743" s="205"/>
      <c r="K743" s="282"/>
      <c r="L743" s="233"/>
      <c r="M743" s="317"/>
    </row>
    <row r="744" spans="1:13" x14ac:dyDescent="0.3">
      <c r="A744" s="8"/>
      <c r="B744" s="175"/>
      <c r="C744" s="175"/>
      <c r="D744" s="175"/>
      <c r="E744" s="264"/>
      <c r="F744" s="265"/>
      <c r="H744" s="8"/>
      <c r="I744" s="205"/>
      <c r="J744" s="205"/>
      <c r="K744" s="282"/>
      <c r="L744" s="233"/>
      <c r="M744" s="317"/>
    </row>
    <row r="745" spans="1:13" x14ac:dyDescent="0.3">
      <c r="A745" s="8"/>
      <c r="B745" s="175"/>
      <c r="C745" s="175"/>
      <c r="D745" s="175"/>
      <c r="E745" s="264"/>
      <c r="F745" s="265"/>
      <c r="H745" s="8"/>
      <c r="I745" s="205"/>
      <c r="J745" s="205"/>
      <c r="K745" s="282"/>
      <c r="L745" s="233"/>
      <c r="M745" s="317"/>
    </row>
    <row r="746" spans="1:13" x14ac:dyDescent="0.3">
      <c r="A746" s="8"/>
      <c r="B746" s="175"/>
      <c r="C746" s="175"/>
      <c r="D746" s="175"/>
      <c r="E746" s="264"/>
      <c r="F746" s="265"/>
      <c r="H746" s="8"/>
      <c r="I746" s="205"/>
      <c r="J746" s="205"/>
      <c r="K746" s="282"/>
      <c r="L746" s="233"/>
      <c r="M746" s="317"/>
    </row>
    <row r="747" spans="1:13" x14ac:dyDescent="0.3">
      <c r="A747" s="8"/>
      <c r="B747" s="175"/>
      <c r="C747" s="175"/>
      <c r="D747" s="175"/>
      <c r="E747" s="264"/>
      <c r="F747" s="265"/>
      <c r="H747" s="8"/>
      <c r="I747" s="205"/>
      <c r="J747" s="205"/>
      <c r="K747" s="282"/>
      <c r="L747" s="233"/>
      <c r="M747" s="317"/>
    </row>
    <row r="748" spans="1:13" x14ac:dyDescent="0.3">
      <c r="A748" s="8"/>
      <c r="B748" s="175"/>
      <c r="C748" s="175"/>
      <c r="D748" s="175"/>
      <c r="E748" s="264"/>
      <c r="F748" s="265"/>
      <c r="H748" s="8"/>
      <c r="I748" s="205"/>
      <c r="J748" s="205"/>
      <c r="K748" s="282"/>
      <c r="L748" s="233"/>
      <c r="M748" s="317"/>
    </row>
    <row r="749" spans="1:13" x14ac:dyDescent="0.3">
      <c r="A749" s="8"/>
      <c r="B749" s="175"/>
      <c r="C749" s="175"/>
      <c r="D749" s="175"/>
      <c r="E749" s="264"/>
      <c r="F749" s="265"/>
      <c r="H749" s="8"/>
      <c r="I749" s="205"/>
      <c r="J749" s="205"/>
      <c r="K749" s="282"/>
      <c r="L749" s="233"/>
      <c r="M749" s="317"/>
    </row>
    <row r="750" spans="1:13" x14ac:dyDescent="0.3">
      <c r="A750" s="8"/>
      <c r="B750" s="175"/>
      <c r="C750" s="175"/>
      <c r="D750" s="175"/>
      <c r="E750" s="264"/>
      <c r="F750" s="265"/>
      <c r="H750" s="8"/>
      <c r="I750" s="205"/>
      <c r="J750" s="205"/>
      <c r="K750" s="282"/>
      <c r="L750" s="233"/>
      <c r="M750" s="317"/>
    </row>
    <row r="751" spans="1:13" x14ac:dyDescent="0.3">
      <c r="A751" s="8"/>
      <c r="B751" s="175"/>
      <c r="C751" s="175"/>
      <c r="D751" s="175"/>
      <c r="E751" s="264"/>
      <c r="F751" s="265"/>
      <c r="H751" s="8"/>
      <c r="I751" s="205"/>
      <c r="J751" s="205"/>
      <c r="K751" s="282"/>
      <c r="L751" s="233"/>
      <c r="M751" s="317"/>
    </row>
    <row r="752" spans="1:13" x14ac:dyDescent="0.3">
      <c r="A752" s="8"/>
      <c r="B752" s="175"/>
      <c r="C752" s="175"/>
      <c r="D752" s="175"/>
      <c r="E752" s="264"/>
      <c r="F752" s="265"/>
      <c r="H752" s="8"/>
      <c r="I752" s="205"/>
      <c r="J752" s="205"/>
      <c r="K752" s="282"/>
      <c r="L752" s="233"/>
      <c r="M752" s="317"/>
    </row>
    <row r="753" spans="1:13" x14ac:dyDescent="0.3">
      <c r="A753" s="8"/>
      <c r="B753" s="175"/>
      <c r="C753" s="175"/>
      <c r="D753" s="175"/>
      <c r="E753" s="264"/>
      <c r="F753" s="265"/>
      <c r="H753" s="8"/>
      <c r="I753" s="205"/>
      <c r="J753" s="205"/>
      <c r="K753" s="282"/>
      <c r="L753" s="233"/>
      <c r="M753" s="317"/>
    </row>
    <row r="754" spans="1:13" x14ac:dyDescent="0.3">
      <c r="A754" s="8"/>
      <c r="B754" s="175"/>
      <c r="C754" s="175"/>
      <c r="D754" s="175"/>
      <c r="E754" s="264"/>
      <c r="F754" s="265"/>
      <c r="H754" s="8"/>
      <c r="I754" s="205"/>
      <c r="J754" s="205"/>
      <c r="K754" s="282"/>
      <c r="L754" s="233"/>
      <c r="M754" s="317"/>
    </row>
    <row r="755" spans="1:13" x14ac:dyDescent="0.3">
      <c r="A755" s="8"/>
      <c r="B755" s="175"/>
      <c r="C755" s="175"/>
      <c r="D755" s="175"/>
      <c r="E755" s="264"/>
      <c r="F755" s="265"/>
      <c r="H755" s="8"/>
      <c r="I755" s="205"/>
      <c r="J755" s="205"/>
      <c r="K755" s="282"/>
      <c r="L755" s="233"/>
      <c r="M755" s="317"/>
    </row>
    <row r="756" spans="1:13" x14ac:dyDescent="0.3">
      <c r="A756" s="8"/>
      <c r="B756" s="175"/>
      <c r="C756" s="175"/>
      <c r="D756" s="175"/>
      <c r="E756" s="264"/>
      <c r="F756" s="265"/>
      <c r="H756" s="8"/>
      <c r="I756" s="205"/>
      <c r="J756" s="205"/>
      <c r="K756" s="282"/>
      <c r="L756" s="233"/>
      <c r="M756" s="317"/>
    </row>
    <row r="757" spans="1:13" x14ac:dyDescent="0.3">
      <c r="A757" s="8"/>
      <c r="B757" s="175"/>
      <c r="C757" s="175"/>
      <c r="D757" s="175"/>
      <c r="E757" s="264"/>
      <c r="F757" s="265"/>
      <c r="H757" s="8"/>
      <c r="I757" s="205"/>
      <c r="J757" s="205"/>
      <c r="K757" s="282"/>
      <c r="L757" s="233"/>
      <c r="M757" s="317"/>
    </row>
    <row r="758" spans="1:13" x14ac:dyDescent="0.3">
      <c r="A758" s="8"/>
      <c r="B758" s="175"/>
      <c r="C758" s="175"/>
      <c r="D758" s="175"/>
      <c r="E758" s="264"/>
      <c r="F758" s="265"/>
      <c r="H758" s="8"/>
      <c r="I758" s="205"/>
      <c r="J758" s="205"/>
      <c r="K758" s="282"/>
      <c r="L758" s="233"/>
      <c r="M758" s="317"/>
    </row>
    <row r="759" spans="1:13" x14ac:dyDescent="0.3">
      <c r="A759" s="8"/>
      <c r="B759" s="175"/>
      <c r="C759" s="175"/>
      <c r="D759" s="175"/>
      <c r="E759" s="264"/>
      <c r="F759" s="265"/>
      <c r="H759" s="8"/>
      <c r="I759" s="205"/>
      <c r="J759" s="205"/>
      <c r="K759" s="282"/>
      <c r="L759" s="233"/>
      <c r="M759" s="317"/>
    </row>
    <row r="760" spans="1:13" x14ac:dyDescent="0.3">
      <c r="A760" s="8"/>
      <c r="B760" s="175"/>
      <c r="C760" s="175"/>
      <c r="D760" s="175"/>
      <c r="E760" s="264"/>
      <c r="F760" s="265"/>
      <c r="H760" s="8"/>
      <c r="I760" s="205"/>
      <c r="J760" s="205"/>
      <c r="K760" s="282"/>
      <c r="L760" s="233"/>
      <c r="M760" s="317"/>
    </row>
    <row r="761" spans="1:13" x14ac:dyDescent="0.3">
      <c r="A761" s="8"/>
      <c r="B761" s="175"/>
      <c r="C761" s="175"/>
      <c r="D761" s="175"/>
      <c r="E761" s="264"/>
      <c r="F761" s="265"/>
      <c r="H761" s="8"/>
      <c r="I761" s="205"/>
      <c r="J761" s="205"/>
      <c r="K761" s="282"/>
      <c r="L761" s="233"/>
      <c r="M761" s="317"/>
    </row>
    <row r="762" spans="1:13" x14ac:dyDescent="0.3">
      <c r="A762" s="8"/>
      <c r="B762" s="175"/>
      <c r="C762" s="175"/>
      <c r="D762" s="175"/>
      <c r="E762" s="264"/>
      <c r="F762" s="265"/>
      <c r="H762" s="8"/>
      <c r="I762" s="205"/>
      <c r="J762" s="205"/>
      <c r="K762" s="282"/>
      <c r="L762" s="233"/>
      <c r="M762" s="317"/>
    </row>
    <row r="763" spans="1:13" x14ac:dyDescent="0.3">
      <c r="A763" s="8"/>
      <c r="B763" s="175"/>
      <c r="C763" s="175"/>
      <c r="D763" s="175"/>
      <c r="E763" s="264"/>
      <c r="F763" s="265"/>
      <c r="H763" s="8"/>
      <c r="I763" s="205"/>
      <c r="J763" s="205"/>
      <c r="K763" s="282"/>
      <c r="L763" s="233"/>
      <c r="M763" s="317"/>
    </row>
    <row r="764" spans="1:13" x14ac:dyDescent="0.3">
      <c r="A764" s="8"/>
      <c r="B764" s="175"/>
      <c r="C764" s="175"/>
      <c r="D764" s="175"/>
      <c r="E764" s="264"/>
      <c r="F764" s="265"/>
      <c r="H764" s="8"/>
      <c r="I764" s="205"/>
      <c r="J764" s="205"/>
      <c r="K764" s="282"/>
      <c r="L764" s="233"/>
      <c r="M764" s="317"/>
    </row>
    <row r="765" spans="1:13" x14ac:dyDescent="0.3">
      <c r="A765" s="8"/>
      <c r="B765" s="175"/>
      <c r="C765" s="175"/>
      <c r="D765" s="175"/>
      <c r="E765" s="264"/>
      <c r="F765" s="265"/>
      <c r="H765" s="8"/>
      <c r="I765" s="205"/>
      <c r="J765" s="205"/>
      <c r="K765" s="282"/>
      <c r="L765" s="233"/>
      <c r="M765" s="317"/>
    </row>
    <row r="766" spans="1:13" x14ac:dyDescent="0.3">
      <c r="A766" s="8"/>
      <c r="B766" s="175"/>
      <c r="C766" s="175"/>
      <c r="D766" s="175"/>
      <c r="E766" s="264"/>
      <c r="F766" s="265"/>
      <c r="H766" s="8"/>
      <c r="I766" s="205"/>
      <c r="J766" s="205"/>
      <c r="K766" s="282"/>
      <c r="L766" s="233"/>
      <c r="M766" s="317"/>
    </row>
    <row r="767" spans="1:13" x14ac:dyDescent="0.3">
      <c r="A767" s="8"/>
      <c r="B767" s="175"/>
      <c r="C767" s="175"/>
      <c r="D767" s="175"/>
      <c r="E767" s="264"/>
      <c r="F767" s="265"/>
      <c r="H767" s="8"/>
      <c r="I767" s="205"/>
      <c r="J767" s="205"/>
      <c r="K767" s="282"/>
      <c r="L767" s="233"/>
      <c r="M767" s="317"/>
    </row>
    <row r="768" spans="1:13" x14ac:dyDescent="0.3">
      <c r="A768" s="8"/>
      <c r="B768" s="175"/>
      <c r="C768" s="175"/>
      <c r="D768" s="175"/>
      <c r="E768" s="264"/>
      <c r="F768" s="265"/>
      <c r="H768" s="8"/>
      <c r="I768" s="205"/>
      <c r="J768" s="205"/>
      <c r="K768" s="282"/>
      <c r="L768" s="233"/>
      <c r="M768" s="317"/>
    </row>
    <row r="769" spans="1:13" x14ac:dyDescent="0.3">
      <c r="A769" s="8"/>
      <c r="B769" s="175"/>
      <c r="C769" s="175"/>
      <c r="D769" s="175"/>
      <c r="E769" s="264"/>
      <c r="F769" s="265"/>
      <c r="H769" s="8"/>
      <c r="I769" s="205"/>
      <c r="J769" s="205"/>
      <c r="K769" s="282"/>
      <c r="L769" s="233"/>
      <c r="M769" s="317"/>
    </row>
    <row r="770" spans="1:13" x14ac:dyDescent="0.3">
      <c r="A770" s="8"/>
      <c r="B770" s="175"/>
      <c r="C770" s="175"/>
      <c r="D770" s="175"/>
      <c r="E770" s="264"/>
      <c r="F770" s="265"/>
      <c r="H770" s="8"/>
      <c r="I770" s="205"/>
      <c r="J770" s="205"/>
      <c r="K770" s="282"/>
      <c r="L770" s="233"/>
      <c r="M770" s="317"/>
    </row>
    <row r="771" spans="1:13" x14ac:dyDescent="0.3">
      <c r="A771" s="8"/>
      <c r="B771" s="175"/>
      <c r="C771" s="175"/>
      <c r="D771" s="175"/>
      <c r="E771" s="264"/>
      <c r="F771" s="265"/>
      <c r="H771" s="8"/>
      <c r="I771" s="205"/>
      <c r="J771" s="205"/>
      <c r="K771" s="282"/>
      <c r="L771" s="233"/>
      <c r="M771" s="317"/>
    </row>
    <row r="772" spans="1:13" x14ac:dyDescent="0.3">
      <c r="A772" s="46"/>
      <c r="B772" s="80"/>
      <c r="C772" s="80"/>
      <c r="D772" s="80"/>
      <c r="E772" s="259"/>
      <c r="F772" s="250"/>
      <c r="H772" s="8"/>
      <c r="I772" s="205"/>
      <c r="J772" s="205"/>
      <c r="K772" s="282"/>
      <c r="L772" s="233"/>
      <c r="M772" s="317"/>
    </row>
    <row r="773" spans="1:13" x14ac:dyDescent="0.3">
      <c r="A773" s="46"/>
      <c r="B773" s="80"/>
      <c r="C773" s="80"/>
      <c r="D773" s="80"/>
      <c r="E773" s="259"/>
      <c r="F773" s="250"/>
      <c r="H773" s="8"/>
      <c r="I773" s="205"/>
      <c r="J773" s="205"/>
      <c r="K773" s="282"/>
      <c r="L773" s="233"/>
      <c r="M773" s="317"/>
    </row>
    <row r="774" spans="1:13" x14ac:dyDescent="0.3">
      <c r="A774" s="46"/>
      <c r="B774" s="80"/>
      <c r="C774" s="80"/>
      <c r="D774" s="80"/>
      <c r="E774" s="259"/>
      <c r="F774" s="250"/>
      <c r="H774" s="8"/>
      <c r="I774" s="205"/>
      <c r="J774" s="205"/>
      <c r="K774" s="282"/>
      <c r="L774" s="233"/>
      <c r="M774" s="317"/>
    </row>
    <row r="775" spans="1:13" x14ac:dyDescent="0.3">
      <c r="A775" s="46"/>
      <c r="B775" s="80"/>
      <c r="C775" s="80"/>
      <c r="D775" s="80"/>
      <c r="E775" s="259"/>
      <c r="F775" s="250"/>
      <c r="H775" s="8"/>
      <c r="I775" s="205"/>
      <c r="J775" s="205"/>
      <c r="K775" s="282"/>
      <c r="L775" s="233"/>
      <c r="M775" s="317"/>
    </row>
    <row r="776" spans="1:13" x14ac:dyDescent="0.3">
      <c r="A776" s="46"/>
      <c r="B776" s="80"/>
      <c r="C776" s="80"/>
      <c r="D776" s="80"/>
      <c r="E776" s="259"/>
      <c r="F776" s="250"/>
      <c r="H776" s="8"/>
      <c r="I776" s="205"/>
      <c r="J776" s="205"/>
      <c r="K776" s="282"/>
      <c r="L776" s="233"/>
      <c r="M776" s="317"/>
    </row>
    <row r="777" spans="1:13" x14ac:dyDescent="0.3">
      <c r="A777" s="46"/>
      <c r="B777" s="80"/>
      <c r="C777" s="80"/>
      <c r="D777" s="80"/>
      <c r="E777" s="259"/>
      <c r="F777" s="250"/>
      <c r="H777" s="8"/>
      <c r="I777" s="205"/>
      <c r="J777" s="205"/>
      <c r="K777" s="282"/>
      <c r="L777" s="233"/>
      <c r="M777" s="317"/>
    </row>
    <row r="778" spans="1:13" x14ac:dyDescent="0.3">
      <c r="A778" s="46"/>
      <c r="B778" s="80"/>
      <c r="C778" s="80"/>
      <c r="D778" s="80"/>
      <c r="E778" s="259"/>
      <c r="F778" s="250"/>
      <c r="H778" s="8"/>
      <c r="I778" s="205"/>
      <c r="J778" s="205"/>
      <c r="K778" s="282"/>
      <c r="L778" s="233"/>
      <c r="M778" s="317"/>
    </row>
    <row r="779" spans="1:13" x14ac:dyDescent="0.3">
      <c r="A779" s="46"/>
      <c r="B779" s="80"/>
      <c r="C779" s="80"/>
      <c r="D779" s="80"/>
      <c r="E779" s="259"/>
      <c r="F779" s="250"/>
      <c r="H779" s="8"/>
      <c r="I779" s="205"/>
      <c r="J779" s="205"/>
      <c r="K779" s="282"/>
      <c r="L779" s="233"/>
      <c r="M779" s="317"/>
    </row>
    <row r="780" spans="1:13" x14ac:dyDescent="0.3">
      <c r="A780" s="46"/>
      <c r="B780" s="80"/>
      <c r="C780" s="80"/>
      <c r="D780" s="80"/>
      <c r="E780" s="259"/>
      <c r="F780" s="250"/>
      <c r="H780" s="8"/>
      <c r="I780" s="205"/>
      <c r="J780" s="205"/>
      <c r="K780" s="282"/>
      <c r="L780" s="233"/>
      <c r="M780" s="317"/>
    </row>
    <row r="781" spans="1:13" x14ac:dyDescent="0.3">
      <c r="A781" s="46"/>
      <c r="B781" s="80"/>
      <c r="C781" s="80"/>
      <c r="D781" s="80"/>
      <c r="E781" s="259"/>
      <c r="F781" s="250"/>
      <c r="H781" s="8"/>
      <c r="I781" s="205"/>
      <c r="J781" s="205"/>
      <c r="K781" s="282"/>
      <c r="L781" s="233"/>
      <c r="M781" s="317"/>
    </row>
    <row r="782" spans="1:13" x14ac:dyDescent="0.3">
      <c r="A782" s="46"/>
      <c r="B782" s="80"/>
      <c r="C782" s="80"/>
      <c r="D782" s="80"/>
      <c r="E782" s="259"/>
      <c r="F782" s="250"/>
      <c r="H782" s="8"/>
      <c r="I782" s="205"/>
      <c r="J782" s="205"/>
      <c r="K782" s="282"/>
      <c r="L782" s="233"/>
      <c r="M782" s="317"/>
    </row>
    <row r="783" spans="1:13" x14ac:dyDescent="0.3">
      <c r="A783" s="46"/>
      <c r="B783" s="80"/>
      <c r="C783" s="80"/>
      <c r="D783" s="80"/>
      <c r="E783" s="259"/>
      <c r="F783" s="250"/>
      <c r="H783" s="8"/>
      <c r="I783" s="205"/>
      <c r="J783" s="205"/>
      <c r="K783" s="282"/>
      <c r="L783" s="233"/>
      <c r="M783" s="317"/>
    </row>
    <row r="784" spans="1:13" x14ac:dyDescent="0.3">
      <c r="A784" s="46"/>
      <c r="B784" s="80"/>
      <c r="C784" s="80"/>
      <c r="D784" s="80"/>
      <c r="E784" s="259"/>
      <c r="F784" s="250"/>
      <c r="H784" s="8"/>
      <c r="I784" s="205"/>
      <c r="J784" s="205"/>
      <c r="K784" s="282"/>
      <c r="L784" s="233"/>
      <c r="M784" s="317"/>
    </row>
    <row r="785" spans="1:13" x14ac:dyDescent="0.3">
      <c r="A785" s="46"/>
      <c r="B785" s="80"/>
      <c r="C785" s="80"/>
      <c r="D785" s="80"/>
      <c r="E785" s="259"/>
      <c r="F785" s="250"/>
      <c r="H785" s="8"/>
      <c r="I785" s="205"/>
      <c r="J785" s="205"/>
      <c r="K785" s="282"/>
      <c r="L785" s="233"/>
      <c r="M785" s="317"/>
    </row>
    <row r="786" spans="1:13" x14ac:dyDescent="0.3">
      <c r="A786" s="46"/>
      <c r="B786" s="80"/>
      <c r="C786" s="80"/>
      <c r="D786" s="80"/>
      <c r="E786" s="259"/>
      <c r="F786" s="250"/>
      <c r="H786" s="8"/>
      <c r="I786" s="205"/>
      <c r="J786" s="205"/>
      <c r="K786" s="282"/>
      <c r="L786" s="233"/>
      <c r="M786" s="317"/>
    </row>
    <row r="787" spans="1:13" x14ac:dyDescent="0.3">
      <c r="A787" s="46"/>
      <c r="B787" s="80"/>
      <c r="C787" s="80"/>
      <c r="D787" s="80"/>
      <c r="E787" s="259"/>
      <c r="F787" s="250"/>
      <c r="H787" s="8"/>
      <c r="I787" s="205"/>
      <c r="J787" s="205"/>
      <c r="K787" s="282"/>
      <c r="L787" s="233"/>
      <c r="M787" s="317"/>
    </row>
    <row r="788" spans="1:13" x14ac:dyDescent="0.3">
      <c r="A788" s="46"/>
      <c r="B788" s="80"/>
      <c r="C788" s="80"/>
      <c r="D788" s="80"/>
      <c r="E788" s="259"/>
      <c r="F788" s="250"/>
      <c r="H788" s="8"/>
      <c r="I788" s="205"/>
      <c r="J788" s="205"/>
      <c r="K788" s="282"/>
      <c r="L788" s="233"/>
      <c r="M788" s="317"/>
    </row>
    <row r="789" spans="1:13" x14ac:dyDescent="0.3">
      <c r="A789" s="46"/>
      <c r="B789" s="80"/>
      <c r="C789" s="80"/>
      <c r="D789" s="80"/>
      <c r="E789" s="259"/>
      <c r="F789" s="250"/>
      <c r="H789" s="8"/>
      <c r="I789" s="205"/>
      <c r="J789" s="205"/>
      <c r="K789" s="282"/>
      <c r="L789" s="233"/>
      <c r="M789" s="317"/>
    </row>
    <row r="790" spans="1:13" x14ac:dyDescent="0.3">
      <c r="A790" s="46"/>
      <c r="B790" s="80"/>
      <c r="C790" s="80"/>
      <c r="D790" s="80"/>
      <c r="E790" s="259"/>
      <c r="F790" s="250"/>
      <c r="H790" s="8"/>
      <c r="I790" s="205"/>
      <c r="J790" s="205"/>
      <c r="K790" s="282"/>
      <c r="L790" s="233"/>
      <c r="M790" s="317"/>
    </row>
    <row r="791" spans="1:13" x14ac:dyDescent="0.3">
      <c r="A791" s="46"/>
      <c r="B791" s="80"/>
      <c r="C791" s="80"/>
      <c r="D791" s="80"/>
      <c r="E791" s="259"/>
      <c r="F791" s="250"/>
      <c r="H791" s="8"/>
      <c r="I791" s="205"/>
      <c r="J791" s="205"/>
      <c r="K791" s="282"/>
      <c r="L791" s="233"/>
      <c r="M791" s="317"/>
    </row>
    <row r="792" spans="1:13" x14ac:dyDescent="0.3">
      <c r="A792" s="46"/>
      <c r="B792" s="80"/>
      <c r="C792" s="80"/>
      <c r="D792" s="80"/>
      <c r="E792" s="259"/>
      <c r="F792" s="250"/>
      <c r="H792" s="8"/>
      <c r="I792" s="205"/>
      <c r="J792" s="205"/>
      <c r="K792" s="282"/>
      <c r="L792" s="233"/>
      <c r="M792" s="317"/>
    </row>
    <row r="793" spans="1:13" x14ac:dyDescent="0.3">
      <c r="A793" s="46"/>
      <c r="B793" s="80"/>
      <c r="C793" s="80"/>
      <c r="D793" s="80"/>
      <c r="E793" s="259"/>
      <c r="F793" s="250"/>
      <c r="H793" s="8"/>
      <c r="I793" s="205"/>
      <c r="J793" s="205"/>
      <c r="K793" s="282"/>
      <c r="L793" s="233"/>
      <c r="M793" s="317"/>
    </row>
    <row r="794" spans="1:13" x14ac:dyDescent="0.3">
      <c r="A794" s="46"/>
      <c r="B794" s="80"/>
      <c r="C794" s="80"/>
      <c r="D794" s="80"/>
      <c r="E794" s="259"/>
      <c r="F794" s="250"/>
      <c r="H794" s="8"/>
      <c r="I794" s="205"/>
      <c r="J794" s="205"/>
      <c r="K794" s="282"/>
      <c r="L794" s="233"/>
      <c r="M794" s="317"/>
    </row>
    <row r="795" spans="1:13" x14ac:dyDescent="0.3">
      <c r="A795" s="46"/>
      <c r="B795" s="80"/>
      <c r="C795" s="80"/>
      <c r="D795" s="80"/>
      <c r="E795" s="259"/>
      <c r="F795" s="250"/>
      <c r="H795" s="8"/>
      <c r="I795" s="205"/>
      <c r="J795" s="205"/>
      <c r="K795" s="282"/>
      <c r="L795" s="233"/>
      <c r="M795" s="317"/>
    </row>
    <row r="796" spans="1:13" x14ac:dyDescent="0.3">
      <c r="A796" s="46"/>
      <c r="B796" s="80"/>
      <c r="C796" s="80"/>
      <c r="D796" s="80"/>
      <c r="E796" s="259"/>
      <c r="F796" s="250"/>
      <c r="H796" s="8"/>
      <c r="I796" s="205"/>
      <c r="J796" s="205"/>
      <c r="K796" s="282"/>
      <c r="L796" s="233"/>
      <c r="M796" s="317"/>
    </row>
    <row r="797" spans="1:13" x14ac:dyDescent="0.3">
      <c r="A797" s="46"/>
      <c r="B797" s="80"/>
      <c r="C797" s="80"/>
      <c r="D797" s="80"/>
      <c r="E797" s="259"/>
      <c r="F797" s="250"/>
      <c r="H797" s="8"/>
      <c r="I797" s="205"/>
      <c r="J797" s="205"/>
      <c r="K797" s="282"/>
      <c r="L797" s="233"/>
      <c r="M797" s="317"/>
    </row>
    <row r="798" spans="1:13" x14ac:dyDescent="0.3">
      <c r="A798" s="46"/>
      <c r="B798" s="80"/>
      <c r="C798" s="80"/>
      <c r="D798" s="80"/>
      <c r="E798" s="259"/>
      <c r="F798" s="250"/>
      <c r="H798" s="8"/>
      <c r="I798" s="205"/>
      <c r="J798" s="205"/>
      <c r="K798" s="282"/>
      <c r="L798" s="233"/>
      <c r="M798" s="317"/>
    </row>
    <row r="799" spans="1:13" x14ac:dyDescent="0.3">
      <c r="A799" s="46"/>
      <c r="B799" s="80"/>
      <c r="C799" s="80"/>
      <c r="D799" s="80"/>
      <c r="E799" s="259"/>
      <c r="F799" s="250"/>
      <c r="H799" s="8"/>
      <c r="I799" s="205"/>
      <c r="J799" s="205"/>
      <c r="K799" s="282"/>
      <c r="L799" s="233"/>
      <c r="M799" s="317"/>
    </row>
    <row r="800" spans="1:13" x14ac:dyDescent="0.3">
      <c r="A800" s="46"/>
      <c r="B800" s="80"/>
      <c r="C800" s="80"/>
      <c r="D800" s="80"/>
      <c r="E800" s="259"/>
      <c r="F800" s="250"/>
      <c r="H800" s="8"/>
      <c r="I800" s="205"/>
      <c r="J800" s="205"/>
      <c r="K800" s="282"/>
      <c r="L800" s="233"/>
      <c r="M800" s="317"/>
    </row>
    <row r="801" spans="1:13" x14ac:dyDescent="0.3">
      <c r="A801" s="46"/>
      <c r="B801" s="80"/>
      <c r="C801" s="80"/>
      <c r="D801" s="80"/>
      <c r="E801" s="259"/>
      <c r="F801" s="250"/>
      <c r="H801" s="8"/>
      <c r="I801" s="205"/>
      <c r="J801" s="205"/>
      <c r="K801" s="282"/>
      <c r="L801" s="233"/>
      <c r="M801" s="317"/>
    </row>
    <row r="802" spans="1:13" x14ac:dyDescent="0.3">
      <c r="A802" s="46"/>
      <c r="B802" s="80"/>
      <c r="C802" s="80"/>
      <c r="D802" s="80"/>
      <c r="E802" s="259"/>
      <c r="F802" s="250"/>
      <c r="H802" s="8"/>
      <c r="I802" s="205"/>
      <c r="J802" s="205"/>
      <c r="K802" s="282"/>
      <c r="L802" s="233"/>
      <c r="M802" s="317"/>
    </row>
    <row r="803" spans="1:13" x14ac:dyDescent="0.3">
      <c r="A803" s="46"/>
      <c r="B803" s="80"/>
      <c r="C803" s="80"/>
      <c r="D803" s="80"/>
      <c r="E803" s="259"/>
      <c r="F803" s="250"/>
      <c r="H803" s="8"/>
      <c r="I803" s="205"/>
      <c r="J803" s="205"/>
      <c r="K803" s="282"/>
      <c r="L803" s="233"/>
      <c r="M803" s="317"/>
    </row>
    <row r="804" spans="1:13" x14ac:dyDescent="0.3">
      <c r="A804" s="46"/>
      <c r="B804" s="80"/>
      <c r="C804" s="80"/>
      <c r="D804" s="80"/>
      <c r="E804" s="259"/>
      <c r="F804" s="250"/>
      <c r="H804" s="8"/>
      <c r="I804" s="205"/>
      <c r="J804" s="205"/>
      <c r="K804" s="282"/>
      <c r="L804" s="233"/>
      <c r="M804" s="317"/>
    </row>
    <row r="805" spans="1:13" x14ac:dyDescent="0.3">
      <c r="A805" s="46"/>
      <c r="B805" s="80"/>
      <c r="C805" s="80"/>
      <c r="D805" s="80"/>
      <c r="E805" s="259"/>
      <c r="F805" s="250"/>
      <c r="H805" s="8"/>
      <c r="I805" s="205"/>
      <c r="J805" s="205"/>
      <c r="K805" s="282"/>
      <c r="L805" s="233"/>
      <c r="M805" s="317"/>
    </row>
    <row r="806" spans="1:13" x14ac:dyDescent="0.3">
      <c r="A806" s="46"/>
      <c r="B806" s="80"/>
      <c r="C806" s="80"/>
      <c r="D806" s="80"/>
      <c r="E806" s="259"/>
      <c r="F806" s="250"/>
      <c r="H806" s="8"/>
      <c r="I806" s="205"/>
      <c r="J806" s="205"/>
      <c r="K806" s="282"/>
      <c r="L806" s="233"/>
      <c r="M806" s="317"/>
    </row>
    <row r="807" spans="1:13" x14ac:dyDescent="0.3">
      <c r="A807" s="46"/>
      <c r="B807" s="80"/>
      <c r="C807" s="80"/>
      <c r="D807" s="80"/>
      <c r="E807" s="259"/>
      <c r="F807" s="250"/>
      <c r="H807" s="8"/>
      <c r="I807" s="205"/>
      <c r="J807" s="205"/>
      <c r="K807" s="282"/>
      <c r="L807" s="233"/>
      <c r="M807" s="317"/>
    </row>
    <row r="808" spans="1:13" x14ac:dyDescent="0.3">
      <c r="A808" s="46"/>
      <c r="B808" s="80"/>
      <c r="C808" s="80"/>
      <c r="D808" s="80"/>
      <c r="E808" s="259"/>
      <c r="F808" s="250"/>
      <c r="H808" s="8"/>
      <c r="I808" s="205"/>
      <c r="J808" s="205"/>
      <c r="K808" s="282"/>
      <c r="L808" s="233"/>
      <c r="M808" s="317"/>
    </row>
    <row r="809" spans="1:13" x14ac:dyDescent="0.3">
      <c r="A809" s="46"/>
      <c r="B809" s="80"/>
      <c r="C809" s="80"/>
      <c r="D809" s="80"/>
      <c r="E809" s="259"/>
      <c r="F809" s="250"/>
      <c r="H809" s="8"/>
      <c r="I809" s="205"/>
      <c r="J809" s="205"/>
      <c r="K809" s="282"/>
      <c r="L809" s="233"/>
      <c r="M809" s="317"/>
    </row>
    <row r="810" spans="1:13" x14ac:dyDescent="0.3">
      <c r="A810" s="46"/>
      <c r="B810" s="80"/>
      <c r="C810" s="80"/>
      <c r="D810" s="80"/>
      <c r="E810" s="259"/>
      <c r="F810" s="250"/>
      <c r="H810" s="8"/>
      <c r="I810" s="205"/>
      <c r="J810" s="205"/>
      <c r="K810" s="282"/>
      <c r="L810" s="233"/>
      <c r="M810" s="317"/>
    </row>
    <row r="811" spans="1:13" x14ac:dyDescent="0.3">
      <c r="A811" s="46"/>
      <c r="B811" s="80"/>
      <c r="C811" s="80"/>
      <c r="D811" s="80"/>
      <c r="E811" s="259"/>
      <c r="F811" s="250"/>
      <c r="H811" s="8"/>
      <c r="I811" s="205"/>
      <c r="J811" s="205"/>
      <c r="K811" s="282"/>
      <c r="L811" s="233"/>
      <c r="M811" s="317"/>
    </row>
    <row r="812" spans="1:13" x14ac:dyDescent="0.3">
      <c r="A812" s="46"/>
      <c r="B812" s="80"/>
      <c r="C812" s="80"/>
      <c r="D812" s="80"/>
      <c r="E812" s="259"/>
      <c r="F812" s="250"/>
      <c r="H812" s="8"/>
      <c r="I812" s="205"/>
      <c r="J812" s="205"/>
      <c r="K812" s="282"/>
      <c r="L812" s="233"/>
      <c r="M812" s="317"/>
    </row>
    <row r="813" spans="1:13" x14ac:dyDescent="0.3">
      <c r="A813" s="46"/>
      <c r="B813" s="80"/>
      <c r="C813" s="80"/>
      <c r="D813" s="80"/>
      <c r="E813" s="259"/>
      <c r="F813" s="250"/>
      <c r="H813" s="8"/>
      <c r="I813" s="205"/>
      <c r="J813" s="205"/>
      <c r="K813" s="282"/>
      <c r="L813" s="233"/>
      <c r="M813" s="317"/>
    </row>
    <row r="814" spans="1:13" x14ac:dyDescent="0.3">
      <c r="A814" s="46"/>
      <c r="B814" s="80"/>
      <c r="C814" s="80"/>
      <c r="D814" s="80"/>
      <c r="E814" s="259"/>
      <c r="F814" s="250"/>
      <c r="H814" s="8"/>
      <c r="I814" s="205"/>
      <c r="J814" s="205"/>
      <c r="K814" s="282"/>
      <c r="L814" s="233"/>
      <c r="M814" s="317"/>
    </row>
    <row r="815" spans="1:13" x14ac:dyDescent="0.3">
      <c r="A815" s="46"/>
      <c r="B815" s="80"/>
      <c r="C815" s="80"/>
      <c r="D815" s="80"/>
      <c r="E815" s="259"/>
      <c r="F815" s="250"/>
      <c r="H815" s="8"/>
      <c r="I815" s="205"/>
      <c r="J815" s="205"/>
      <c r="K815" s="282"/>
      <c r="L815" s="233"/>
      <c r="M815" s="317"/>
    </row>
    <row r="816" spans="1:13" x14ac:dyDescent="0.3">
      <c r="A816" s="46"/>
      <c r="B816" s="80"/>
      <c r="C816" s="80"/>
      <c r="D816" s="80"/>
      <c r="E816" s="259"/>
      <c r="F816" s="250"/>
      <c r="H816" s="8"/>
      <c r="I816" s="205"/>
      <c r="J816" s="205"/>
      <c r="K816" s="282"/>
      <c r="L816" s="233"/>
      <c r="M816" s="317"/>
    </row>
    <row r="817" spans="1:13" x14ac:dyDescent="0.3">
      <c r="A817" s="46"/>
      <c r="B817" s="80"/>
      <c r="C817" s="80"/>
      <c r="D817" s="80"/>
      <c r="E817" s="259"/>
      <c r="F817" s="250"/>
      <c r="H817" s="8"/>
      <c r="I817" s="205"/>
      <c r="J817" s="205"/>
      <c r="K817" s="282"/>
      <c r="L817" s="233"/>
      <c r="M817" s="317"/>
    </row>
    <row r="818" spans="1:13" x14ac:dyDescent="0.3">
      <c r="A818" s="46"/>
      <c r="B818" s="80"/>
      <c r="C818" s="80"/>
      <c r="D818" s="80"/>
      <c r="E818" s="259"/>
      <c r="F818" s="250"/>
      <c r="H818" s="8"/>
      <c r="I818" s="205"/>
      <c r="J818" s="205"/>
      <c r="K818" s="282"/>
      <c r="L818" s="233"/>
      <c r="M818" s="317"/>
    </row>
    <row r="819" spans="1:13" x14ac:dyDescent="0.3">
      <c r="A819" s="46"/>
      <c r="B819" s="80"/>
      <c r="C819" s="80"/>
      <c r="D819" s="80"/>
      <c r="E819" s="259"/>
      <c r="F819" s="250"/>
      <c r="H819" s="8"/>
      <c r="I819" s="205"/>
      <c r="J819" s="205"/>
      <c r="K819" s="282"/>
      <c r="L819" s="233"/>
      <c r="M819" s="317"/>
    </row>
    <row r="820" spans="1:13" x14ac:dyDescent="0.3">
      <c r="A820" s="46"/>
      <c r="B820" s="80"/>
      <c r="C820" s="80"/>
      <c r="D820" s="80"/>
      <c r="E820" s="259"/>
      <c r="F820" s="250"/>
      <c r="H820" s="8"/>
      <c r="I820" s="205"/>
      <c r="J820" s="205"/>
      <c r="K820" s="282"/>
      <c r="L820" s="233"/>
      <c r="M820" s="317"/>
    </row>
    <row r="821" spans="1:13" x14ac:dyDescent="0.3">
      <c r="A821" s="46"/>
      <c r="B821" s="80"/>
      <c r="C821" s="80"/>
      <c r="D821" s="80"/>
      <c r="E821" s="259"/>
      <c r="F821" s="250"/>
      <c r="H821" s="8"/>
      <c r="I821" s="205"/>
      <c r="J821" s="205"/>
      <c r="K821" s="282"/>
      <c r="L821" s="233"/>
      <c r="M821" s="317"/>
    </row>
    <row r="822" spans="1:13" x14ac:dyDescent="0.3">
      <c r="A822" s="46"/>
      <c r="B822" s="80"/>
      <c r="C822" s="80"/>
      <c r="D822" s="80"/>
      <c r="E822" s="259"/>
      <c r="F822" s="250"/>
      <c r="H822" s="8"/>
      <c r="I822" s="205"/>
      <c r="J822" s="205"/>
      <c r="K822" s="282"/>
      <c r="L822" s="233"/>
      <c r="M822" s="317"/>
    </row>
    <row r="823" spans="1:13" x14ac:dyDescent="0.3">
      <c r="A823" s="46"/>
      <c r="B823" s="80"/>
      <c r="C823" s="80"/>
      <c r="D823" s="80"/>
      <c r="E823" s="259"/>
      <c r="F823" s="250"/>
      <c r="H823" s="8"/>
      <c r="I823" s="205"/>
      <c r="J823" s="205"/>
      <c r="K823" s="282"/>
      <c r="L823" s="233"/>
      <c r="M823" s="317"/>
    </row>
    <row r="824" spans="1:13" x14ac:dyDescent="0.3">
      <c r="A824" s="46"/>
      <c r="B824" s="80"/>
      <c r="C824" s="80"/>
      <c r="D824" s="80"/>
      <c r="E824" s="259"/>
      <c r="F824" s="250"/>
      <c r="H824" s="8"/>
      <c r="I824" s="205"/>
      <c r="J824" s="205"/>
      <c r="K824" s="282"/>
      <c r="L824" s="233"/>
      <c r="M824" s="317"/>
    </row>
    <row r="825" spans="1:13" x14ac:dyDescent="0.3">
      <c r="A825" s="46"/>
      <c r="B825" s="80"/>
      <c r="C825" s="80"/>
      <c r="D825" s="80"/>
      <c r="E825" s="259"/>
      <c r="F825" s="250"/>
      <c r="H825" s="8"/>
      <c r="I825" s="205"/>
      <c r="J825" s="205"/>
      <c r="K825" s="282"/>
      <c r="L825" s="233"/>
      <c r="M825" s="317"/>
    </row>
    <row r="826" spans="1:13" x14ac:dyDescent="0.3">
      <c r="A826" s="46"/>
      <c r="B826" s="80"/>
      <c r="C826" s="80"/>
      <c r="D826" s="80"/>
      <c r="E826" s="259"/>
      <c r="F826" s="250"/>
      <c r="H826" s="8"/>
      <c r="I826" s="205"/>
      <c r="J826" s="205"/>
      <c r="K826" s="282"/>
      <c r="L826" s="233"/>
      <c r="M826" s="317"/>
    </row>
    <row r="827" spans="1:13" x14ac:dyDescent="0.3">
      <c r="A827" s="46"/>
      <c r="B827" s="80"/>
      <c r="C827" s="80"/>
      <c r="D827" s="80"/>
      <c r="E827" s="259"/>
      <c r="F827" s="250"/>
      <c r="H827" s="8"/>
      <c r="I827" s="205"/>
      <c r="J827" s="205"/>
      <c r="K827" s="282"/>
      <c r="L827" s="233"/>
      <c r="M827" s="317"/>
    </row>
    <row r="828" spans="1:13" x14ac:dyDescent="0.3">
      <c r="A828" s="46"/>
      <c r="B828" s="80"/>
      <c r="C828" s="80"/>
      <c r="D828" s="80"/>
      <c r="E828" s="259"/>
      <c r="F828" s="250"/>
      <c r="H828" s="8"/>
      <c r="I828" s="205"/>
      <c r="J828" s="205"/>
      <c r="K828" s="282"/>
      <c r="L828" s="233"/>
      <c r="M828" s="317"/>
    </row>
    <row r="829" spans="1:13" x14ac:dyDescent="0.3">
      <c r="A829" s="46"/>
      <c r="B829" s="80"/>
      <c r="C829" s="80"/>
      <c r="D829" s="80"/>
      <c r="E829" s="259"/>
      <c r="F829" s="250"/>
      <c r="H829" s="8"/>
      <c r="I829" s="205"/>
      <c r="J829" s="205"/>
      <c r="K829" s="282"/>
      <c r="L829" s="233"/>
      <c r="M829" s="317"/>
    </row>
    <row r="830" spans="1:13" x14ac:dyDescent="0.3">
      <c r="A830" s="46"/>
      <c r="B830" s="80"/>
      <c r="C830" s="80"/>
      <c r="D830" s="80"/>
      <c r="E830" s="259"/>
      <c r="F830" s="250"/>
      <c r="H830" s="8"/>
      <c r="I830" s="205"/>
      <c r="J830" s="205"/>
      <c r="K830" s="282"/>
      <c r="L830" s="233"/>
      <c r="M830" s="317"/>
    </row>
    <row r="831" spans="1:13" x14ac:dyDescent="0.3">
      <c r="A831" s="46"/>
      <c r="B831" s="80"/>
      <c r="C831" s="80"/>
      <c r="D831" s="80"/>
      <c r="E831" s="259"/>
      <c r="F831" s="250"/>
      <c r="H831" s="8"/>
      <c r="I831" s="205"/>
      <c r="J831" s="205"/>
      <c r="K831" s="282"/>
      <c r="L831" s="233"/>
      <c r="M831" s="317"/>
    </row>
    <row r="832" spans="1:13" x14ac:dyDescent="0.3">
      <c r="A832" s="46"/>
      <c r="B832" s="80"/>
      <c r="C832" s="80"/>
      <c r="D832" s="80"/>
      <c r="E832" s="259"/>
      <c r="F832" s="250"/>
      <c r="H832" s="8"/>
      <c r="I832" s="205"/>
      <c r="J832" s="205"/>
      <c r="K832" s="282"/>
      <c r="L832" s="233"/>
      <c r="M832" s="317"/>
    </row>
    <row r="833" spans="1:13" x14ac:dyDescent="0.3">
      <c r="A833" s="46"/>
      <c r="B833" s="80"/>
      <c r="C833" s="80"/>
      <c r="D833" s="80"/>
      <c r="E833" s="259"/>
      <c r="F833" s="250"/>
      <c r="H833" s="8"/>
      <c r="I833" s="205"/>
      <c r="J833" s="205"/>
      <c r="K833" s="282"/>
      <c r="L833" s="233"/>
      <c r="M833" s="317"/>
    </row>
    <row r="834" spans="1:13" x14ac:dyDescent="0.3">
      <c r="A834" s="46"/>
      <c r="B834" s="80"/>
      <c r="C834" s="80"/>
      <c r="D834" s="80"/>
      <c r="E834" s="259"/>
      <c r="F834" s="250"/>
      <c r="H834" s="8"/>
      <c r="I834" s="205"/>
      <c r="J834" s="205"/>
      <c r="K834" s="282"/>
      <c r="L834" s="233"/>
      <c r="M834" s="317"/>
    </row>
    <row r="835" spans="1:13" x14ac:dyDescent="0.3">
      <c r="A835" s="46"/>
      <c r="B835" s="80"/>
      <c r="C835" s="80"/>
      <c r="D835" s="80"/>
      <c r="E835" s="259"/>
      <c r="F835" s="250"/>
      <c r="H835" s="8"/>
      <c r="I835" s="205"/>
      <c r="J835" s="205"/>
      <c r="K835" s="282"/>
      <c r="L835" s="233"/>
      <c r="M835" s="317"/>
    </row>
    <row r="836" spans="1:13" x14ac:dyDescent="0.3">
      <c r="A836" s="46"/>
      <c r="B836" s="80"/>
      <c r="C836" s="80"/>
      <c r="D836" s="80"/>
      <c r="E836" s="259"/>
      <c r="F836" s="250"/>
      <c r="H836" s="8"/>
      <c r="I836" s="205"/>
      <c r="J836" s="205"/>
      <c r="K836" s="282"/>
      <c r="L836" s="233"/>
      <c r="M836" s="317"/>
    </row>
    <row r="837" spans="1:13" x14ac:dyDescent="0.3">
      <c r="A837" s="46"/>
      <c r="B837" s="80"/>
      <c r="C837" s="80"/>
      <c r="D837" s="80"/>
      <c r="E837" s="259"/>
      <c r="F837" s="250"/>
      <c r="H837" s="8"/>
      <c r="I837" s="205"/>
      <c r="J837" s="205"/>
      <c r="K837" s="282"/>
      <c r="L837" s="233"/>
      <c r="M837" s="317"/>
    </row>
    <row r="838" spans="1:13" x14ac:dyDescent="0.3">
      <c r="A838" s="46"/>
      <c r="B838" s="80"/>
      <c r="C838" s="80"/>
      <c r="D838" s="80"/>
      <c r="E838" s="259"/>
      <c r="F838" s="250"/>
      <c r="H838" s="8"/>
      <c r="I838" s="205"/>
      <c r="J838" s="205"/>
      <c r="K838" s="282"/>
      <c r="L838" s="233"/>
      <c r="M838" s="317"/>
    </row>
    <row r="839" spans="1:13" x14ac:dyDescent="0.3">
      <c r="A839" s="46"/>
      <c r="B839" s="80"/>
      <c r="C839" s="80"/>
      <c r="D839" s="80"/>
      <c r="E839" s="259"/>
      <c r="F839" s="250"/>
      <c r="H839" s="8"/>
      <c r="I839" s="205"/>
      <c r="J839" s="205"/>
      <c r="K839" s="282"/>
      <c r="L839" s="233"/>
      <c r="M839" s="317"/>
    </row>
    <row r="840" spans="1:13" x14ac:dyDescent="0.3">
      <c r="A840" s="46"/>
      <c r="B840" s="80"/>
      <c r="C840" s="80"/>
      <c r="D840" s="80"/>
      <c r="E840" s="259"/>
      <c r="F840" s="250"/>
      <c r="H840" s="8"/>
      <c r="I840" s="205"/>
      <c r="J840" s="205"/>
      <c r="K840" s="282"/>
      <c r="L840" s="233"/>
      <c r="M840" s="317"/>
    </row>
    <row r="841" spans="1:13" x14ac:dyDescent="0.3">
      <c r="A841" s="46"/>
      <c r="B841" s="80"/>
      <c r="C841" s="80"/>
      <c r="D841" s="80"/>
      <c r="E841" s="259"/>
      <c r="F841" s="250"/>
      <c r="H841" s="8"/>
      <c r="I841" s="205"/>
      <c r="J841" s="205"/>
      <c r="K841" s="282"/>
      <c r="L841" s="233"/>
      <c r="M841" s="317"/>
    </row>
    <row r="842" spans="1:13" x14ac:dyDescent="0.3">
      <c r="A842" s="46"/>
      <c r="B842" s="80"/>
      <c r="C842" s="80"/>
      <c r="D842" s="80"/>
      <c r="E842" s="259"/>
      <c r="F842" s="250"/>
      <c r="H842" s="8"/>
      <c r="I842" s="205"/>
      <c r="J842" s="205"/>
      <c r="K842" s="282"/>
      <c r="L842" s="233"/>
      <c r="M842" s="317"/>
    </row>
    <row r="843" spans="1:13" x14ac:dyDescent="0.3">
      <c r="A843" s="46"/>
      <c r="B843" s="80"/>
      <c r="C843" s="80"/>
      <c r="D843" s="80"/>
      <c r="E843" s="259"/>
      <c r="F843" s="250"/>
      <c r="H843" s="8"/>
      <c r="I843" s="205"/>
      <c r="J843" s="205"/>
      <c r="K843" s="282"/>
      <c r="L843" s="233"/>
      <c r="M843" s="317"/>
    </row>
    <row r="844" spans="1:13" x14ac:dyDescent="0.3">
      <c r="A844" s="46"/>
      <c r="B844" s="80"/>
      <c r="C844" s="80"/>
      <c r="D844" s="80"/>
      <c r="E844" s="259"/>
      <c r="F844" s="250"/>
      <c r="H844" s="8"/>
      <c r="I844" s="205"/>
      <c r="J844" s="205"/>
      <c r="K844" s="282"/>
      <c r="L844" s="233"/>
      <c r="M844" s="317"/>
    </row>
    <row r="845" spans="1:13" x14ac:dyDescent="0.3">
      <c r="A845" s="46"/>
      <c r="B845" s="80"/>
      <c r="C845" s="80"/>
      <c r="D845" s="80"/>
      <c r="E845" s="259"/>
      <c r="F845" s="250"/>
      <c r="H845" s="8"/>
      <c r="I845" s="205"/>
      <c r="J845" s="205"/>
      <c r="K845" s="282"/>
      <c r="L845" s="233"/>
      <c r="M845" s="317"/>
    </row>
    <row r="846" spans="1:13" x14ac:dyDescent="0.3">
      <c r="A846" s="46"/>
      <c r="B846" s="80"/>
      <c r="C846" s="80"/>
      <c r="D846" s="80"/>
      <c r="E846" s="259"/>
      <c r="F846" s="250"/>
      <c r="H846" s="8"/>
      <c r="I846" s="205"/>
      <c r="J846" s="205"/>
      <c r="K846" s="282"/>
      <c r="L846" s="233"/>
      <c r="M846" s="317"/>
    </row>
    <row r="847" spans="1:13" x14ac:dyDescent="0.3">
      <c r="A847" s="46"/>
      <c r="B847" s="80"/>
      <c r="C847" s="80"/>
      <c r="D847" s="80"/>
      <c r="E847" s="259"/>
      <c r="F847" s="250"/>
      <c r="H847" s="8"/>
      <c r="I847" s="205"/>
      <c r="J847" s="205"/>
      <c r="K847" s="282"/>
      <c r="L847" s="233"/>
      <c r="M847" s="317"/>
    </row>
    <row r="848" spans="1:13" x14ac:dyDescent="0.3">
      <c r="A848" s="46"/>
      <c r="B848" s="80"/>
      <c r="C848" s="80"/>
      <c r="D848" s="80"/>
      <c r="E848" s="259"/>
      <c r="F848" s="250"/>
      <c r="H848" s="8"/>
      <c r="I848" s="205"/>
      <c r="J848" s="205"/>
      <c r="K848" s="282"/>
      <c r="L848" s="233"/>
      <c r="M848" s="317"/>
    </row>
    <row r="849" spans="1:13" x14ac:dyDescent="0.3">
      <c r="A849" s="46"/>
      <c r="B849" s="80"/>
      <c r="C849" s="80"/>
      <c r="D849" s="80"/>
      <c r="E849" s="259"/>
      <c r="F849" s="250"/>
      <c r="H849" s="8"/>
      <c r="I849" s="205"/>
      <c r="J849" s="205"/>
      <c r="K849" s="282"/>
      <c r="L849" s="233"/>
      <c r="M849" s="317"/>
    </row>
    <row r="850" spans="1:13" x14ac:dyDescent="0.3">
      <c r="A850" s="46"/>
      <c r="B850" s="80"/>
      <c r="C850" s="80"/>
      <c r="D850" s="80"/>
      <c r="E850" s="259"/>
      <c r="F850" s="250"/>
      <c r="H850" s="8"/>
      <c r="I850" s="205"/>
      <c r="J850" s="205"/>
      <c r="K850" s="282"/>
      <c r="L850" s="233"/>
      <c r="M850" s="317"/>
    </row>
    <row r="851" spans="1:13" x14ac:dyDescent="0.3">
      <c r="A851" s="46"/>
      <c r="B851" s="80"/>
      <c r="C851" s="80"/>
      <c r="D851" s="80"/>
      <c r="E851" s="259"/>
      <c r="F851" s="250"/>
      <c r="H851" s="8"/>
      <c r="I851" s="205"/>
      <c r="J851" s="205"/>
      <c r="K851" s="282"/>
      <c r="L851" s="233"/>
      <c r="M851" s="317"/>
    </row>
    <row r="852" spans="1:13" x14ac:dyDescent="0.3">
      <c r="A852" s="46"/>
      <c r="B852" s="80"/>
      <c r="C852" s="80"/>
      <c r="D852" s="80"/>
      <c r="E852" s="259"/>
      <c r="F852" s="250"/>
      <c r="H852" s="8"/>
      <c r="I852" s="205"/>
      <c r="J852" s="205"/>
      <c r="K852" s="282"/>
      <c r="L852" s="233"/>
      <c r="M852" s="317"/>
    </row>
    <row r="853" spans="1:13" x14ac:dyDescent="0.3">
      <c r="A853" s="46"/>
      <c r="B853" s="80"/>
      <c r="C853" s="80"/>
      <c r="D853" s="80"/>
      <c r="E853" s="259"/>
      <c r="F853" s="250"/>
      <c r="H853" s="8"/>
      <c r="I853" s="205"/>
      <c r="J853" s="205"/>
      <c r="K853" s="282"/>
      <c r="L853" s="233"/>
      <c r="M853" s="317"/>
    </row>
    <row r="854" spans="1:13" x14ac:dyDescent="0.3">
      <c r="A854" s="46"/>
      <c r="B854" s="80"/>
      <c r="C854" s="80"/>
      <c r="D854" s="80"/>
      <c r="E854" s="259"/>
      <c r="F854" s="250"/>
      <c r="H854" s="8"/>
      <c r="I854" s="205"/>
      <c r="J854" s="205"/>
      <c r="K854" s="282"/>
      <c r="L854" s="233"/>
      <c r="M854" s="317"/>
    </row>
    <row r="855" spans="1:13" x14ac:dyDescent="0.3">
      <c r="A855" s="46"/>
      <c r="B855" s="80"/>
      <c r="C855" s="80"/>
      <c r="D855" s="80"/>
      <c r="E855" s="259"/>
      <c r="F855" s="250"/>
      <c r="H855" s="8"/>
      <c r="I855" s="205"/>
      <c r="J855" s="205"/>
      <c r="K855" s="282"/>
      <c r="L855" s="233"/>
      <c r="M855" s="317"/>
    </row>
    <row r="856" spans="1:13" x14ac:dyDescent="0.3">
      <c r="A856" s="46"/>
      <c r="B856" s="80"/>
      <c r="C856" s="80"/>
      <c r="D856" s="80"/>
      <c r="E856" s="259"/>
      <c r="F856" s="250"/>
      <c r="H856" s="8"/>
      <c r="I856" s="205"/>
      <c r="J856" s="205"/>
      <c r="K856" s="282"/>
      <c r="L856" s="233"/>
      <c r="M856" s="317"/>
    </row>
    <row r="857" spans="1:13" x14ac:dyDescent="0.3">
      <c r="A857" s="46"/>
      <c r="B857" s="80"/>
      <c r="C857" s="80"/>
      <c r="D857" s="80"/>
      <c r="E857" s="259"/>
      <c r="F857" s="250"/>
      <c r="H857" s="8"/>
      <c r="I857" s="205"/>
      <c r="J857" s="205"/>
      <c r="K857" s="282"/>
      <c r="L857" s="233"/>
      <c r="M857" s="317"/>
    </row>
    <row r="858" spans="1:13" x14ac:dyDescent="0.3">
      <c r="A858" s="46"/>
      <c r="B858" s="80"/>
      <c r="C858" s="80"/>
      <c r="D858" s="80"/>
      <c r="E858" s="259"/>
      <c r="F858" s="250"/>
      <c r="H858" s="8"/>
      <c r="I858" s="205"/>
      <c r="J858" s="205"/>
      <c r="K858" s="282"/>
      <c r="L858" s="233"/>
      <c r="M858" s="317"/>
    </row>
    <row r="859" spans="1:13" x14ac:dyDescent="0.3">
      <c r="A859" s="46"/>
      <c r="B859" s="80"/>
      <c r="C859" s="80"/>
      <c r="D859" s="80"/>
      <c r="E859" s="259"/>
      <c r="F859" s="250"/>
      <c r="H859" s="8"/>
      <c r="I859" s="205"/>
      <c r="J859" s="205"/>
      <c r="K859" s="282"/>
      <c r="L859" s="233"/>
      <c r="M859" s="317"/>
    </row>
    <row r="860" spans="1:13" x14ac:dyDescent="0.3">
      <c r="A860" s="46"/>
      <c r="B860" s="80"/>
      <c r="C860" s="80"/>
      <c r="D860" s="80"/>
      <c r="E860" s="259"/>
      <c r="F860" s="250"/>
      <c r="H860" s="8"/>
      <c r="I860" s="205"/>
      <c r="J860" s="205"/>
      <c r="K860" s="282"/>
      <c r="L860" s="233"/>
      <c r="M860" s="317"/>
    </row>
    <row r="861" spans="1:13" x14ac:dyDescent="0.3">
      <c r="A861" s="50"/>
      <c r="B861" s="251"/>
      <c r="C861" s="251"/>
      <c r="D861" s="251"/>
      <c r="E861" s="273"/>
      <c r="F861" s="252"/>
      <c r="H861" s="11"/>
      <c r="I861" s="210"/>
      <c r="J861" s="210"/>
      <c r="K861" s="282"/>
      <c r="L861" s="233"/>
      <c r="M861" s="317"/>
    </row>
    <row r="862" spans="1:13" x14ac:dyDescent="0.3">
      <c r="A862" s="55"/>
      <c r="E862" s="235"/>
      <c r="H862" s="232"/>
      <c r="I862" s="269"/>
      <c r="J862" s="269"/>
      <c r="K862" s="282"/>
      <c r="L862" s="233"/>
      <c r="M862" s="317"/>
    </row>
    <row r="863" spans="1:13" x14ac:dyDescent="0.3">
      <c r="A863" s="55"/>
      <c r="E863" s="235"/>
      <c r="H863" s="232"/>
      <c r="I863" s="269"/>
      <c r="J863" s="269"/>
      <c r="K863" s="282"/>
      <c r="L863" s="233"/>
      <c r="M863" s="317"/>
    </row>
    <row r="864" spans="1:13" x14ac:dyDescent="0.3">
      <c r="A864" s="55"/>
      <c r="E864" s="235"/>
      <c r="H864" s="232"/>
      <c r="I864" s="269"/>
      <c r="J864" s="269"/>
      <c r="K864" s="282"/>
      <c r="L864" s="233"/>
      <c r="M864" s="317"/>
    </row>
    <row r="865" spans="1:13" x14ac:dyDescent="0.3">
      <c r="A865" s="55"/>
      <c r="E865" s="235"/>
      <c r="H865" s="232"/>
      <c r="I865" s="269"/>
      <c r="J865" s="269"/>
      <c r="K865" s="282"/>
      <c r="L865" s="233"/>
      <c r="M865" s="317"/>
    </row>
    <row r="866" spans="1:13" x14ac:dyDescent="0.3">
      <c r="A866" s="55"/>
      <c r="E866" s="235"/>
      <c r="H866" s="232"/>
      <c r="I866" s="269"/>
      <c r="J866" s="269"/>
      <c r="K866" s="282"/>
      <c r="L866" s="233"/>
      <c r="M866" s="317"/>
    </row>
    <row r="867" spans="1:13" x14ac:dyDescent="0.3">
      <c r="A867" s="55"/>
      <c r="E867" s="235"/>
      <c r="H867" s="232"/>
      <c r="I867" s="269"/>
      <c r="J867" s="269"/>
      <c r="K867" s="282"/>
      <c r="L867" s="233"/>
      <c r="M867" s="317"/>
    </row>
    <row r="868" spans="1:13" x14ac:dyDescent="0.3">
      <c r="A868" s="55"/>
      <c r="E868" s="235"/>
      <c r="H868" s="232"/>
      <c r="I868" s="269"/>
      <c r="J868" s="269"/>
      <c r="K868" s="282"/>
      <c r="L868" s="233"/>
      <c r="M868" s="317"/>
    </row>
    <row r="869" spans="1:13" x14ac:dyDescent="0.3">
      <c r="A869" s="55"/>
      <c r="E869" s="235"/>
      <c r="H869" s="232"/>
      <c r="I869" s="269"/>
      <c r="J869" s="269"/>
      <c r="K869" s="282"/>
      <c r="L869" s="233"/>
      <c r="M869" s="317"/>
    </row>
    <row r="870" spans="1:13" x14ac:dyDescent="0.3">
      <c r="A870" s="55"/>
      <c r="E870" s="235"/>
      <c r="H870" s="232"/>
      <c r="I870" s="269"/>
      <c r="J870" s="269"/>
      <c r="K870" s="282"/>
      <c r="L870" s="233"/>
      <c r="M870" s="317"/>
    </row>
    <row r="871" spans="1:13" x14ac:dyDescent="0.3">
      <c r="A871" s="55"/>
      <c r="E871" s="235"/>
      <c r="H871" s="232"/>
      <c r="I871" s="269"/>
      <c r="J871" s="269"/>
      <c r="K871" s="282"/>
      <c r="L871" s="233"/>
      <c r="M871" s="317"/>
    </row>
    <row r="872" spans="1:13" x14ac:dyDescent="0.3">
      <c r="A872" s="55"/>
      <c r="E872" s="235"/>
      <c r="H872" s="232"/>
      <c r="I872" s="269"/>
      <c r="J872" s="269"/>
      <c r="K872" s="282"/>
      <c r="L872" s="233"/>
      <c r="M872" s="317"/>
    </row>
    <row r="873" spans="1:13" x14ac:dyDescent="0.3">
      <c r="A873" s="55"/>
      <c r="E873" s="235"/>
      <c r="H873" s="232"/>
      <c r="I873" s="269"/>
      <c r="J873" s="269"/>
      <c r="K873" s="282"/>
      <c r="L873" s="233"/>
      <c r="M873" s="317"/>
    </row>
    <row r="874" spans="1:13" x14ac:dyDescent="0.3">
      <c r="A874" s="55"/>
      <c r="E874" s="235"/>
      <c r="H874" s="232"/>
      <c r="I874" s="269"/>
      <c r="J874" s="269"/>
      <c r="K874" s="282"/>
      <c r="L874" s="233"/>
      <c r="M874" s="317"/>
    </row>
    <row r="875" spans="1:13" x14ac:dyDescent="0.3">
      <c r="A875" s="55"/>
      <c r="E875" s="235"/>
      <c r="H875" s="232"/>
      <c r="I875" s="269"/>
      <c r="J875" s="269"/>
      <c r="K875" s="282"/>
      <c r="L875" s="233"/>
      <c r="M875" s="317"/>
    </row>
    <row r="876" spans="1:13" x14ac:dyDescent="0.3">
      <c r="A876" s="55"/>
      <c r="E876" s="235"/>
      <c r="H876" s="232"/>
      <c r="I876" s="269"/>
      <c r="J876" s="269"/>
      <c r="K876" s="282"/>
      <c r="L876" s="233"/>
      <c r="M876" s="317"/>
    </row>
    <row r="877" spans="1:13" x14ac:dyDescent="0.3">
      <c r="A877" s="55"/>
      <c r="E877" s="235"/>
      <c r="H877" s="232"/>
      <c r="I877" s="269"/>
      <c r="J877" s="269"/>
      <c r="K877" s="282"/>
      <c r="L877" s="233"/>
      <c r="M877" s="317"/>
    </row>
    <row r="878" spans="1:13" x14ac:dyDescent="0.3">
      <c r="A878" s="55"/>
      <c r="E878" s="235"/>
      <c r="H878" s="232"/>
      <c r="I878" s="269"/>
      <c r="J878" s="269"/>
      <c r="K878" s="282"/>
      <c r="L878" s="233"/>
      <c r="M878" s="317"/>
    </row>
    <row r="879" spans="1:13" x14ac:dyDescent="0.3">
      <c r="A879" s="55"/>
      <c r="E879" s="235"/>
      <c r="H879" s="232"/>
      <c r="I879" s="269"/>
      <c r="J879" s="269"/>
      <c r="K879" s="282"/>
      <c r="L879" s="233"/>
      <c r="M879" s="317"/>
    </row>
    <row r="880" spans="1:13" x14ac:dyDescent="0.3">
      <c r="A880" s="55"/>
      <c r="E880" s="235"/>
      <c r="H880" s="232"/>
      <c r="I880" s="269"/>
      <c r="J880" s="269"/>
      <c r="K880" s="282"/>
      <c r="L880" s="233"/>
      <c r="M880" s="317"/>
    </row>
    <row r="881" spans="1:13" x14ac:dyDescent="0.3">
      <c r="A881" s="55"/>
      <c r="E881" s="235"/>
      <c r="H881" s="232"/>
      <c r="I881" s="269"/>
      <c r="J881" s="269"/>
      <c r="K881" s="282"/>
      <c r="L881" s="233"/>
      <c r="M881" s="317"/>
    </row>
    <row r="882" spans="1:13" x14ac:dyDescent="0.3">
      <c r="A882" s="55"/>
      <c r="E882" s="235"/>
      <c r="H882" s="232"/>
      <c r="I882" s="269"/>
      <c r="J882" s="269"/>
      <c r="K882" s="282"/>
      <c r="L882" s="233"/>
      <c r="M882" s="317"/>
    </row>
    <row r="883" spans="1:13" x14ac:dyDescent="0.3">
      <c r="A883" s="55"/>
      <c r="E883" s="235"/>
      <c r="H883" s="232"/>
      <c r="I883" s="269"/>
      <c r="J883" s="269"/>
      <c r="K883" s="282"/>
      <c r="L883" s="233"/>
      <c r="M883" s="317"/>
    </row>
    <row r="884" spans="1:13" x14ac:dyDescent="0.3">
      <c r="A884" s="55"/>
      <c r="E884" s="235"/>
      <c r="H884" s="232"/>
      <c r="I884" s="269"/>
      <c r="J884" s="269"/>
      <c r="K884" s="282"/>
      <c r="L884" s="233"/>
      <c r="M884" s="317"/>
    </row>
    <row r="885" spans="1:13" x14ac:dyDescent="0.3">
      <c r="A885" s="55"/>
      <c r="E885" s="235"/>
      <c r="H885" s="232"/>
      <c r="I885" s="269"/>
      <c r="J885" s="269"/>
      <c r="K885" s="282"/>
      <c r="L885" s="233"/>
      <c r="M885" s="317"/>
    </row>
    <row r="886" spans="1:13" x14ac:dyDescent="0.3">
      <c r="A886" s="55"/>
      <c r="E886" s="235"/>
      <c r="H886" s="232"/>
      <c r="I886" s="269"/>
      <c r="J886" s="269"/>
      <c r="K886" s="282"/>
      <c r="L886" s="233"/>
      <c r="M886" s="317"/>
    </row>
    <row r="887" spans="1:13" x14ac:dyDescent="0.3">
      <c r="A887" s="55"/>
      <c r="E887" s="235"/>
      <c r="H887" s="232"/>
      <c r="I887" s="269"/>
      <c r="J887" s="269"/>
      <c r="K887" s="282"/>
      <c r="L887" s="233"/>
      <c r="M887" s="317"/>
    </row>
    <row r="888" spans="1:13" x14ac:dyDescent="0.3">
      <c r="A888" s="55"/>
      <c r="E888" s="235"/>
      <c r="H888" s="232"/>
      <c r="I888" s="269"/>
      <c r="J888" s="269"/>
      <c r="K888" s="282"/>
      <c r="L888" s="233"/>
      <c r="M888" s="317"/>
    </row>
    <row r="889" spans="1:13" x14ac:dyDescent="0.3">
      <c r="A889" s="55"/>
      <c r="E889" s="235"/>
      <c r="H889" s="232"/>
      <c r="I889" s="269"/>
      <c r="J889" s="269"/>
      <c r="K889" s="282"/>
      <c r="L889" s="233"/>
      <c r="M889" s="317"/>
    </row>
    <row r="890" spans="1:13" x14ac:dyDescent="0.3">
      <c r="A890" s="55"/>
      <c r="E890" s="235"/>
      <c r="H890" s="232"/>
      <c r="I890" s="269"/>
      <c r="J890" s="269"/>
      <c r="K890" s="282"/>
      <c r="L890" s="233"/>
      <c r="M890" s="317"/>
    </row>
    <row r="891" spans="1:13" x14ac:dyDescent="0.3">
      <c r="A891" s="55"/>
      <c r="E891" s="235"/>
      <c r="H891" s="232"/>
      <c r="I891" s="269"/>
      <c r="J891" s="269"/>
      <c r="K891" s="282"/>
      <c r="L891" s="233"/>
      <c r="M891" s="317"/>
    </row>
    <row r="892" spans="1:13" x14ac:dyDescent="0.3">
      <c r="A892" s="55"/>
      <c r="E892" s="235"/>
      <c r="H892" s="232"/>
      <c r="I892" s="269"/>
      <c r="J892" s="269"/>
      <c r="K892" s="282"/>
      <c r="L892" s="233"/>
      <c r="M892" s="317"/>
    </row>
    <row r="893" spans="1:13" x14ac:dyDescent="0.3">
      <c r="A893" s="55"/>
      <c r="E893" s="235"/>
      <c r="H893" s="232"/>
      <c r="I893" s="269"/>
      <c r="J893" s="269"/>
      <c r="K893" s="282"/>
      <c r="L893" s="233"/>
      <c r="M893" s="317"/>
    </row>
    <row r="894" spans="1:13" x14ac:dyDescent="0.3">
      <c r="A894" s="55"/>
      <c r="E894" s="235"/>
      <c r="H894" s="232"/>
      <c r="I894" s="269"/>
      <c r="J894" s="269"/>
      <c r="K894" s="282"/>
      <c r="L894" s="233"/>
      <c r="M894" s="317"/>
    </row>
    <row r="895" spans="1:13" x14ac:dyDescent="0.3">
      <c r="A895" s="55"/>
      <c r="E895" s="235"/>
      <c r="H895" s="232"/>
      <c r="I895" s="269"/>
      <c r="J895" s="269"/>
      <c r="K895" s="282"/>
      <c r="L895" s="233"/>
      <c r="M895" s="317"/>
    </row>
    <row r="896" spans="1:13" x14ac:dyDescent="0.3">
      <c r="A896" s="55"/>
      <c r="E896" s="235"/>
      <c r="H896" s="232"/>
      <c r="I896" s="269"/>
      <c r="J896" s="269"/>
      <c r="K896" s="282"/>
      <c r="L896" s="233"/>
      <c r="M896" s="317"/>
    </row>
    <row r="897" spans="1:13" x14ac:dyDescent="0.3">
      <c r="A897" s="55"/>
      <c r="E897" s="235"/>
      <c r="H897" s="232"/>
      <c r="I897" s="269"/>
      <c r="J897" s="269"/>
      <c r="K897" s="282"/>
      <c r="L897" s="233"/>
      <c r="M897" s="317"/>
    </row>
    <row r="898" spans="1:13" x14ac:dyDescent="0.3">
      <c r="A898" s="55"/>
      <c r="E898" s="235"/>
      <c r="H898" s="232"/>
      <c r="I898" s="269"/>
      <c r="J898" s="269"/>
      <c r="K898" s="282"/>
      <c r="L898" s="233"/>
      <c r="M898" s="317"/>
    </row>
    <row r="899" spans="1:13" x14ac:dyDescent="0.3">
      <c r="A899" s="55"/>
      <c r="E899" s="235"/>
      <c r="H899" s="232"/>
      <c r="I899" s="269"/>
      <c r="J899" s="269"/>
      <c r="K899" s="282"/>
      <c r="L899" s="233"/>
      <c r="M899" s="317"/>
    </row>
    <row r="900" spans="1:13" x14ac:dyDescent="0.3">
      <c r="A900" s="55"/>
      <c r="E900" s="235"/>
      <c r="H900" s="232"/>
      <c r="I900" s="269"/>
      <c r="J900" s="269"/>
      <c r="K900" s="282"/>
      <c r="L900" s="233"/>
      <c r="M900" s="317"/>
    </row>
    <row r="901" spans="1:13" x14ac:dyDescent="0.3">
      <c r="A901" s="55"/>
      <c r="E901" s="235"/>
      <c r="H901" s="232"/>
      <c r="I901" s="269"/>
      <c r="J901" s="269"/>
      <c r="K901" s="282"/>
      <c r="L901" s="233"/>
      <c r="M901" s="317"/>
    </row>
    <row r="902" spans="1:13" x14ac:dyDescent="0.3">
      <c r="A902" s="55"/>
      <c r="E902" s="235"/>
      <c r="H902" s="232"/>
      <c r="I902" s="269"/>
      <c r="J902" s="269"/>
      <c r="K902" s="282"/>
      <c r="L902" s="233"/>
      <c r="M902" s="317"/>
    </row>
    <row r="903" spans="1:13" x14ac:dyDescent="0.3">
      <c r="A903" s="55"/>
      <c r="E903" s="235"/>
      <c r="H903" s="232"/>
      <c r="I903" s="269"/>
      <c r="J903" s="269"/>
      <c r="K903" s="282"/>
      <c r="L903" s="233"/>
      <c r="M903" s="317"/>
    </row>
    <row r="904" spans="1:13" x14ac:dyDescent="0.3">
      <c r="A904" s="55"/>
      <c r="E904" s="235"/>
      <c r="H904" s="232"/>
      <c r="I904" s="269"/>
      <c r="J904" s="269"/>
      <c r="K904" s="282"/>
      <c r="L904" s="233"/>
      <c r="M904" s="317"/>
    </row>
    <row r="905" spans="1:13" x14ac:dyDescent="0.3">
      <c r="A905" s="55"/>
      <c r="E905" s="235"/>
      <c r="H905" s="232"/>
      <c r="I905" s="269"/>
      <c r="J905" s="269"/>
      <c r="K905" s="282"/>
      <c r="L905" s="233"/>
      <c r="M905" s="317"/>
    </row>
    <row r="906" spans="1:13" x14ac:dyDescent="0.3">
      <c r="A906" s="55"/>
      <c r="E906" s="235"/>
      <c r="H906" s="232"/>
      <c r="I906" s="269"/>
      <c r="J906" s="269"/>
      <c r="K906" s="282"/>
      <c r="L906" s="233"/>
      <c r="M906" s="317"/>
    </row>
    <row r="907" spans="1:13" x14ac:dyDescent="0.3">
      <c r="A907" s="55"/>
      <c r="E907" s="235"/>
      <c r="H907" s="232"/>
      <c r="I907" s="269"/>
      <c r="J907" s="269"/>
      <c r="K907" s="282"/>
      <c r="L907" s="233"/>
      <c r="M907" s="317"/>
    </row>
    <row r="908" spans="1:13" x14ac:dyDescent="0.3">
      <c r="A908" s="55"/>
      <c r="E908" s="235"/>
      <c r="H908" s="232"/>
      <c r="I908" s="269"/>
      <c r="J908" s="269"/>
      <c r="K908" s="282"/>
      <c r="L908" s="233"/>
      <c r="M908" s="317"/>
    </row>
    <row r="909" spans="1:13" x14ac:dyDescent="0.3">
      <c r="A909" s="55"/>
      <c r="E909" s="235"/>
      <c r="H909" s="232"/>
      <c r="I909" s="269"/>
      <c r="J909" s="269"/>
      <c r="K909" s="282"/>
      <c r="L909" s="233"/>
      <c r="M909" s="317"/>
    </row>
    <row r="910" spans="1:13" x14ac:dyDescent="0.3">
      <c r="A910" s="55"/>
      <c r="E910" s="235"/>
      <c r="H910" s="232"/>
      <c r="I910" s="269"/>
      <c r="J910" s="269"/>
      <c r="K910" s="282"/>
      <c r="L910" s="233"/>
      <c r="M910" s="317"/>
    </row>
    <row r="911" spans="1:13" x14ac:dyDescent="0.3">
      <c r="A911" s="55"/>
      <c r="E911" s="235"/>
      <c r="H911" s="232"/>
      <c r="I911" s="269"/>
      <c r="J911" s="269"/>
      <c r="K911" s="282"/>
      <c r="L911" s="233"/>
      <c r="M911" s="317"/>
    </row>
    <row r="912" spans="1:13" x14ac:dyDescent="0.3">
      <c r="A912" s="55"/>
      <c r="E912" s="235"/>
      <c r="H912" s="232"/>
      <c r="I912" s="269"/>
      <c r="J912" s="269"/>
      <c r="K912" s="282"/>
      <c r="L912" s="233"/>
      <c r="M912" s="317"/>
    </row>
    <row r="913" spans="1:13" x14ac:dyDescent="0.3">
      <c r="A913" s="55"/>
      <c r="E913" s="235"/>
      <c r="H913" s="232"/>
      <c r="I913" s="269"/>
      <c r="J913" s="269"/>
      <c r="K913" s="282"/>
      <c r="L913" s="233"/>
      <c r="M913" s="317"/>
    </row>
    <row r="914" spans="1:13" x14ac:dyDescent="0.3">
      <c r="A914" s="55"/>
      <c r="E914" s="235"/>
      <c r="H914" s="232"/>
      <c r="I914" s="269"/>
      <c r="J914" s="269"/>
      <c r="K914" s="282"/>
      <c r="L914" s="233"/>
      <c r="M914" s="317"/>
    </row>
    <row r="915" spans="1:13" x14ac:dyDescent="0.3">
      <c r="A915" s="55"/>
      <c r="E915" s="235"/>
      <c r="H915" s="232"/>
      <c r="I915" s="269"/>
      <c r="J915" s="269"/>
      <c r="K915" s="282"/>
      <c r="L915" s="233"/>
      <c r="M915" s="317"/>
    </row>
    <row r="916" spans="1:13" x14ac:dyDescent="0.3">
      <c r="A916" s="55"/>
      <c r="E916" s="235"/>
      <c r="H916" s="232"/>
      <c r="I916" s="269"/>
      <c r="J916" s="269"/>
      <c r="K916" s="282"/>
      <c r="L916" s="233"/>
      <c r="M916" s="317"/>
    </row>
    <row r="917" spans="1:13" x14ac:dyDescent="0.3">
      <c r="A917" s="55"/>
      <c r="E917" s="235"/>
      <c r="H917" s="232"/>
      <c r="I917" s="269"/>
      <c r="J917" s="269"/>
      <c r="K917" s="282"/>
      <c r="L917" s="233"/>
      <c r="M917" s="317"/>
    </row>
    <row r="918" spans="1:13" x14ac:dyDescent="0.3">
      <c r="A918" s="55"/>
      <c r="E918" s="235"/>
      <c r="H918" s="232"/>
      <c r="I918" s="269"/>
      <c r="J918" s="269"/>
      <c r="K918" s="282"/>
      <c r="L918" s="233"/>
      <c r="M918" s="317"/>
    </row>
    <row r="919" spans="1:13" x14ac:dyDescent="0.3">
      <c r="A919" s="55"/>
      <c r="E919" s="235"/>
      <c r="H919" s="232"/>
      <c r="I919" s="269"/>
      <c r="J919" s="269"/>
      <c r="K919" s="282"/>
      <c r="L919" s="233"/>
      <c r="M919" s="317"/>
    </row>
    <row r="920" spans="1:13" x14ac:dyDescent="0.3">
      <c r="A920" s="55"/>
      <c r="E920" s="235"/>
      <c r="H920" s="232"/>
      <c r="I920" s="269"/>
      <c r="J920" s="269"/>
      <c r="K920" s="282"/>
      <c r="L920" s="233"/>
      <c r="M920" s="317"/>
    </row>
    <row r="921" spans="1:13" x14ac:dyDescent="0.3">
      <c r="A921" s="55"/>
      <c r="E921" s="235"/>
      <c r="H921" s="232"/>
      <c r="I921" s="269"/>
      <c r="J921" s="269"/>
      <c r="K921" s="282"/>
      <c r="L921" s="233"/>
      <c r="M921" s="317"/>
    </row>
    <row r="922" spans="1:13" x14ac:dyDescent="0.3">
      <c r="A922" s="55"/>
      <c r="E922" s="235"/>
      <c r="H922" s="232"/>
      <c r="I922" s="269"/>
      <c r="J922" s="269"/>
      <c r="K922" s="282"/>
      <c r="L922" s="233"/>
      <c r="M922" s="317"/>
    </row>
    <row r="923" spans="1:13" x14ac:dyDescent="0.3">
      <c r="A923" s="55"/>
      <c r="E923" s="235"/>
      <c r="H923" s="232"/>
      <c r="I923" s="269"/>
      <c r="J923" s="269"/>
      <c r="K923" s="282"/>
      <c r="L923" s="233"/>
      <c r="M923" s="317"/>
    </row>
    <row r="924" spans="1:13" x14ac:dyDescent="0.3">
      <c r="A924" s="55"/>
      <c r="E924" s="235"/>
      <c r="H924" s="232"/>
      <c r="I924" s="269"/>
      <c r="J924" s="269"/>
      <c r="K924" s="282"/>
      <c r="L924" s="233"/>
      <c r="M924" s="317"/>
    </row>
    <row r="925" spans="1:13" x14ac:dyDescent="0.3">
      <c r="A925" s="55"/>
      <c r="E925" s="235"/>
      <c r="H925" s="232"/>
      <c r="I925" s="269"/>
      <c r="J925" s="269"/>
      <c r="K925" s="282"/>
      <c r="L925" s="233"/>
      <c r="M925" s="317"/>
    </row>
    <row r="926" spans="1:13" x14ac:dyDescent="0.3">
      <c r="A926" s="55"/>
      <c r="E926" s="235"/>
      <c r="H926" s="232"/>
      <c r="I926" s="269"/>
      <c r="J926" s="269"/>
      <c r="K926" s="282"/>
      <c r="L926" s="233"/>
      <c r="M926" s="317"/>
    </row>
    <row r="927" spans="1:13" x14ac:dyDescent="0.3">
      <c r="A927" s="55"/>
      <c r="E927" s="235"/>
      <c r="H927" s="232"/>
      <c r="I927" s="269"/>
      <c r="J927" s="269"/>
      <c r="K927" s="282"/>
      <c r="L927" s="233"/>
      <c r="M927" s="317"/>
    </row>
    <row r="928" spans="1:13" x14ac:dyDescent="0.3">
      <c r="A928" s="55"/>
      <c r="E928" s="235"/>
      <c r="H928" s="232"/>
      <c r="I928" s="269"/>
      <c r="J928" s="269"/>
      <c r="K928" s="282"/>
      <c r="L928" s="233"/>
      <c r="M928" s="317"/>
    </row>
    <row r="929" spans="1:13" x14ac:dyDescent="0.3">
      <c r="A929" s="55"/>
      <c r="E929" s="235"/>
      <c r="H929" s="232"/>
      <c r="I929" s="269"/>
      <c r="J929" s="269"/>
      <c r="K929" s="282"/>
      <c r="L929" s="233"/>
      <c r="M929" s="317"/>
    </row>
    <row r="930" spans="1:13" x14ac:dyDescent="0.3">
      <c r="A930" s="55"/>
      <c r="E930" s="235"/>
      <c r="H930" s="232"/>
      <c r="I930" s="269"/>
      <c r="J930" s="269"/>
      <c r="K930" s="282"/>
      <c r="L930" s="233"/>
      <c r="M930" s="317"/>
    </row>
    <row r="931" spans="1:13" x14ac:dyDescent="0.3">
      <c r="A931" s="55"/>
      <c r="E931" s="235"/>
      <c r="H931" s="232"/>
      <c r="I931" s="269"/>
      <c r="J931" s="269"/>
      <c r="K931" s="282"/>
      <c r="L931" s="233"/>
      <c r="M931" s="317"/>
    </row>
    <row r="932" spans="1:13" x14ac:dyDescent="0.3">
      <c r="A932" s="55"/>
      <c r="E932" s="235"/>
      <c r="H932" s="232"/>
      <c r="I932" s="269"/>
      <c r="J932" s="269"/>
      <c r="K932" s="282"/>
      <c r="L932" s="233"/>
      <c r="M932" s="317"/>
    </row>
    <row r="933" spans="1:13" x14ac:dyDescent="0.3">
      <c r="A933" s="55"/>
      <c r="E933" s="235"/>
      <c r="H933" s="232"/>
      <c r="I933" s="269"/>
      <c r="J933" s="269"/>
      <c r="K933" s="282"/>
      <c r="L933" s="233"/>
      <c r="M933" s="317"/>
    </row>
    <row r="934" spans="1:13" x14ac:dyDescent="0.3">
      <c r="A934" s="55"/>
      <c r="E934" s="235"/>
      <c r="H934" s="232"/>
      <c r="I934" s="269"/>
      <c r="J934" s="269"/>
      <c r="K934" s="282"/>
      <c r="L934" s="233"/>
      <c r="M934" s="317"/>
    </row>
    <row r="935" spans="1:13" x14ac:dyDescent="0.3">
      <c r="A935" s="55"/>
      <c r="E935" s="235"/>
      <c r="H935" s="232"/>
      <c r="I935" s="269"/>
      <c r="J935" s="269"/>
      <c r="K935" s="282"/>
      <c r="L935" s="233"/>
      <c r="M935" s="317"/>
    </row>
    <row r="936" spans="1:13" x14ac:dyDescent="0.3">
      <c r="A936" s="55"/>
      <c r="E936" s="235"/>
      <c r="H936" s="232"/>
      <c r="I936" s="269"/>
      <c r="J936" s="269"/>
      <c r="K936" s="282"/>
      <c r="L936" s="233"/>
      <c r="M936" s="317"/>
    </row>
    <row r="937" spans="1:13" x14ac:dyDescent="0.3">
      <c r="A937" s="55"/>
      <c r="E937" s="235"/>
      <c r="H937" s="232"/>
      <c r="I937" s="269"/>
      <c r="J937" s="269"/>
      <c r="K937" s="282"/>
      <c r="L937" s="233"/>
      <c r="M937" s="317"/>
    </row>
    <row r="938" spans="1:13" x14ac:dyDescent="0.3">
      <c r="A938" s="55"/>
      <c r="E938" s="235"/>
      <c r="H938" s="232"/>
      <c r="I938" s="269"/>
      <c r="J938" s="269"/>
      <c r="K938" s="282"/>
      <c r="L938" s="233"/>
      <c r="M938" s="317"/>
    </row>
    <row r="939" spans="1:13" x14ac:dyDescent="0.3">
      <c r="A939" s="55"/>
      <c r="E939" s="235"/>
      <c r="H939" s="232"/>
      <c r="I939" s="269"/>
      <c r="J939" s="269"/>
      <c r="K939" s="282"/>
      <c r="L939" s="233"/>
      <c r="M939" s="317"/>
    </row>
    <row r="940" spans="1:13" x14ac:dyDescent="0.3">
      <c r="A940" s="55"/>
      <c r="E940" s="235"/>
      <c r="H940" s="232"/>
      <c r="I940" s="269"/>
      <c r="J940" s="269"/>
      <c r="K940" s="282"/>
      <c r="L940" s="233"/>
      <c r="M940" s="317"/>
    </row>
    <row r="941" spans="1:13" x14ac:dyDescent="0.3">
      <c r="A941" s="55"/>
      <c r="E941" s="235"/>
      <c r="H941" s="232"/>
      <c r="I941" s="269"/>
      <c r="J941" s="269"/>
      <c r="K941" s="282"/>
      <c r="L941" s="233"/>
      <c r="M941" s="317"/>
    </row>
    <row r="942" spans="1:13" x14ac:dyDescent="0.3">
      <c r="A942" s="55"/>
      <c r="E942" s="235"/>
      <c r="H942" s="232"/>
      <c r="I942" s="269"/>
      <c r="J942" s="269"/>
      <c r="K942" s="282"/>
      <c r="L942" s="233"/>
      <c r="M942" s="317"/>
    </row>
    <row r="943" spans="1:13" x14ac:dyDescent="0.3">
      <c r="A943" s="55"/>
      <c r="E943" s="235"/>
      <c r="H943" s="232"/>
      <c r="I943" s="269"/>
      <c r="J943" s="269"/>
      <c r="K943" s="282"/>
      <c r="L943" s="233"/>
      <c r="M943" s="317"/>
    </row>
    <row r="944" spans="1:13" x14ac:dyDescent="0.3">
      <c r="A944" s="55"/>
      <c r="E944" s="235"/>
      <c r="H944" s="232"/>
      <c r="I944" s="269"/>
      <c r="J944" s="269"/>
      <c r="K944" s="282"/>
      <c r="L944" s="233"/>
      <c r="M944" s="317"/>
    </row>
    <row r="945" spans="1:13" x14ac:dyDescent="0.3">
      <c r="A945" s="55"/>
      <c r="E945" s="235"/>
      <c r="H945" s="232"/>
      <c r="I945" s="269"/>
      <c r="J945" s="269"/>
      <c r="K945" s="282"/>
      <c r="L945" s="233"/>
      <c r="M945" s="317"/>
    </row>
    <row r="946" spans="1:13" x14ac:dyDescent="0.3">
      <c r="A946" s="55"/>
      <c r="E946" s="235"/>
      <c r="H946" s="232"/>
      <c r="I946" s="269"/>
      <c r="J946" s="269"/>
      <c r="K946" s="282"/>
      <c r="L946" s="233"/>
      <c r="M946" s="317"/>
    </row>
    <row r="947" spans="1:13" x14ac:dyDescent="0.3">
      <c r="A947" s="55"/>
      <c r="E947" s="235"/>
      <c r="H947" s="232"/>
      <c r="I947" s="269"/>
      <c r="J947" s="269"/>
      <c r="K947" s="282"/>
      <c r="L947" s="233"/>
      <c r="M947" s="317"/>
    </row>
    <row r="948" spans="1:13" x14ac:dyDescent="0.3">
      <c r="A948" s="55"/>
      <c r="E948" s="235"/>
      <c r="H948" s="232"/>
      <c r="I948" s="269"/>
      <c r="J948" s="269"/>
      <c r="K948" s="282"/>
      <c r="L948" s="233"/>
      <c r="M948" s="317"/>
    </row>
    <row r="949" spans="1:13" x14ac:dyDescent="0.3">
      <c r="A949" s="55"/>
      <c r="E949" s="235"/>
      <c r="H949" s="232"/>
      <c r="I949" s="269"/>
      <c r="J949" s="269"/>
      <c r="K949" s="282"/>
      <c r="L949" s="233"/>
      <c r="M949" s="317"/>
    </row>
    <row r="950" spans="1:13" x14ac:dyDescent="0.3">
      <c r="A950" s="55"/>
      <c r="E950" s="235"/>
      <c r="H950" s="232"/>
      <c r="I950" s="269"/>
      <c r="J950" s="269"/>
      <c r="K950" s="282"/>
      <c r="L950" s="233"/>
      <c r="M950" s="317"/>
    </row>
    <row r="951" spans="1:13" x14ac:dyDescent="0.3">
      <c r="A951" s="55"/>
      <c r="E951" s="235"/>
      <c r="H951" s="232"/>
      <c r="I951" s="269"/>
      <c r="J951" s="269"/>
      <c r="K951" s="282"/>
      <c r="L951" s="233"/>
      <c r="M951" s="317"/>
    </row>
    <row r="952" spans="1:13" x14ac:dyDescent="0.3">
      <c r="A952" s="55"/>
      <c r="E952" s="235"/>
      <c r="H952" s="232"/>
      <c r="I952" s="269"/>
      <c r="J952" s="269"/>
      <c r="K952" s="282"/>
      <c r="L952" s="233"/>
      <c r="M952" s="317"/>
    </row>
    <row r="953" spans="1:13" x14ac:dyDescent="0.3">
      <c r="A953" s="55"/>
      <c r="E953" s="235"/>
      <c r="H953" s="232"/>
      <c r="I953" s="269"/>
      <c r="J953" s="269"/>
      <c r="K953" s="282"/>
      <c r="L953" s="233"/>
      <c r="M953" s="317"/>
    </row>
    <row r="954" spans="1:13" x14ac:dyDescent="0.3">
      <c r="A954" s="55"/>
      <c r="E954" s="235"/>
      <c r="H954" s="232"/>
      <c r="I954" s="269"/>
      <c r="J954" s="269"/>
      <c r="K954" s="282"/>
      <c r="L954" s="233"/>
      <c r="M954" s="317"/>
    </row>
    <row r="955" spans="1:13" x14ac:dyDescent="0.3">
      <c r="A955" s="55"/>
      <c r="E955" s="235"/>
      <c r="H955" s="232"/>
      <c r="I955" s="269"/>
      <c r="J955" s="269"/>
      <c r="K955" s="282"/>
      <c r="L955" s="233"/>
      <c r="M955" s="317"/>
    </row>
    <row r="956" spans="1:13" x14ac:dyDescent="0.3">
      <c r="A956" s="55"/>
      <c r="E956" s="235"/>
      <c r="H956" s="232"/>
      <c r="I956" s="269"/>
      <c r="J956" s="269"/>
      <c r="K956" s="282"/>
      <c r="L956" s="233"/>
      <c r="M956" s="317"/>
    </row>
    <row r="957" spans="1:13" x14ac:dyDescent="0.3">
      <c r="A957" s="55"/>
      <c r="E957" s="235"/>
      <c r="H957" s="232"/>
      <c r="I957" s="269"/>
      <c r="J957" s="269"/>
      <c r="K957" s="282"/>
      <c r="L957" s="233"/>
      <c r="M957" s="317"/>
    </row>
    <row r="958" spans="1:13" x14ac:dyDescent="0.3">
      <c r="A958" s="55"/>
      <c r="E958" s="235"/>
      <c r="H958" s="232"/>
      <c r="I958" s="269"/>
      <c r="J958" s="269"/>
      <c r="K958" s="282"/>
      <c r="L958" s="233"/>
      <c r="M958" s="317"/>
    </row>
    <row r="959" spans="1:13" x14ac:dyDescent="0.3">
      <c r="A959" s="55"/>
      <c r="E959" s="235"/>
      <c r="H959" s="232"/>
      <c r="I959" s="269"/>
      <c r="J959" s="269"/>
      <c r="K959" s="282"/>
      <c r="L959" s="233"/>
      <c r="M959" s="317"/>
    </row>
    <row r="960" spans="1:13" x14ac:dyDescent="0.3">
      <c r="A960" s="55"/>
      <c r="E960" s="235"/>
      <c r="H960" s="232"/>
      <c r="I960" s="269"/>
      <c r="J960" s="269"/>
      <c r="K960" s="282"/>
      <c r="L960" s="233"/>
      <c r="M960" s="317"/>
    </row>
    <row r="961" spans="1:13" x14ac:dyDescent="0.3">
      <c r="A961" s="55"/>
      <c r="E961" s="235"/>
      <c r="H961" s="232"/>
      <c r="I961" s="269"/>
      <c r="J961" s="269"/>
      <c r="K961" s="282"/>
      <c r="L961" s="233"/>
      <c r="M961" s="317"/>
    </row>
    <row r="962" spans="1:13" x14ac:dyDescent="0.3">
      <c r="A962" s="55"/>
      <c r="E962" s="235"/>
      <c r="H962" s="232"/>
      <c r="I962" s="269"/>
      <c r="J962" s="269"/>
      <c r="K962" s="282"/>
      <c r="L962" s="233"/>
      <c r="M962" s="317"/>
    </row>
    <row r="963" spans="1:13" x14ac:dyDescent="0.3">
      <c r="A963" s="55"/>
      <c r="E963" s="235"/>
      <c r="H963" s="232"/>
      <c r="I963" s="269"/>
      <c r="J963" s="269"/>
      <c r="K963" s="282"/>
      <c r="L963" s="233"/>
      <c r="M963" s="317"/>
    </row>
    <row r="964" spans="1:13" x14ac:dyDescent="0.3">
      <c r="A964" s="55"/>
      <c r="E964" s="235"/>
      <c r="H964" s="232"/>
      <c r="I964" s="269"/>
      <c r="J964" s="269"/>
      <c r="K964" s="282"/>
      <c r="L964" s="233"/>
      <c r="M964" s="317"/>
    </row>
    <row r="965" spans="1:13" x14ac:dyDescent="0.3">
      <c r="A965" s="55"/>
      <c r="E965" s="235"/>
      <c r="H965" s="232"/>
      <c r="I965" s="269"/>
      <c r="J965" s="269"/>
      <c r="K965" s="282"/>
      <c r="L965" s="233"/>
      <c r="M965" s="317"/>
    </row>
    <row r="966" spans="1:13" x14ac:dyDescent="0.3">
      <c r="A966" s="55"/>
      <c r="E966" s="235"/>
      <c r="H966" s="232"/>
      <c r="I966" s="269"/>
      <c r="J966" s="269"/>
      <c r="K966" s="282"/>
      <c r="L966" s="233"/>
      <c r="M966" s="317"/>
    </row>
    <row r="967" spans="1:13" x14ac:dyDescent="0.3">
      <c r="A967" s="55"/>
      <c r="E967" s="235"/>
      <c r="H967" s="232"/>
      <c r="I967" s="269"/>
      <c r="J967" s="269"/>
      <c r="K967" s="282"/>
      <c r="L967" s="233"/>
      <c r="M967" s="317"/>
    </row>
    <row r="968" spans="1:13" x14ac:dyDescent="0.3">
      <c r="A968" s="55"/>
      <c r="E968" s="235"/>
      <c r="H968" s="232"/>
      <c r="I968" s="269"/>
      <c r="J968" s="269"/>
      <c r="K968" s="282"/>
      <c r="L968" s="233"/>
      <c r="M968" s="317"/>
    </row>
    <row r="969" spans="1:13" x14ac:dyDescent="0.3">
      <c r="A969" s="55"/>
      <c r="E969" s="235"/>
      <c r="H969" s="232"/>
      <c r="I969" s="269"/>
      <c r="J969" s="269"/>
      <c r="K969" s="282"/>
      <c r="L969" s="233"/>
      <c r="M969" s="317"/>
    </row>
    <row r="970" spans="1:13" x14ac:dyDescent="0.3">
      <c r="A970" s="55"/>
      <c r="E970" s="235"/>
      <c r="I970" s="235"/>
      <c r="J970" s="235"/>
      <c r="K970" s="282"/>
      <c r="L970" s="233"/>
      <c r="M970" s="317"/>
    </row>
    <row r="971" spans="1:13" x14ac:dyDescent="0.3">
      <c r="A971" s="55"/>
      <c r="E971" s="235"/>
      <c r="I971" s="235"/>
      <c r="J971" s="235"/>
      <c r="K971" s="282"/>
      <c r="L971" s="233"/>
      <c r="M971" s="317"/>
    </row>
    <row r="972" spans="1:13" x14ac:dyDescent="0.3">
      <c r="A972" s="55"/>
      <c r="E972" s="235"/>
      <c r="I972" s="235"/>
      <c r="J972" s="235"/>
      <c r="K972" s="282"/>
      <c r="L972" s="233"/>
      <c r="M972" s="317"/>
    </row>
    <row r="973" spans="1:13" x14ac:dyDescent="0.3">
      <c r="A973" s="55"/>
      <c r="E973" s="235"/>
      <c r="I973" s="235"/>
      <c r="J973" s="235"/>
      <c r="K973" s="282"/>
      <c r="L973" s="233"/>
      <c r="M973" s="317"/>
    </row>
    <row r="974" spans="1:13" x14ac:dyDescent="0.3">
      <c r="A974" s="55"/>
      <c r="E974" s="235"/>
      <c r="I974" s="235"/>
      <c r="J974" s="235"/>
      <c r="K974" s="282"/>
      <c r="L974" s="233"/>
      <c r="M974" s="317"/>
    </row>
    <row r="975" spans="1:13" x14ac:dyDescent="0.3">
      <c r="A975" s="55"/>
      <c r="E975" s="235"/>
      <c r="I975" s="235"/>
      <c r="J975" s="235"/>
      <c r="K975" s="282"/>
      <c r="L975" s="233"/>
      <c r="M975" s="317"/>
    </row>
    <row r="976" spans="1:13" x14ac:dyDescent="0.3">
      <c r="A976" s="55"/>
      <c r="E976" s="235"/>
      <c r="I976" s="235"/>
      <c r="J976" s="235"/>
      <c r="K976" s="282"/>
      <c r="L976" s="233"/>
      <c r="M976" s="317"/>
    </row>
    <row r="977" spans="1:13" x14ac:dyDescent="0.3">
      <c r="A977" s="55"/>
      <c r="E977" s="235"/>
      <c r="I977" s="235"/>
      <c r="J977" s="235"/>
      <c r="K977" s="282"/>
      <c r="L977" s="233"/>
      <c r="M977" s="317"/>
    </row>
    <row r="978" spans="1:13" x14ac:dyDescent="0.3">
      <c r="A978" s="55"/>
      <c r="E978" s="235"/>
      <c r="I978" s="235"/>
      <c r="J978" s="235"/>
      <c r="K978" s="282"/>
      <c r="L978" s="233"/>
      <c r="M978" s="317"/>
    </row>
    <row r="979" spans="1:13" x14ac:dyDescent="0.3">
      <c r="A979" s="55"/>
      <c r="E979" s="235"/>
      <c r="I979" s="235"/>
      <c r="J979" s="235"/>
      <c r="K979" s="282"/>
      <c r="L979" s="233"/>
      <c r="M979" s="317"/>
    </row>
    <row r="980" spans="1:13" x14ac:dyDescent="0.3">
      <c r="A980" s="55"/>
      <c r="E980" s="235"/>
      <c r="I980" s="235"/>
      <c r="J980" s="235"/>
      <c r="K980" s="282"/>
      <c r="L980" s="233"/>
      <c r="M980" s="317"/>
    </row>
    <row r="981" spans="1:13" x14ac:dyDescent="0.3">
      <c r="A981" s="55"/>
      <c r="E981" s="235"/>
      <c r="I981" s="235"/>
      <c r="J981" s="235"/>
      <c r="K981" s="282"/>
      <c r="L981" s="233"/>
      <c r="M981" s="317"/>
    </row>
    <row r="982" spans="1:13" x14ac:dyDescent="0.3">
      <c r="A982" s="55"/>
      <c r="E982" s="235"/>
      <c r="I982" s="235"/>
      <c r="J982" s="235"/>
      <c r="K982" s="282"/>
      <c r="L982" s="233"/>
      <c r="M982" s="317"/>
    </row>
    <row r="983" spans="1:13" x14ac:dyDescent="0.3">
      <c r="A983" s="55"/>
      <c r="E983" s="235"/>
      <c r="I983" s="235"/>
      <c r="J983" s="235"/>
      <c r="K983" s="282"/>
      <c r="L983" s="233"/>
      <c r="M983" s="317"/>
    </row>
    <row r="984" spans="1:13" x14ac:dyDescent="0.3">
      <c r="A984" s="55"/>
      <c r="E984" s="235"/>
      <c r="I984" s="235"/>
      <c r="J984" s="235"/>
      <c r="K984" s="282"/>
      <c r="L984" s="233"/>
      <c r="M984" s="317"/>
    </row>
    <row r="985" spans="1:13" x14ac:dyDescent="0.3">
      <c r="A985" s="55"/>
      <c r="E985" s="235"/>
      <c r="I985" s="235"/>
      <c r="J985" s="235"/>
      <c r="K985" s="282"/>
      <c r="L985" s="233"/>
      <c r="M985" s="317"/>
    </row>
    <row r="986" spans="1:13" x14ac:dyDescent="0.3">
      <c r="A986" s="55"/>
      <c r="E986" s="235"/>
      <c r="I986" s="235"/>
      <c r="J986" s="235"/>
      <c r="K986" s="282"/>
      <c r="L986" s="233"/>
      <c r="M986" s="317"/>
    </row>
    <row r="987" spans="1:13" x14ac:dyDescent="0.3">
      <c r="A987" s="55"/>
      <c r="E987" s="235"/>
      <c r="I987" s="235"/>
      <c r="J987" s="235"/>
      <c r="K987" s="282"/>
      <c r="L987" s="233"/>
      <c r="M987" s="317"/>
    </row>
    <row r="988" spans="1:13" x14ac:dyDescent="0.3">
      <c r="A988" s="55"/>
      <c r="E988" s="235"/>
      <c r="I988" s="235"/>
      <c r="J988" s="235"/>
      <c r="K988" s="282"/>
      <c r="L988" s="233"/>
      <c r="M988" s="317"/>
    </row>
    <row r="989" spans="1:13" x14ac:dyDescent="0.3">
      <c r="A989" s="55"/>
      <c r="E989" s="235"/>
      <c r="I989" s="235"/>
      <c r="J989" s="235"/>
      <c r="K989" s="282"/>
      <c r="L989" s="233"/>
      <c r="M989" s="317"/>
    </row>
    <row r="990" spans="1:13" x14ac:dyDescent="0.3">
      <c r="A990" s="55"/>
      <c r="E990" s="235"/>
      <c r="I990" s="235"/>
      <c r="J990" s="235"/>
      <c r="K990" s="282"/>
      <c r="L990" s="233"/>
      <c r="M990" s="317"/>
    </row>
    <row r="991" spans="1:13" x14ac:dyDescent="0.3">
      <c r="A991" s="55"/>
      <c r="E991" s="235"/>
      <c r="I991" s="235"/>
      <c r="J991" s="235"/>
      <c r="K991" s="282"/>
      <c r="L991" s="233"/>
      <c r="M991" s="317"/>
    </row>
    <row r="992" spans="1:13" x14ac:dyDescent="0.3">
      <c r="A992" s="55"/>
      <c r="E992" s="235"/>
      <c r="I992" s="235"/>
      <c r="J992" s="235"/>
      <c r="K992" s="282"/>
      <c r="L992" s="233"/>
      <c r="M992" s="317"/>
    </row>
    <row r="993" spans="1:13" x14ac:dyDescent="0.3">
      <c r="A993" s="55"/>
      <c r="E993" s="235"/>
      <c r="I993" s="235"/>
      <c r="J993" s="235"/>
      <c r="K993" s="282"/>
      <c r="L993" s="233"/>
      <c r="M993" s="317"/>
    </row>
    <row r="994" spans="1:13" x14ac:dyDescent="0.3">
      <c r="A994" s="55"/>
      <c r="E994" s="235"/>
      <c r="I994" s="235"/>
      <c r="J994" s="235"/>
      <c r="K994" s="282"/>
      <c r="L994" s="233"/>
      <c r="M994" s="317"/>
    </row>
    <row r="995" spans="1:13" x14ac:dyDescent="0.3">
      <c r="A995" s="55"/>
      <c r="E995" s="235"/>
      <c r="I995" s="235"/>
      <c r="J995" s="235"/>
      <c r="K995" s="282"/>
      <c r="L995" s="233"/>
      <c r="M995" s="317"/>
    </row>
    <row r="996" spans="1:13" x14ac:dyDescent="0.3">
      <c r="A996" s="55"/>
      <c r="E996" s="235"/>
      <c r="I996" s="235"/>
      <c r="J996" s="235"/>
      <c r="K996" s="282"/>
      <c r="L996" s="233"/>
      <c r="M996" s="317"/>
    </row>
    <row r="997" spans="1:13" x14ac:dyDescent="0.3">
      <c r="A997" s="55"/>
      <c r="E997" s="235"/>
      <c r="I997" s="235"/>
      <c r="J997" s="235"/>
      <c r="K997" s="282"/>
      <c r="L997" s="233"/>
      <c r="M997" s="317"/>
    </row>
    <row r="998" spans="1:13" x14ac:dyDescent="0.3">
      <c r="A998" s="55"/>
      <c r="E998" s="235"/>
      <c r="I998" s="235"/>
      <c r="J998" s="235"/>
      <c r="K998" s="282"/>
      <c r="L998" s="233"/>
      <c r="M998" s="317"/>
    </row>
    <row r="999" spans="1:13" x14ac:dyDescent="0.3">
      <c r="A999" s="55"/>
      <c r="E999" s="235"/>
      <c r="I999" s="235"/>
      <c r="J999" s="235"/>
      <c r="K999" s="282"/>
      <c r="L999" s="233"/>
      <c r="M999" s="317"/>
    </row>
    <row r="1000" spans="1:13" x14ac:dyDescent="0.3">
      <c r="A1000" s="55"/>
      <c r="E1000" s="235"/>
      <c r="I1000" s="235"/>
      <c r="J1000" s="235"/>
      <c r="K1000" s="282"/>
      <c r="L1000" s="233"/>
      <c r="M1000" s="317"/>
    </row>
    <row r="1001" spans="1:13" x14ac:dyDescent="0.3">
      <c r="A1001" s="55"/>
      <c r="E1001" s="235"/>
      <c r="I1001" s="235"/>
      <c r="J1001" s="235"/>
      <c r="K1001" s="282"/>
      <c r="L1001" s="233"/>
      <c r="M1001" s="317"/>
    </row>
    <row r="1002" spans="1:13" x14ac:dyDescent="0.3">
      <c r="A1002" s="55"/>
      <c r="E1002" s="235"/>
      <c r="I1002" s="235"/>
      <c r="J1002" s="235"/>
      <c r="K1002" s="282"/>
      <c r="L1002" s="233"/>
      <c r="M1002" s="317"/>
    </row>
    <row r="1003" spans="1:13" x14ac:dyDescent="0.3">
      <c r="A1003" s="55"/>
      <c r="E1003" s="235"/>
      <c r="I1003" s="235"/>
      <c r="J1003" s="235"/>
      <c r="K1003" s="282"/>
      <c r="L1003" s="233"/>
      <c r="M1003" s="317"/>
    </row>
    <row r="1004" spans="1:13" x14ac:dyDescent="0.3">
      <c r="A1004" s="55"/>
      <c r="E1004" s="235"/>
      <c r="I1004" s="235"/>
      <c r="J1004" s="235"/>
      <c r="K1004" s="282"/>
      <c r="L1004" s="233"/>
      <c r="M1004" s="317"/>
    </row>
    <row r="1005" spans="1:13" x14ac:dyDescent="0.3">
      <c r="A1005" s="55"/>
      <c r="E1005" s="235"/>
      <c r="I1005" s="235"/>
      <c r="J1005" s="235"/>
      <c r="K1005" s="282"/>
      <c r="L1005" s="233"/>
      <c r="M1005" s="317"/>
    </row>
    <row r="1006" spans="1:13" x14ac:dyDescent="0.3">
      <c r="A1006" s="55"/>
      <c r="E1006" s="235"/>
      <c r="I1006" s="235"/>
      <c r="J1006" s="235"/>
      <c r="K1006" s="282"/>
      <c r="L1006" s="233"/>
      <c r="M1006" s="317"/>
    </row>
    <row r="1007" spans="1:13" x14ac:dyDescent="0.3">
      <c r="A1007" s="55"/>
      <c r="E1007" s="235"/>
      <c r="I1007" s="235"/>
      <c r="J1007" s="235"/>
      <c r="K1007" s="282"/>
      <c r="L1007" s="233"/>
      <c r="M1007" s="317"/>
    </row>
    <row r="1008" spans="1:13" x14ac:dyDescent="0.3">
      <c r="A1008" s="55"/>
      <c r="E1008" s="235"/>
      <c r="I1008" s="235"/>
      <c r="J1008" s="235"/>
      <c r="K1008" s="282"/>
      <c r="L1008" s="233"/>
      <c r="M1008" s="317"/>
    </row>
    <row r="1009" spans="1:13" x14ac:dyDescent="0.3">
      <c r="A1009" s="55"/>
      <c r="E1009" s="235"/>
      <c r="I1009" s="235"/>
      <c r="J1009" s="235"/>
      <c r="K1009" s="282"/>
      <c r="L1009" s="233"/>
      <c r="M1009" s="317"/>
    </row>
    <row r="1010" spans="1:13" x14ac:dyDescent="0.3">
      <c r="A1010" s="55"/>
      <c r="E1010" s="235"/>
      <c r="I1010" s="235"/>
      <c r="J1010" s="235"/>
      <c r="K1010" s="282"/>
      <c r="L1010" s="233"/>
      <c r="M1010" s="317"/>
    </row>
    <row r="1011" spans="1:13" x14ac:dyDescent="0.3">
      <c r="A1011" s="55"/>
      <c r="E1011" s="235"/>
      <c r="I1011" s="235"/>
      <c r="J1011" s="235"/>
      <c r="K1011" s="282"/>
      <c r="L1011" s="233"/>
      <c r="M1011" s="317"/>
    </row>
    <row r="1012" spans="1:13" x14ac:dyDescent="0.3">
      <c r="A1012" s="55"/>
      <c r="E1012" s="235"/>
      <c r="I1012" s="235"/>
      <c r="J1012" s="235"/>
      <c r="K1012" s="282"/>
      <c r="L1012" s="233"/>
      <c r="M1012" s="317"/>
    </row>
    <row r="1013" spans="1:13" x14ac:dyDescent="0.3">
      <c r="A1013" s="55"/>
      <c r="E1013" s="235"/>
      <c r="I1013" s="235"/>
      <c r="J1013" s="235"/>
      <c r="K1013" s="282"/>
      <c r="L1013" s="233"/>
      <c r="M1013" s="317"/>
    </row>
    <row r="1014" spans="1:13" x14ac:dyDescent="0.3">
      <c r="A1014" s="55"/>
      <c r="E1014" s="235"/>
      <c r="I1014" s="235"/>
      <c r="J1014" s="235"/>
      <c r="K1014" s="282"/>
      <c r="L1014" s="233"/>
      <c r="M1014" s="317"/>
    </row>
    <row r="1015" spans="1:13" x14ac:dyDescent="0.3">
      <c r="A1015" s="55"/>
      <c r="E1015" s="235"/>
      <c r="I1015" s="235"/>
      <c r="J1015" s="235"/>
      <c r="K1015" s="282"/>
      <c r="L1015" s="233"/>
      <c r="M1015" s="317"/>
    </row>
    <row r="1016" spans="1:13" x14ac:dyDescent="0.3">
      <c r="A1016" s="55"/>
      <c r="E1016" s="235"/>
      <c r="I1016" s="235"/>
      <c r="J1016" s="235"/>
      <c r="K1016" s="282"/>
      <c r="L1016" s="233"/>
      <c r="M1016" s="317"/>
    </row>
    <row r="1017" spans="1:13" x14ac:dyDescent="0.3">
      <c r="A1017" s="55"/>
      <c r="E1017" s="235"/>
      <c r="I1017" s="235"/>
      <c r="J1017" s="235"/>
      <c r="K1017" s="282"/>
      <c r="L1017" s="233"/>
      <c r="M1017" s="317"/>
    </row>
    <row r="1018" spans="1:13" x14ac:dyDescent="0.3">
      <c r="A1018" s="55"/>
      <c r="E1018" s="235"/>
      <c r="I1018" s="235"/>
      <c r="J1018" s="235"/>
      <c r="K1018" s="282"/>
      <c r="L1018" s="233"/>
      <c r="M1018" s="317"/>
    </row>
    <row r="1019" spans="1:13" x14ac:dyDescent="0.3">
      <c r="A1019" s="55"/>
      <c r="E1019" s="235"/>
      <c r="I1019" s="235"/>
      <c r="J1019" s="235"/>
      <c r="K1019" s="46"/>
      <c r="L1019" s="47"/>
      <c r="M1019" s="335"/>
    </row>
    <row r="1020" spans="1:13" x14ac:dyDescent="0.3">
      <c r="A1020" s="55"/>
      <c r="E1020" s="235"/>
      <c r="I1020" s="235"/>
      <c r="J1020" s="235"/>
      <c r="K1020" s="46"/>
      <c r="L1020" s="47"/>
      <c r="M1020" s="335"/>
    </row>
    <row r="1021" spans="1:13" x14ac:dyDescent="0.3">
      <c r="A1021" s="55"/>
      <c r="E1021" s="235"/>
      <c r="I1021" s="235"/>
      <c r="J1021" s="235"/>
      <c r="K1021" s="46"/>
      <c r="L1021" s="47"/>
      <c r="M1021" s="335"/>
    </row>
    <row r="1022" spans="1:13" x14ac:dyDescent="0.3">
      <c r="A1022" s="55"/>
      <c r="E1022" s="235"/>
      <c r="I1022" s="235"/>
      <c r="J1022" s="235"/>
      <c r="K1022" s="46"/>
      <c r="L1022" s="47"/>
      <c r="M1022" s="335"/>
    </row>
    <row r="1023" spans="1:13" x14ac:dyDescent="0.3">
      <c r="A1023" s="55"/>
      <c r="E1023" s="235"/>
      <c r="I1023" s="235"/>
      <c r="J1023" s="235"/>
      <c r="K1023" s="46"/>
      <c r="L1023" s="47"/>
      <c r="M1023" s="335"/>
    </row>
    <row r="1024" spans="1:13" x14ac:dyDescent="0.3">
      <c r="A1024" s="55"/>
      <c r="E1024" s="235"/>
      <c r="I1024" s="235"/>
      <c r="J1024" s="235"/>
      <c r="K1024" s="46"/>
      <c r="L1024" s="47"/>
      <c r="M1024" s="335"/>
    </row>
    <row r="1025" spans="1:13" x14ac:dyDescent="0.3">
      <c r="A1025" s="55"/>
      <c r="E1025" s="235"/>
      <c r="I1025" s="235"/>
      <c r="J1025" s="235"/>
      <c r="K1025" s="46"/>
      <c r="L1025" s="47"/>
      <c r="M1025" s="335"/>
    </row>
    <row r="1026" spans="1:13" x14ac:dyDescent="0.3">
      <c r="A1026" s="55"/>
      <c r="E1026" s="235"/>
      <c r="I1026" s="235"/>
      <c r="J1026" s="235"/>
      <c r="K1026" s="46"/>
      <c r="L1026" s="47"/>
      <c r="M1026" s="335"/>
    </row>
    <row r="1027" spans="1:13" x14ac:dyDescent="0.3">
      <c r="A1027" s="55"/>
      <c r="E1027" s="235"/>
      <c r="I1027" s="235"/>
      <c r="J1027" s="235"/>
      <c r="K1027" s="46"/>
      <c r="L1027" s="47"/>
      <c r="M1027" s="335"/>
    </row>
    <row r="1028" spans="1:13" x14ac:dyDescent="0.3">
      <c r="A1028" s="55"/>
      <c r="E1028" s="235"/>
      <c r="I1028" s="235"/>
      <c r="J1028" s="235"/>
      <c r="K1028" s="46"/>
      <c r="L1028" s="47"/>
      <c r="M1028" s="335"/>
    </row>
    <row r="1029" spans="1:13" x14ac:dyDescent="0.3">
      <c r="A1029" s="55"/>
      <c r="E1029" s="235"/>
      <c r="I1029" s="235"/>
      <c r="J1029" s="235"/>
      <c r="K1029" s="46"/>
      <c r="L1029" s="47"/>
      <c r="M1029" s="335"/>
    </row>
    <row r="1030" spans="1:13" x14ac:dyDescent="0.3">
      <c r="A1030" s="55"/>
      <c r="E1030" s="235"/>
      <c r="I1030" s="235"/>
      <c r="J1030" s="235"/>
      <c r="K1030" s="46"/>
      <c r="L1030" s="47"/>
      <c r="M1030" s="335"/>
    </row>
    <row r="1031" spans="1:13" x14ac:dyDescent="0.3">
      <c r="A1031" s="55"/>
      <c r="E1031" s="235"/>
      <c r="I1031" s="235"/>
      <c r="J1031" s="235"/>
      <c r="K1031" s="46"/>
      <c r="L1031" s="47"/>
      <c r="M1031" s="335"/>
    </row>
    <row r="1032" spans="1:13" x14ac:dyDescent="0.3">
      <c r="A1032" s="55"/>
      <c r="E1032" s="235"/>
      <c r="I1032" s="235"/>
      <c r="J1032" s="235"/>
      <c r="K1032" s="46"/>
      <c r="L1032" s="47"/>
      <c r="M1032" s="335"/>
    </row>
    <row r="1033" spans="1:13" x14ac:dyDescent="0.3">
      <c r="A1033" s="55"/>
      <c r="E1033" s="235"/>
      <c r="I1033" s="235"/>
      <c r="J1033" s="235"/>
      <c r="K1033" s="46"/>
      <c r="L1033" s="47"/>
      <c r="M1033" s="335"/>
    </row>
    <row r="1034" spans="1:13" x14ac:dyDescent="0.3">
      <c r="A1034" s="55"/>
      <c r="E1034" s="235"/>
      <c r="I1034" s="235"/>
      <c r="J1034" s="235"/>
      <c r="K1034" s="46"/>
      <c r="L1034" s="47"/>
      <c r="M1034" s="335"/>
    </row>
    <row r="1035" spans="1:13" x14ac:dyDescent="0.3">
      <c r="A1035" s="55"/>
      <c r="E1035" s="235"/>
      <c r="I1035" s="235"/>
      <c r="J1035" s="235"/>
      <c r="K1035" s="46"/>
      <c r="L1035" s="47"/>
      <c r="M1035" s="335"/>
    </row>
    <row r="1036" spans="1:13" x14ac:dyDescent="0.3">
      <c r="A1036" s="55"/>
      <c r="E1036" s="235"/>
      <c r="I1036" s="235"/>
      <c r="J1036" s="235"/>
      <c r="K1036" s="46"/>
      <c r="L1036" s="47"/>
      <c r="M1036" s="335"/>
    </row>
    <row r="1037" spans="1:13" x14ac:dyDescent="0.3">
      <c r="A1037" s="55"/>
      <c r="E1037" s="235"/>
      <c r="I1037" s="235"/>
      <c r="J1037" s="235"/>
      <c r="K1037" s="46"/>
      <c r="L1037" s="47"/>
      <c r="M1037" s="335"/>
    </row>
    <row r="1038" spans="1:13" x14ac:dyDescent="0.3">
      <c r="A1038" s="55"/>
      <c r="E1038" s="235"/>
      <c r="I1038" s="235"/>
      <c r="J1038" s="235"/>
      <c r="K1038" s="46"/>
      <c r="L1038" s="47"/>
      <c r="M1038" s="335"/>
    </row>
    <row r="1039" spans="1:13" x14ac:dyDescent="0.3">
      <c r="A1039" s="55"/>
      <c r="E1039" s="235"/>
      <c r="I1039" s="235"/>
      <c r="J1039" s="235"/>
      <c r="K1039" s="46"/>
      <c r="L1039" s="47"/>
      <c r="M1039" s="335"/>
    </row>
    <row r="1040" spans="1:13" x14ac:dyDescent="0.3">
      <c r="A1040" s="55"/>
      <c r="E1040" s="235"/>
      <c r="I1040" s="235"/>
      <c r="J1040" s="235"/>
      <c r="K1040" s="46"/>
      <c r="L1040" s="47"/>
      <c r="M1040" s="335"/>
    </row>
    <row r="1041" spans="1:13" x14ac:dyDescent="0.3">
      <c r="A1041" s="55"/>
      <c r="E1041" s="235"/>
      <c r="I1041" s="235"/>
      <c r="J1041" s="235"/>
      <c r="K1041" s="46"/>
      <c r="L1041" s="47"/>
      <c r="M1041" s="335"/>
    </row>
    <row r="1042" spans="1:13" x14ac:dyDescent="0.3">
      <c r="A1042" s="55"/>
      <c r="E1042" s="235"/>
      <c r="I1042" s="235"/>
      <c r="J1042" s="235"/>
      <c r="K1042" s="46"/>
      <c r="L1042" s="47"/>
      <c r="M1042" s="335"/>
    </row>
    <row r="1043" spans="1:13" x14ac:dyDescent="0.3">
      <c r="A1043" s="55"/>
      <c r="E1043" s="235"/>
      <c r="I1043" s="235"/>
      <c r="J1043" s="235"/>
      <c r="K1043" s="46"/>
      <c r="L1043" s="47"/>
      <c r="M1043" s="335"/>
    </row>
    <row r="1044" spans="1:13" x14ac:dyDescent="0.3">
      <c r="A1044" s="55"/>
      <c r="E1044" s="235"/>
      <c r="I1044" s="235"/>
      <c r="J1044" s="235"/>
      <c r="K1044" s="46"/>
      <c r="L1044" s="47"/>
      <c r="M1044" s="335"/>
    </row>
    <row r="1045" spans="1:13" x14ac:dyDescent="0.3">
      <c r="A1045" s="55"/>
      <c r="E1045" s="235"/>
      <c r="I1045" s="235"/>
      <c r="J1045" s="235"/>
      <c r="K1045" s="46"/>
      <c r="L1045" s="47"/>
      <c r="M1045" s="335"/>
    </row>
    <row r="1046" spans="1:13" x14ac:dyDescent="0.3">
      <c r="A1046" s="55"/>
      <c r="E1046" s="235"/>
      <c r="I1046" s="235"/>
      <c r="J1046" s="235"/>
      <c r="K1046" s="46"/>
      <c r="L1046" s="47"/>
      <c r="M1046" s="335"/>
    </row>
    <row r="1047" spans="1:13" x14ac:dyDescent="0.3">
      <c r="A1047" s="55"/>
      <c r="E1047" s="235"/>
      <c r="I1047" s="235"/>
      <c r="J1047" s="235"/>
      <c r="K1047" s="46"/>
      <c r="L1047" s="47"/>
      <c r="M1047" s="335"/>
    </row>
    <row r="1048" spans="1:13" x14ac:dyDescent="0.3">
      <c r="A1048" s="55"/>
      <c r="E1048" s="235"/>
      <c r="I1048" s="235"/>
      <c r="J1048" s="235"/>
      <c r="K1048" s="46"/>
      <c r="L1048" s="47"/>
      <c r="M1048" s="335"/>
    </row>
    <row r="1049" spans="1:13" x14ac:dyDescent="0.3">
      <c r="A1049" s="55"/>
      <c r="E1049" s="235"/>
      <c r="I1049" s="235"/>
      <c r="J1049" s="235"/>
      <c r="K1049" s="46"/>
      <c r="L1049" s="47"/>
      <c r="M1049" s="335"/>
    </row>
    <row r="1050" spans="1:13" x14ac:dyDescent="0.3">
      <c r="A1050" s="55"/>
      <c r="E1050" s="235"/>
      <c r="I1050" s="235"/>
      <c r="J1050" s="235"/>
      <c r="K1050" s="46"/>
      <c r="L1050" s="47"/>
      <c r="M1050" s="335"/>
    </row>
    <row r="1051" spans="1:13" x14ac:dyDescent="0.3">
      <c r="A1051" s="55"/>
      <c r="I1051" s="235"/>
      <c r="J1051" s="235"/>
      <c r="K1051" s="46"/>
      <c r="L1051" s="47"/>
      <c r="M1051" s="335"/>
    </row>
    <row r="1052" spans="1:13" x14ac:dyDescent="0.3">
      <c r="A1052" s="55"/>
      <c r="I1052" s="235"/>
      <c r="J1052" s="235"/>
      <c r="K1052" s="46"/>
      <c r="L1052" s="47"/>
      <c r="M1052" s="335"/>
    </row>
    <row r="1053" spans="1:13" x14ac:dyDescent="0.3">
      <c r="A1053" s="55"/>
      <c r="I1053" s="235"/>
      <c r="J1053" s="235"/>
      <c r="K1053" s="46"/>
      <c r="L1053" s="47"/>
      <c r="M1053" s="335"/>
    </row>
    <row r="1054" spans="1:13" x14ac:dyDescent="0.3">
      <c r="A1054" s="55"/>
      <c r="I1054" s="235"/>
      <c r="J1054" s="235"/>
      <c r="K1054" s="46"/>
      <c r="L1054" s="47"/>
      <c r="M1054" s="335"/>
    </row>
    <row r="1055" spans="1:13" x14ac:dyDescent="0.3">
      <c r="A1055" s="55"/>
      <c r="I1055" s="235"/>
      <c r="J1055" s="235"/>
      <c r="K1055" s="46"/>
      <c r="L1055" s="47"/>
      <c r="M1055" s="335"/>
    </row>
    <row r="1056" spans="1:13" x14ac:dyDescent="0.3">
      <c r="A1056" s="55"/>
      <c r="I1056" s="235"/>
      <c r="J1056" s="235"/>
      <c r="K1056" s="46"/>
      <c r="L1056" s="47"/>
      <c r="M1056" s="335"/>
    </row>
    <row r="1057" spans="1:13" x14ac:dyDescent="0.3">
      <c r="A1057" s="55"/>
      <c r="I1057" s="235"/>
      <c r="J1057" s="235"/>
      <c r="K1057" s="46"/>
      <c r="L1057" s="47"/>
      <c r="M1057" s="335"/>
    </row>
    <row r="1058" spans="1:13" x14ac:dyDescent="0.3">
      <c r="A1058" s="55"/>
      <c r="I1058" s="235"/>
      <c r="J1058" s="235"/>
      <c r="K1058" s="46"/>
      <c r="L1058" s="47"/>
      <c r="M1058" s="335"/>
    </row>
    <row r="1059" spans="1:13" x14ac:dyDescent="0.3">
      <c r="A1059" s="55"/>
      <c r="I1059" s="235"/>
      <c r="J1059" s="235"/>
      <c r="K1059" s="46"/>
      <c r="L1059" s="47"/>
      <c r="M1059" s="335"/>
    </row>
    <row r="1060" spans="1:13" x14ac:dyDescent="0.3">
      <c r="A1060" s="55"/>
      <c r="I1060" s="235"/>
      <c r="J1060" s="235"/>
      <c r="K1060" s="46"/>
      <c r="L1060" s="47"/>
      <c r="M1060" s="335"/>
    </row>
    <row r="1061" spans="1:13" x14ac:dyDescent="0.3">
      <c r="A1061" s="55"/>
      <c r="I1061" s="235"/>
      <c r="J1061" s="235"/>
      <c r="K1061" s="46"/>
      <c r="L1061" s="47"/>
      <c r="M1061" s="335"/>
    </row>
    <row r="1062" spans="1:13" x14ac:dyDescent="0.3">
      <c r="A1062" s="55"/>
      <c r="I1062" s="235"/>
      <c r="J1062" s="235"/>
      <c r="K1062" s="46"/>
      <c r="L1062" s="47"/>
      <c r="M1062" s="335"/>
    </row>
    <row r="1063" spans="1:13" x14ac:dyDescent="0.3">
      <c r="A1063" s="55"/>
      <c r="I1063" s="235"/>
      <c r="J1063" s="235"/>
      <c r="K1063" s="46"/>
      <c r="L1063" s="47"/>
      <c r="M1063" s="335"/>
    </row>
    <row r="1064" spans="1:13" x14ac:dyDescent="0.3">
      <c r="A1064" s="55"/>
      <c r="I1064" s="235"/>
      <c r="J1064" s="235"/>
      <c r="K1064" s="46"/>
      <c r="L1064" s="47"/>
      <c r="M1064" s="335"/>
    </row>
    <row r="1065" spans="1:13" x14ac:dyDescent="0.3">
      <c r="A1065" s="55"/>
      <c r="I1065" s="235"/>
      <c r="J1065" s="235"/>
      <c r="K1065" s="46"/>
      <c r="L1065" s="47"/>
      <c r="M1065" s="335"/>
    </row>
    <row r="1066" spans="1:13" x14ac:dyDescent="0.3">
      <c r="A1066" s="55"/>
      <c r="I1066" s="235"/>
      <c r="J1066" s="235"/>
      <c r="K1066" s="46"/>
      <c r="L1066" s="47"/>
      <c r="M1066" s="335"/>
    </row>
    <row r="1067" spans="1:13" x14ac:dyDescent="0.3">
      <c r="A1067" s="55"/>
      <c r="I1067" s="235"/>
      <c r="J1067" s="235"/>
      <c r="K1067" s="46"/>
      <c r="L1067" s="47"/>
      <c r="M1067" s="335"/>
    </row>
    <row r="1068" spans="1:13" x14ac:dyDescent="0.3">
      <c r="A1068" s="55"/>
      <c r="I1068" s="235"/>
      <c r="J1068" s="235"/>
      <c r="K1068" s="46"/>
      <c r="L1068" s="47"/>
      <c r="M1068" s="335"/>
    </row>
    <row r="1069" spans="1:13" x14ac:dyDescent="0.3">
      <c r="A1069" s="55"/>
      <c r="I1069" s="235"/>
      <c r="J1069" s="235"/>
      <c r="K1069" s="46"/>
      <c r="L1069" s="47"/>
      <c r="M1069" s="335"/>
    </row>
    <row r="1070" spans="1:13" x14ac:dyDescent="0.3">
      <c r="A1070" s="55"/>
      <c r="I1070" s="235"/>
      <c r="J1070" s="235"/>
      <c r="K1070" s="46"/>
      <c r="L1070" s="47"/>
      <c r="M1070" s="335"/>
    </row>
    <row r="1071" spans="1:13" x14ac:dyDescent="0.3">
      <c r="A1071" s="55"/>
      <c r="I1071" s="235"/>
      <c r="J1071" s="235"/>
      <c r="K1071" s="46"/>
      <c r="L1071" s="47"/>
      <c r="M1071" s="335"/>
    </row>
    <row r="1072" spans="1:13" x14ac:dyDescent="0.3">
      <c r="A1072" s="55"/>
      <c r="I1072" s="235"/>
      <c r="J1072" s="235"/>
      <c r="K1072" s="46"/>
      <c r="L1072" s="47"/>
      <c r="M1072" s="335"/>
    </row>
    <row r="1073" spans="1:13" x14ac:dyDescent="0.3">
      <c r="A1073" s="55"/>
      <c r="I1073" s="235"/>
      <c r="J1073" s="235"/>
      <c r="K1073" s="46"/>
      <c r="L1073" s="47"/>
      <c r="M1073" s="335"/>
    </row>
    <row r="1074" spans="1:13" x14ac:dyDescent="0.3">
      <c r="A1074" s="55"/>
      <c r="I1074" s="235"/>
      <c r="J1074" s="235"/>
      <c r="K1074" s="46"/>
      <c r="L1074" s="47"/>
      <c r="M1074" s="335"/>
    </row>
    <row r="1075" spans="1:13" x14ac:dyDescent="0.3">
      <c r="A1075" s="55"/>
      <c r="I1075" s="235"/>
      <c r="J1075" s="235"/>
      <c r="K1075" s="46"/>
      <c r="L1075" s="47"/>
      <c r="M1075" s="335"/>
    </row>
    <row r="1076" spans="1:13" x14ac:dyDescent="0.3">
      <c r="A1076" s="55"/>
      <c r="I1076" s="235"/>
      <c r="J1076" s="235"/>
      <c r="K1076" s="46"/>
      <c r="L1076" s="47"/>
      <c r="M1076" s="335"/>
    </row>
    <row r="1077" spans="1:13" x14ac:dyDescent="0.3">
      <c r="A1077" s="55"/>
      <c r="I1077" s="235"/>
      <c r="J1077" s="235"/>
      <c r="K1077" s="46"/>
      <c r="L1077" s="47"/>
      <c r="M1077" s="335"/>
    </row>
    <row r="1078" spans="1:13" x14ac:dyDescent="0.3">
      <c r="A1078" s="55"/>
      <c r="I1078" s="235"/>
      <c r="J1078" s="235"/>
      <c r="K1078" s="46"/>
      <c r="L1078" s="47"/>
      <c r="M1078" s="335"/>
    </row>
    <row r="1079" spans="1:13" x14ac:dyDescent="0.3">
      <c r="A1079" s="55"/>
      <c r="I1079" s="235"/>
      <c r="J1079" s="235"/>
      <c r="K1079" s="46"/>
      <c r="L1079" s="47"/>
      <c r="M1079" s="335"/>
    </row>
    <row r="1080" spans="1:13" x14ac:dyDescent="0.3">
      <c r="A1080" s="55"/>
      <c r="I1080" s="235"/>
      <c r="J1080" s="235"/>
      <c r="K1080" s="46"/>
      <c r="L1080" s="47"/>
      <c r="M1080" s="335"/>
    </row>
    <row r="1081" spans="1:13" x14ac:dyDescent="0.3">
      <c r="A1081" s="55"/>
      <c r="I1081" s="235"/>
      <c r="J1081" s="235"/>
      <c r="K1081" s="46"/>
      <c r="L1081" s="47"/>
      <c r="M1081" s="335"/>
    </row>
    <row r="1082" spans="1:13" x14ac:dyDescent="0.3">
      <c r="A1082" s="55"/>
      <c r="I1082" s="235"/>
      <c r="J1082" s="235"/>
      <c r="K1082" s="46"/>
      <c r="L1082" s="47"/>
      <c r="M1082" s="335"/>
    </row>
    <row r="1083" spans="1:13" x14ac:dyDescent="0.3">
      <c r="A1083" s="55"/>
      <c r="I1083" s="235"/>
      <c r="J1083" s="235"/>
      <c r="K1083" s="46"/>
      <c r="L1083" s="47"/>
      <c r="M1083" s="335"/>
    </row>
    <row r="1084" spans="1:13" x14ac:dyDescent="0.3">
      <c r="A1084" s="55"/>
      <c r="I1084" s="235"/>
      <c r="J1084" s="235"/>
      <c r="K1084" s="46"/>
      <c r="L1084" s="47"/>
      <c r="M1084" s="335"/>
    </row>
    <row r="1085" spans="1:13" x14ac:dyDescent="0.3">
      <c r="A1085" s="55"/>
      <c r="I1085" s="235"/>
      <c r="J1085" s="235"/>
      <c r="K1085" s="46"/>
      <c r="L1085" s="47"/>
      <c r="M1085" s="335"/>
    </row>
    <row r="1086" spans="1:13" x14ac:dyDescent="0.3">
      <c r="A1086" s="55"/>
      <c r="I1086" s="235"/>
      <c r="J1086" s="235"/>
      <c r="K1086" s="46"/>
      <c r="L1086" s="47"/>
      <c r="M1086" s="335"/>
    </row>
    <row r="1087" spans="1:13" x14ac:dyDescent="0.3">
      <c r="A1087" s="55"/>
      <c r="I1087" s="235"/>
      <c r="J1087" s="235"/>
      <c r="K1087" s="46"/>
      <c r="L1087" s="47"/>
      <c r="M1087" s="335"/>
    </row>
    <row r="1088" spans="1:13" x14ac:dyDescent="0.3">
      <c r="A1088" s="55"/>
      <c r="I1088" s="235"/>
      <c r="J1088" s="235"/>
      <c r="K1088" s="46"/>
      <c r="L1088" s="47"/>
      <c r="M1088" s="335"/>
    </row>
    <row r="1089" spans="1:13" x14ac:dyDescent="0.3">
      <c r="A1089" s="55"/>
      <c r="I1089" s="235"/>
      <c r="J1089" s="235"/>
      <c r="K1089" s="46"/>
      <c r="L1089" s="47"/>
      <c r="M1089" s="335"/>
    </row>
    <row r="1090" spans="1:13" x14ac:dyDescent="0.3">
      <c r="A1090" s="55"/>
      <c r="I1090" s="235"/>
      <c r="J1090" s="235"/>
      <c r="K1090" s="46"/>
      <c r="L1090" s="47"/>
      <c r="M1090" s="335"/>
    </row>
    <row r="1091" spans="1:13" x14ac:dyDescent="0.3">
      <c r="A1091" s="55"/>
      <c r="I1091" s="235"/>
      <c r="J1091" s="235"/>
      <c r="K1091" s="46"/>
      <c r="L1091" s="47"/>
      <c r="M1091" s="335"/>
    </row>
    <row r="1092" spans="1:13" x14ac:dyDescent="0.3">
      <c r="A1092" s="55"/>
      <c r="I1092" s="235"/>
      <c r="J1092" s="235"/>
      <c r="K1092" s="46"/>
      <c r="L1092" s="47"/>
      <c r="M1092" s="335"/>
    </row>
    <row r="1093" spans="1:13" x14ac:dyDescent="0.3">
      <c r="A1093" s="55"/>
      <c r="I1093" s="235"/>
      <c r="J1093" s="235"/>
      <c r="K1093" s="46"/>
      <c r="L1093" s="47"/>
      <c r="M1093" s="335"/>
    </row>
    <row r="1094" spans="1:13" x14ac:dyDescent="0.3">
      <c r="A1094" s="55"/>
      <c r="I1094" s="235"/>
      <c r="J1094" s="235"/>
      <c r="K1094" s="46"/>
      <c r="L1094" s="47"/>
      <c r="M1094" s="335"/>
    </row>
    <row r="1095" spans="1:13" x14ac:dyDescent="0.3">
      <c r="A1095" s="55"/>
      <c r="I1095" s="235"/>
      <c r="J1095" s="235"/>
      <c r="K1095" s="46"/>
      <c r="L1095" s="47"/>
      <c r="M1095" s="335"/>
    </row>
    <row r="1096" spans="1:13" x14ac:dyDescent="0.3">
      <c r="A1096" s="55"/>
      <c r="I1096" s="235"/>
      <c r="J1096" s="235"/>
      <c r="K1096" s="46"/>
      <c r="L1096" s="47"/>
      <c r="M1096" s="335"/>
    </row>
    <row r="1097" spans="1:13" x14ac:dyDescent="0.3">
      <c r="A1097" s="55"/>
      <c r="I1097" s="235"/>
      <c r="J1097" s="235"/>
      <c r="K1097" s="46"/>
      <c r="L1097" s="47"/>
      <c r="M1097" s="335"/>
    </row>
    <row r="1098" spans="1:13" x14ac:dyDescent="0.3">
      <c r="A1098" s="55"/>
      <c r="I1098" s="235"/>
      <c r="J1098" s="235"/>
      <c r="K1098" s="46"/>
      <c r="L1098" s="47"/>
      <c r="M1098" s="335"/>
    </row>
    <row r="1099" spans="1:13" x14ac:dyDescent="0.3">
      <c r="A1099" s="55"/>
      <c r="I1099" s="235"/>
      <c r="J1099" s="235"/>
      <c r="K1099" s="46"/>
      <c r="L1099" s="47"/>
      <c r="M1099" s="335"/>
    </row>
    <row r="1100" spans="1:13" x14ac:dyDescent="0.3">
      <c r="A1100" s="55"/>
      <c r="I1100" s="235"/>
      <c r="J1100" s="235"/>
      <c r="K1100" s="46"/>
      <c r="L1100" s="47"/>
      <c r="M1100" s="335"/>
    </row>
    <row r="1101" spans="1:13" x14ac:dyDescent="0.3">
      <c r="A1101" s="55"/>
      <c r="I1101" s="235"/>
      <c r="J1101" s="235"/>
      <c r="K1101" s="46"/>
      <c r="L1101" s="47"/>
      <c r="M1101" s="335"/>
    </row>
    <row r="1102" spans="1:13" x14ac:dyDescent="0.3">
      <c r="A1102" s="55"/>
      <c r="I1102" s="235"/>
      <c r="J1102" s="235"/>
      <c r="K1102" s="46"/>
      <c r="L1102" s="47"/>
      <c r="M1102" s="335"/>
    </row>
    <row r="1103" spans="1:13" x14ac:dyDescent="0.3">
      <c r="A1103" s="55"/>
      <c r="I1103" s="235"/>
      <c r="J1103" s="235"/>
      <c r="K1103" s="46"/>
      <c r="L1103" s="47"/>
      <c r="M1103" s="335"/>
    </row>
    <row r="1104" spans="1:13" x14ac:dyDescent="0.3">
      <c r="A1104" s="55"/>
      <c r="I1104" s="235"/>
      <c r="J1104" s="235"/>
      <c r="K1104" s="46"/>
      <c r="L1104" s="47"/>
      <c r="M1104" s="335"/>
    </row>
    <row r="1105" spans="1:13" x14ac:dyDescent="0.3">
      <c r="A1105" s="55"/>
      <c r="I1105" s="235"/>
      <c r="J1105" s="235"/>
      <c r="K1105" s="46"/>
      <c r="L1105" s="47"/>
      <c r="M1105" s="335"/>
    </row>
    <row r="1106" spans="1:13" x14ac:dyDescent="0.3">
      <c r="A1106" s="55"/>
      <c r="I1106" s="235"/>
      <c r="J1106" s="235"/>
      <c r="K1106" s="46"/>
      <c r="L1106" s="47"/>
      <c r="M1106" s="335"/>
    </row>
    <row r="1107" spans="1:13" x14ac:dyDescent="0.3">
      <c r="A1107" s="55"/>
      <c r="I1107" s="235"/>
      <c r="J1107" s="235"/>
      <c r="K1107" s="46"/>
      <c r="L1107" s="47"/>
      <c r="M1107" s="335"/>
    </row>
    <row r="1108" spans="1:13" x14ac:dyDescent="0.3">
      <c r="A1108" s="55"/>
      <c r="I1108" s="235"/>
      <c r="J1108" s="235"/>
      <c r="K1108" s="46"/>
      <c r="L1108" s="47"/>
      <c r="M1108" s="335"/>
    </row>
    <row r="1109" spans="1:13" x14ac:dyDescent="0.3">
      <c r="A1109" s="55"/>
      <c r="I1109" s="235"/>
      <c r="J1109" s="235"/>
      <c r="K1109" s="46"/>
      <c r="L1109" s="47"/>
      <c r="M1109" s="335"/>
    </row>
    <row r="1110" spans="1:13" x14ac:dyDescent="0.3">
      <c r="A1110" s="55"/>
      <c r="I1110" s="235"/>
      <c r="J1110" s="235"/>
      <c r="K1110" s="46"/>
      <c r="L1110" s="47"/>
      <c r="M1110" s="335"/>
    </row>
    <row r="1111" spans="1:13" x14ac:dyDescent="0.3">
      <c r="A1111" s="55"/>
      <c r="I1111" s="235"/>
      <c r="J1111" s="235"/>
      <c r="K1111" s="46"/>
      <c r="L1111" s="47"/>
      <c r="M1111" s="335"/>
    </row>
    <row r="1112" spans="1:13" x14ac:dyDescent="0.3">
      <c r="A1112" s="55"/>
      <c r="I1112" s="235"/>
      <c r="J1112" s="235"/>
      <c r="K1112" s="46"/>
      <c r="L1112" s="47"/>
      <c r="M1112" s="335"/>
    </row>
    <row r="1113" spans="1:13" x14ac:dyDescent="0.3">
      <c r="A1113" s="55"/>
      <c r="I1113" s="235"/>
      <c r="J1113" s="235"/>
      <c r="K1113" s="46"/>
      <c r="L1113" s="47"/>
      <c r="M1113" s="335"/>
    </row>
    <row r="1114" spans="1:13" x14ac:dyDescent="0.3">
      <c r="A1114" s="55"/>
      <c r="I1114" s="235"/>
      <c r="J1114" s="235"/>
      <c r="K1114" s="46"/>
      <c r="L1114" s="47"/>
      <c r="M1114" s="335"/>
    </row>
    <row r="1115" spans="1:13" x14ac:dyDescent="0.3">
      <c r="A1115" s="55"/>
      <c r="I1115" s="235"/>
      <c r="J1115" s="235"/>
      <c r="K1115" s="46"/>
      <c r="L1115" s="47"/>
      <c r="M1115" s="335"/>
    </row>
    <row r="1116" spans="1:13" x14ac:dyDescent="0.3">
      <c r="A1116" s="55"/>
      <c r="I1116" s="235"/>
      <c r="J1116" s="235"/>
      <c r="K1116" s="46"/>
      <c r="L1116" s="47"/>
      <c r="M1116" s="335"/>
    </row>
    <row r="1117" spans="1:13" x14ac:dyDescent="0.3">
      <c r="A1117" s="55"/>
      <c r="I1117" s="235"/>
      <c r="J1117" s="235"/>
      <c r="K1117" s="46"/>
      <c r="L1117" s="47"/>
      <c r="M1117" s="335"/>
    </row>
    <row r="1118" spans="1:13" x14ac:dyDescent="0.3">
      <c r="A1118" s="55"/>
      <c r="I1118" s="235"/>
      <c r="J1118" s="235"/>
      <c r="K1118" s="46"/>
      <c r="L1118" s="47"/>
      <c r="M1118" s="335"/>
    </row>
    <row r="1119" spans="1:13" x14ac:dyDescent="0.3">
      <c r="A1119" s="55"/>
      <c r="I1119" s="235"/>
      <c r="J1119" s="235"/>
      <c r="K1119" s="46"/>
      <c r="L1119" s="47"/>
      <c r="M1119" s="335"/>
    </row>
    <row r="1120" spans="1:13" x14ac:dyDescent="0.3">
      <c r="A1120" s="55"/>
      <c r="I1120" s="235"/>
      <c r="J1120" s="235"/>
      <c r="K1120" s="46"/>
      <c r="L1120" s="47"/>
      <c r="M1120" s="335"/>
    </row>
    <row r="1121" spans="1:13" x14ac:dyDescent="0.3">
      <c r="A1121" s="55"/>
      <c r="I1121" s="235"/>
      <c r="J1121" s="235"/>
      <c r="K1121" s="46"/>
      <c r="L1121" s="47"/>
      <c r="M1121" s="335"/>
    </row>
    <row r="1122" spans="1:13" x14ac:dyDescent="0.3">
      <c r="A1122" s="55"/>
      <c r="I1122" s="235"/>
      <c r="J1122" s="235"/>
      <c r="K1122" s="46"/>
      <c r="L1122" s="47"/>
      <c r="M1122" s="335"/>
    </row>
    <row r="1123" spans="1:13" x14ac:dyDescent="0.3">
      <c r="A1123" s="55"/>
      <c r="I1123" s="235"/>
      <c r="J1123" s="235"/>
      <c r="K1123" s="46"/>
      <c r="L1123" s="47"/>
      <c r="M1123" s="335"/>
    </row>
    <row r="1124" spans="1:13" x14ac:dyDescent="0.3">
      <c r="A1124" s="55"/>
      <c r="I1124" s="235"/>
      <c r="J1124" s="235"/>
      <c r="K1124" s="46"/>
      <c r="L1124" s="47"/>
      <c r="M1124" s="335"/>
    </row>
    <row r="1125" spans="1:13" x14ac:dyDescent="0.3">
      <c r="A1125" s="55"/>
      <c r="I1125" s="235"/>
      <c r="J1125" s="235"/>
      <c r="K1125" s="46"/>
      <c r="L1125" s="47"/>
      <c r="M1125" s="335"/>
    </row>
    <row r="1126" spans="1:13" x14ac:dyDescent="0.3">
      <c r="A1126" s="55"/>
      <c r="I1126" s="235"/>
      <c r="J1126" s="235"/>
      <c r="K1126" s="46"/>
      <c r="L1126" s="47"/>
      <c r="M1126" s="335"/>
    </row>
    <row r="1127" spans="1:13" x14ac:dyDescent="0.3">
      <c r="A1127" s="55"/>
      <c r="I1127" s="235"/>
      <c r="J1127" s="235"/>
      <c r="K1127" s="46"/>
      <c r="L1127" s="47"/>
      <c r="M1127" s="335"/>
    </row>
    <row r="1128" spans="1:13" x14ac:dyDescent="0.3">
      <c r="A1128" s="55"/>
      <c r="I1128" s="235"/>
      <c r="J1128" s="235"/>
      <c r="K1128" s="46"/>
      <c r="L1128" s="47"/>
      <c r="M1128" s="335"/>
    </row>
    <row r="1129" spans="1:13" x14ac:dyDescent="0.3">
      <c r="A1129" s="55"/>
      <c r="I1129" s="235"/>
      <c r="J1129" s="235"/>
      <c r="K1129" s="46"/>
      <c r="L1129" s="47"/>
      <c r="M1129" s="335"/>
    </row>
    <row r="1130" spans="1:13" x14ac:dyDescent="0.3">
      <c r="A1130" s="55"/>
      <c r="I1130" s="235"/>
      <c r="J1130" s="235"/>
      <c r="K1130" s="46"/>
      <c r="L1130" s="47"/>
      <c r="M1130" s="335"/>
    </row>
    <row r="1131" spans="1:13" x14ac:dyDescent="0.3">
      <c r="A1131" s="55"/>
      <c r="I1131" s="235"/>
      <c r="J1131" s="235"/>
      <c r="K1131" s="46"/>
      <c r="L1131" s="47"/>
      <c r="M1131" s="335"/>
    </row>
    <row r="1132" spans="1:13" x14ac:dyDescent="0.3">
      <c r="A1132" s="55"/>
      <c r="I1132" s="235"/>
      <c r="J1132" s="235"/>
      <c r="K1132" s="46"/>
      <c r="L1132" s="47"/>
      <c r="M1132" s="335"/>
    </row>
    <row r="1133" spans="1:13" x14ac:dyDescent="0.3">
      <c r="A1133" s="55"/>
      <c r="I1133" s="235"/>
      <c r="J1133" s="235"/>
      <c r="K1133" s="46"/>
      <c r="L1133" s="47"/>
      <c r="M1133" s="335"/>
    </row>
    <row r="1134" spans="1:13" x14ac:dyDescent="0.3">
      <c r="A1134" s="55"/>
      <c r="I1134" s="235"/>
      <c r="J1134" s="235"/>
      <c r="K1134" s="46"/>
      <c r="L1134" s="47"/>
      <c r="M1134" s="335"/>
    </row>
    <row r="1135" spans="1:13" x14ac:dyDescent="0.3">
      <c r="A1135" s="55"/>
      <c r="I1135" s="235"/>
      <c r="J1135" s="235"/>
      <c r="K1135" s="46"/>
      <c r="L1135" s="47"/>
      <c r="M1135" s="335"/>
    </row>
    <row r="1136" spans="1:13" x14ac:dyDescent="0.3">
      <c r="A1136" s="55"/>
      <c r="I1136" s="235"/>
      <c r="J1136" s="235"/>
      <c r="K1136" s="46"/>
      <c r="L1136" s="47"/>
      <c r="M1136" s="335"/>
    </row>
    <row r="1137" spans="1:13" x14ac:dyDescent="0.3">
      <c r="A1137" s="55"/>
      <c r="I1137" s="235"/>
      <c r="J1137" s="235"/>
      <c r="K1137" s="46"/>
      <c r="L1137" s="47"/>
      <c r="M1137" s="335"/>
    </row>
    <row r="1138" spans="1:13" x14ac:dyDescent="0.3">
      <c r="A1138" s="55"/>
      <c r="I1138" s="235"/>
      <c r="J1138" s="235"/>
      <c r="K1138" s="46"/>
      <c r="L1138" s="47"/>
      <c r="M1138" s="335"/>
    </row>
    <row r="1139" spans="1:13" x14ac:dyDescent="0.3">
      <c r="A1139" s="55"/>
      <c r="I1139" s="235"/>
      <c r="J1139" s="235"/>
      <c r="K1139" s="46"/>
      <c r="L1139" s="47"/>
      <c r="M1139" s="335"/>
    </row>
    <row r="1140" spans="1:13" x14ac:dyDescent="0.3">
      <c r="A1140" s="55"/>
      <c r="I1140" s="235"/>
      <c r="J1140" s="235"/>
      <c r="K1140" s="46"/>
      <c r="L1140" s="47"/>
      <c r="M1140" s="335"/>
    </row>
    <row r="1141" spans="1:13" x14ac:dyDescent="0.3">
      <c r="A1141" s="55"/>
      <c r="I1141" s="235"/>
      <c r="J1141" s="235"/>
      <c r="K1141" s="46"/>
      <c r="L1141" s="47"/>
      <c r="M1141" s="335"/>
    </row>
    <row r="1142" spans="1:13" x14ac:dyDescent="0.3">
      <c r="A1142" s="55"/>
      <c r="I1142" s="235"/>
      <c r="J1142" s="235"/>
      <c r="K1142" s="46"/>
      <c r="L1142" s="47"/>
      <c r="M1142" s="335"/>
    </row>
    <row r="1143" spans="1:13" x14ac:dyDescent="0.3">
      <c r="A1143" s="55"/>
      <c r="I1143" s="235"/>
      <c r="J1143" s="235"/>
      <c r="K1143" s="46"/>
      <c r="L1143" s="47"/>
      <c r="M1143" s="335"/>
    </row>
    <row r="1144" spans="1:13" x14ac:dyDescent="0.3">
      <c r="A1144" s="55"/>
      <c r="I1144" s="235"/>
      <c r="J1144" s="235"/>
      <c r="K1144" s="46"/>
      <c r="L1144" s="47"/>
      <c r="M1144" s="335"/>
    </row>
    <row r="1145" spans="1:13" x14ac:dyDescent="0.3">
      <c r="A1145" s="55"/>
      <c r="I1145" s="235"/>
      <c r="J1145" s="235"/>
      <c r="K1145" s="46"/>
      <c r="L1145" s="47"/>
      <c r="M1145" s="335"/>
    </row>
    <row r="1146" spans="1:13" x14ac:dyDescent="0.3">
      <c r="A1146" s="55"/>
      <c r="I1146" s="235"/>
      <c r="J1146" s="235"/>
      <c r="K1146" s="46"/>
      <c r="L1146" s="47"/>
      <c r="M1146" s="335"/>
    </row>
    <row r="1147" spans="1:13" x14ac:dyDescent="0.3">
      <c r="A1147" s="55"/>
      <c r="I1147" s="235"/>
      <c r="J1147" s="235"/>
      <c r="K1147" s="46"/>
      <c r="L1147" s="47"/>
      <c r="M1147" s="335"/>
    </row>
    <row r="1148" spans="1:13" x14ac:dyDescent="0.3">
      <c r="A1148" s="55"/>
      <c r="I1148" s="235"/>
      <c r="J1148" s="235"/>
      <c r="K1148" s="46"/>
      <c r="L1148" s="47"/>
      <c r="M1148" s="335"/>
    </row>
    <row r="1149" spans="1:13" x14ac:dyDescent="0.3">
      <c r="A1149" s="55"/>
      <c r="I1149" s="235"/>
      <c r="J1149" s="235"/>
      <c r="K1149" s="46"/>
      <c r="L1149" s="47"/>
      <c r="M1149" s="335"/>
    </row>
    <row r="1150" spans="1:13" x14ac:dyDescent="0.3">
      <c r="A1150" s="55"/>
      <c r="I1150" s="235"/>
      <c r="J1150" s="235"/>
      <c r="K1150" s="46"/>
      <c r="L1150" s="47"/>
      <c r="M1150" s="335"/>
    </row>
    <row r="1151" spans="1:13" x14ac:dyDescent="0.3">
      <c r="A1151" s="55"/>
      <c r="I1151" s="235"/>
      <c r="J1151" s="235"/>
      <c r="K1151" s="46"/>
      <c r="L1151" s="47"/>
      <c r="M1151" s="335"/>
    </row>
    <row r="1152" spans="1:13" x14ac:dyDescent="0.3">
      <c r="A1152" s="55"/>
      <c r="I1152" s="235"/>
      <c r="J1152" s="235"/>
      <c r="K1152" s="46"/>
      <c r="L1152" s="47"/>
      <c r="M1152" s="335"/>
    </row>
    <row r="1153" spans="1:13" x14ac:dyDescent="0.3">
      <c r="A1153" s="55"/>
      <c r="I1153" s="235"/>
      <c r="J1153" s="235"/>
      <c r="K1153" s="46"/>
      <c r="L1153" s="47"/>
      <c r="M1153" s="335"/>
    </row>
    <row r="1154" spans="1:13" x14ac:dyDescent="0.3">
      <c r="A1154" s="55"/>
      <c r="I1154" s="235"/>
      <c r="J1154" s="235"/>
      <c r="K1154" s="46"/>
      <c r="L1154" s="47"/>
      <c r="M1154" s="335"/>
    </row>
    <row r="1155" spans="1:13" x14ac:dyDescent="0.3">
      <c r="A1155" s="55"/>
      <c r="K1155" s="46"/>
      <c r="L1155" s="47"/>
      <c r="M1155" s="335"/>
    </row>
    <row r="1156" spans="1:13" x14ac:dyDescent="0.3">
      <c r="A1156" s="55"/>
      <c r="K1156" s="46"/>
      <c r="L1156" s="47"/>
      <c r="M1156" s="335"/>
    </row>
    <row r="1157" spans="1:13" x14ac:dyDescent="0.3">
      <c r="A1157" s="55"/>
      <c r="K1157" s="46"/>
      <c r="L1157" s="47"/>
      <c r="M1157" s="335"/>
    </row>
    <row r="1158" spans="1:13" x14ac:dyDescent="0.3">
      <c r="A1158" s="55"/>
      <c r="K1158" s="46"/>
      <c r="L1158" s="47"/>
      <c r="M1158" s="335"/>
    </row>
    <row r="1159" spans="1:13" x14ac:dyDescent="0.3">
      <c r="A1159" s="55"/>
      <c r="K1159" s="46"/>
      <c r="L1159" s="47"/>
      <c r="M1159" s="335"/>
    </row>
    <row r="1160" spans="1:13" x14ac:dyDescent="0.3">
      <c r="A1160" s="55"/>
      <c r="K1160" s="46"/>
      <c r="L1160" s="47"/>
      <c r="M1160" s="335"/>
    </row>
    <row r="1161" spans="1:13" x14ac:dyDescent="0.3">
      <c r="A1161" s="55"/>
      <c r="K1161" s="46"/>
      <c r="L1161" s="47"/>
      <c r="M1161" s="335"/>
    </row>
    <row r="1162" spans="1:13" x14ac:dyDescent="0.3">
      <c r="A1162" s="55"/>
      <c r="K1162" s="46"/>
      <c r="L1162" s="47"/>
      <c r="M1162" s="335"/>
    </row>
    <row r="1163" spans="1:13" x14ac:dyDescent="0.3">
      <c r="A1163" s="55"/>
      <c r="K1163" s="46"/>
      <c r="L1163" s="47"/>
      <c r="M1163" s="335"/>
    </row>
    <row r="1164" spans="1:13" x14ac:dyDescent="0.3">
      <c r="A1164" s="55"/>
      <c r="K1164" s="46"/>
      <c r="L1164" s="47"/>
      <c r="M1164" s="335"/>
    </row>
    <row r="1165" spans="1:13" x14ac:dyDescent="0.3">
      <c r="A1165" s="55"/>
      <c r="K1165" s="46"/>
      <c r="L1165" s="47"/>
      <c r="M1165" s="335"/>
    </row>
    <row r="1166" spans="1:13" x14ac:dyDescent="0.3">
      <c r="A1166" s="55"/>
      <c r="K1166" s="46"/>
      <c r="L1166" s="47"/>
      <c r="M1166" s="335"/>
    </row>
    <row r="1167" spans="1:13" x14ac:dyDescent="0.3">
      <c r="A1167" s="55"/>
      <c r="K1167" s="46"/>
      <c r="L1167" s="47"/>
      <c r="M1167" s="335"/>
    </row>
    <row r="1168" spans="1:13" x14ac:dyDescent="0.3">
      <c r="A1168" s="55"/>
      <c r="K1168" s="46"/>
      <c r="L1168" s="47"/>
      <c r="M1168" s="335"/>
    </row>
    <row r="1169" spans="1:13" x14ac:dyDescent="0.3">
      <c r="A1169" s="55"/>
      <c r="K1169" s="46"/>
      <c r="L1169" s="47"/>
      <c r="M1169" s="335"/>
    </row>
    <row r="1170" spans="1:13" x14ac:dyDescent="0.3">
      <c r="A1170" s="55"/>
      <c r="K1170" s="46"/>
      <c r="L1170" s="47"/>
      <c r="M1170" s="335"/>
    </row>
    <row r="1171" spans="1:13" x14ac:dyDescent="0.3">
      <c r="A1171" s="55"/>
      <c r="K1171" s="46"/>
      <c r="L1171" s="47"/>
      <c r="M1171" s="335"/>
    </row>
    <row r="1172" spans="1:13" x14ac:dyDescent="0.3">
      <c r="A1172" s="55"/>
      <c r="K1172" s="46"/>
      <c r="L1172" s="47"/>
      <c r="M1172" s="335"/>
    </row>
    <row r="1173" spans="1:13" x14ac:dyDescent="0.3">
      <c r="A1173" s="55"/>
      <c r="K1173" s="46"/>
      <c r="L1173" s="47"/>
      <c r="M1173" s="335"/>
    </row>
    <row r="1174" spans="1:13" x14ac:dyDescent="0.3">
      <c r="A1174" s="55"/>
      <c r="K1174" s="46"/>
      <c r="L1174" s="47"/>
      <c r="M1174" s="335"/>
    </row>
    <row r="1175" spans="1:13" x14ac:dyDescent="0.3">
      <c r="A1175" s="55"/>
      <c r="K1175" s="46"/>
      <c r="L1175" s="47"/>
      <c r="M1175" s="335"/>
    </row>
    <row r="1176" spans="1:13" x14ac:dyDescent="0.3">
      <c r="A1176" s="55"/>
      <c r="K1176" s="46"/>
      <c r="L1176" s="47"/>
      <c r="M1176" s="335"/>
    </row>
    <row r="1177" spans="1:13" x14ac:dyDescent="0.3">
      <c r="A1177" s="55"/>
      <c r="K1177" s="46"/>
      <c r="L1177" s="47"/>
      <c r="M1177" s="335"/>
    </row>
    <row r="1178" spans="1:13" x14ac:dyDescent="0.3">
      <c r="A1178" s="55"/>
      <c r="K1178" s="46"/>
      <c r="L1178" s="47"/>
      <c r="M1178" s="335"/>
    </row>
    <row r="1179" spans="1:13" x14ac:dyDescent="0.3">
      <c r="A1179" s="55"/>
      <c r="K1179" s="46"/>
      <c r="L1179" s="47"/>
      <c r="M1179" s="335"/>
    </row>
    <row r="1180" spans="1:13" x14ac:dyDescent="0.3">
      <c r="A1180" s="55"/>
      <c r="K1180" s="46"/>
      <c r="L1180" s="47"/>
      <c r="M1180" s="335"/>
    </row>
    <row r="1181" spans="1:13" x14ac:dyDescent="0.3">
      <c r="A1181" s="55"/>
      <c r="K1181" s="46"/>
      <c r="L1181" s="47"/>
      <c r="M1181" s="335"/>
    </row>
    <row r="1182" spans="1:13" x14ac:dyDescent="0.3">
      <c r="A1182" s="55"/>
      <c r="K1182" s="46"/>
      <c r="L1182" s="47"/>
      <c r="M1182" s="335"/>
    </row>
    <row r="1183" spans="1:13" x14ac:dyDescent="0.3">
      <c r="A1183" s="55"/>
      <c r="K1183" s="46"/>
      <c r="L1183" s="47"/>
      <c r="M1183" s="335"/>
    </row>
    <row r="1184" spans="1:13" x14ac:dyDescent="0.3">
      <c r="A1184" s="55"/>
      <c r="K1184" s="46"/>
      <c r="L1184" s="47"/>
      <c r="M1184" s="335"/>
    </row>
    <row r="1185" spans="1:13" x14ac:dyDescent="0.3">
      <c r="A1185" s="55"/>
      <c r="K1185" s="46"/>
      <c r="L1185" s="47"/>
      <c r="M1185" s="335"/>
    </row>
    <row r="1186" spans="1:13" x14ac:dyDescent="0.3">
      <c r="A1186" s="55"/>
      <c r="K1186" s="46"/>
      <c r="L1186" s="47"/>
      <c r="M1186" s="335"/>
    </row>
    <row r="1187" spans="1:13" x14ac:dyDescent="0.3">
      <c r="A1187" s="55"/>
      <c r="K1187" s="46"/>
      <c r="L1187" s="47"/>
      <c r="M1187" s="335"/>
    </row>
    <row r="1188" spans="1:13" x14ac:dyDescent="0.3">
      <c r="A1188" s="55"/>
      <c r="K1188" s="46"/>
      <c r="L1188" s="47"/>
      <c r="M1188" s="335"/>
    </row>
    <row r="1189" spans="1:13" x14ac:dyDescent="0.3">
      <c r="A1189" s="55"/>
      <c r="K1189" s="46"/>
      <c r="L1189" s="47"/>
      <c r="M1189" s="335"/>
    </row>
    <row r="1190" spans="1:13" x14ac:dyDescent="0.3">
      <c r="A1190" s="55"/>
      <c r="K1190" s="46"/>
      <c r="L1190" s="47"/>
      <c r="M1190" s="335"/>
    </row>
    <row r="1191" spans="1:13" x14ac:dyDescent="0.3">
      <c r="A1191" s="55"/>
      <c r="K1191" s="46"/>
      <c r="L1191" s="47"/>
      <c r="M1191" s="335"/>
    </row>
    <row r="1192" spans="1:13" x14ac:dyDescent="0.3">
      <c r="A1192" s="55"/>
      <c r="K1192" s="46"/>
      <c r="L1192" s="47"/>
      <c r="M1192" s="335"/>
    </row>
    <row r="1193" spans="1:13" x14ac:dyDescent="0.3">
      <c r="A1193" s="55"/>
      <c r="K1193" s="46"/>
      <c r="L1193" s="47"/>
      <c r="M1193" s="335"/>
    </row>
    <row r="1194" spans="1:13" x14ac:dyDescent="0.3">
      <c r="A1194" s="55"/>
      <c r="K1194" s="46"/>
      <c r="L1194" s="47"/>
      <c r="M1194" s="335"/>
    </row>
    <row r="1195" spans="1:13" x14ac:dyDescent="0.3">
      <c r="A1195" s="55"/>
      <c r="K1195" s="46"/>
      <c r="L1195" s="47"/>
      <c r="M1195" s="335"/>
    </row>
    <row r="1196" spans="1:13" x14ac:dyDescent="0.3">
      <c r="A1196" s="55"/>
      <c r="K1196" s="46"/>
      <c r="L1196" s="47"/>
      <c r="M1196" s="335"/>
    </row>
    <row r="1197" spans="1:13" x14ac:dyDescent="0.3">
      <c r="A1197" s="55"/>
      <c r="K1197" s="46"/>
      <c r="L1197" s="47"/>
      <c r="M1197" s="335"/>
    </row>
    <row r="1198" spans="1:13" x14ac:dyDescent="0.3">
      <c r="A1198" s="55"/>
      <c r="K1198" s="46"/>
      <c r="L1198" s="47"/>
      <c r="M1198" s="335"/>
    </row>
    <row r="1199" spans="1:13" x14ac:dyDescent="0.3">
      <c r="A1199" s="55"/>
      <c r="K1199" s="46"/>
      <c r="L1199" s="47"/>
      <c r="M1199" s="335"/>
    </row>
    <row r="1200" spans="1:13" x14ac:dyDescent="0.3">
      <c r="A1200" s="55"/>
      <c r="K1200" s="46"/>
      <c r="L1200" s="47"/>
      <c r="M1200" s="335"/>
    </row>
    <row r="1201" spans="1:13" x14ac:dyDescent="0.3">
      <c r="A1201" s="55"/>
      <c r="K1201" s="46"/>
      <c r="L1201" s="47"/>
      <c r="M1201" s="335"/>
    </row>
    <row r="1202" spans="1:13" x14ac:dyDescent="0.3">
      <c r="A1202" s="55"/>
      <c r="K1202" s="46"/>
      <c r="L1202" s="47"/>
      <c r="M1202" s="335"/>
    </row>
    <row r="1203" spans="1:13" x14ac:dyDescent="0.3">
      <c r="A1203" s="55"/>
      <c r="K1203" s="46"/>
      <c r="L1203" s="47"/>
      <c r="M1203" s="335"/>
    </row>
    <row r="1204" spans="1:13" x14ac:dyDescent="0.3">
      <c r="A1204" s="55"/>
      <c r="K1204" s="46"/>
      <c r="L1204" s="47"/>
      <c r="M1204" s="335"/>
    </row>
    <row r="1205" spans="1:13" x14ac:dyDescent="0.3">
      <c r="A1205" s="55"/>
      <c r="K1205" s="46"/>
      <c r="L1205" s="47"/>
      <c r="M1205" s="335"/>
    </row>
    <row r="1206" spans="1:13" x14ac:dyDescent="0.3">
      <c r="A1206" s="55"/>
      <c r="K1206" s="46"/>
      <c r="L1206" s="47"/>
      <c r="M1206" s="335"/>
    </row>
    <row r="1207" spans="1:13" x14ac:dyDescent="0.3">
      <c r="A1207" s="55"/>
      <c r="K1207" s="46"/>
      <c r="L1207" s="47"/>
      <c r="M1207" s="335"/>
    </row>
    <row r="1208" spans="1:13" x14ac:dyDescent="0.3">
      <c r="A1208" s="55"/>
      <c r="K1208" s="46"/>
      <c r="L1208" s="47"/>
      <c r="M1208" s="335"/>
    </row>
    <row r="1209" spans="1:13" x14ac:dyDescent="0.3">
      <c r="A1209" s="55"/>
      <c r="K1209" s="46"/>
      <c r="L1209" s="47"/>
      <c r="M1209" s="335"/>
    </row>
    <row r="1210" spans="1:13" x14ac:dyDescent="0.3">
      <c r="A1210" s="55"/>
      <c r="K1210" s="50"/>
      <c r="L1210" s="64"/>
      <c r="M1210" s="335"/>
    </row>
    <row r="1211" spans="1:13" x14ac:dyDescent="0.3">
      <c r="A1211" s="55"/>
      <c r="M1211" s="316"/>
    </row>
    <row r="1212" spans="1:13" x14ac:dyDescent="0.3">
      <c r="A1212" s="55"/>
      <c r="M1212" s="316"/>
    </row>
    <row r="1213" spans="1:13" x14ac:dyDescent="0.3">
      <c r="A1213" s="55"/>
      <c r="M1213" s="316"/>
    </row>
    <row r="1214" spans="1:13" x14ac:dyDescent="0.3">
      <c r="A1214" s="55"/>
      <c r="M1214" s="316"/>
    </row>
    <row r="1215" spans="1:13" x14ac:dyDescent="0.3">
      <c r="A1215" s="55"/>
      <c r="M1215" s="316"/>
    </row>
    <row r="1216" spans="1:13" x14ac:dyDescent="0.3">
      <c r="A1216" s="55"/>
      <c r="M1216" s="316"/>
    </row>
    <row r="1217" spans="1:1" x14ac:dyDescent="0.3">
      <c r="A1217" s="55"/>
    </row>
    <row r="1218" spans="1:1" x14ac:dyDescent="0.3">
      <c r="A1218" s="55"/>
    </row>
  </sheetData>
  <mergeCells count="1">
    <mergeCell ref="A1:D2"/>
  </mergeCells>
  <conditionalFormatting sqref="F11:F131">
    <cfRule type="expression" dxfId="5" priority="7">
      <formula>$F11&lt;0</formula>
    </cfRule>
    <cfRule type="expression" dxfId="4" priority="8">
      <formula>$F11=0</formula>
    </cfRule>
  </conditionalFormatting>
  <conditionalFormatting sqref="C12:C131">
    <cfRule type="expression" dxfId="3" priority="5">
      <formula>$C12&lt;0</formula>
    </cfRule>
    <cfRule type="expression" dxfId="2" priority="6">
      <formula>$C12=0</formula>
    </cfRule>
  </conditionalFormatting>
  <conditionalFormatting sqref="B12:B131">
    <cfRule type="expression" dxfId="1" priority="1">
      <formula>$B12&lt;0</formula>
    </cfRule>
    <cfRule type="expression" dxfId="0" priority="2">
      <formula>$B12=0</formula>
    </cfRule>
  </conditionalFormatting>
  <dataValidations count="1">
    <dataValidation type="list" allowBlank="1" showInputMessage="1" showErrorMessage="1" sqref="C3">
      <formula1>$G$10:$G$21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Botón_cuota_aleman">
                <anchor moveWithCells="1" sizeWithCells="1">
                  <from>
                    <xdr:col>5</xdr:col>
                    <xdr:colOff>45720</xdr:colOff>
                    <xdr:row>0</xdr:row>
                    <xdr:rowOff>152400</xdr:rowOff>
                  </from>
                  <to>
                    <xdr:col>6</xdr:col>
                    <xdr:colOff>30480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pasar_flujo_cajaA">
                <anchor moveWithCells="1" sizeWithCells="1">
                  <from>
                    <xdr:col>12</xdr:col>
                    <xdr:colOff>30480</xdr:colOff>
                    <xdr:row>8</xdr:row>
                    <xdr:rowOff>144780</xdr:rowOff>
                  </from>
                  <to>
                    <xdr:col>13</xdr:col>
                    <xdr:colOff>716280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pasar_flujo_cajaA2">
                <anchor moveWithCells="1" sizeWithCells="1">
                  <from>
                    <xdr:col>12</xdr:col>
                    <xdr:colOff>22860</xdr:colOff>
                    <xdr:row>11</xdr:row>
                    <xdr:rowOff>160020</xdr:rowOff>
                  </from>
                  <to>
                    <xdr:col>13</xdr:col>
                    <xdr:colOff>723900</xdr:colOff>
                    <xdr:row>13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E18"/>
  <sheetViews>
    <sheetView topLeftCell="A4" workbookViewId="0">
      <selection activeCell="C12" sqref="C12"/>
    </sheetView>
  </sheetViews>
  <sheetFormatPr baseColWidth="10" defaultRowHeight="14.4" x14ac:dyDescent="0.3"/>
  <sheetData>
    <row r="1" spans="1:5" ht="18" x14ac:dyDescent="0.35">
      <c r="A1" s="361" t="s">
        <v>122</v>
      </c>
      <c r="B1" s="361"/>
      <c r="C1" s="361"/>
      <c r="D1" s="361"/>
      <c r="E1" s="361"/>
    </row>
    <row r="2" spans="1:5" x14ac:dyDescent="0.3">
      <c r="A2" s="147" t="s">
        <v>36</v>
      </c>
      <c r="B2" s="147" t="s">
        <v>27</v>
      </c>
      <c r="C2" s="147" t="s">
        <v>28</v>
      </c>
      <c r="D2" s="147" t="s">
        <v>104</v>
      </c>
      <c r="E2" s="147" t="s">
        <v>123</v>
      </c>
    </row>
    <row r="3" spans="1:5" x14ac:dyDescent="0.3">
      <c r="A3" s="5">
        <v>1</v>
      </c>
      <c r="B3" s="172">
        <v>256</v>
      </c>
      <c r="C3" s="148">
        <v>14</v>
      </c>
      <c r="D3" s="149">
        <f>IF(B3&gt;0,IF(C3&gt;0,ROUND(C3/B3,2),""),"")</f>
        <v>0.05</v>
      </c>
      <c r="E3" s="153">
        <f>ROUND(AVERAGE(D3:D17),2)</f>
        <v>0.05</v>
      </c>
    </row>
    <row r="4" spans="1:5" x14ac:dyDescent="0.3">
      <c r="A4" s="8">
        <f>A3+1</f>
        <v>2</v>
      </c>
      <c r="B4" s="173">
        <v>291</v>
      </c>
      <c r="C4" s="150">
        <v>15</v>
      </c>
      <c r="D4" s="151">
        <f t="shared" ref="D4:D17" si="0">IF(B4&gt;0,IF(C4&gt;0,ROUND(C4/B4,2),""),"")</f>
        <v>0.05</v>
      </c>
      <c r="E4" s="154"/>
    </row>
    <row r="5" spans="1:5" x14ac:dyDescent="0.3">
      <c r="A5" s="8">
        <f t="shared" ref="A5:A16" si="1">A4+1</f>
        <v>3</v>
      </c>
      <c r="B5" s="173">
        <v>359</v>
      </c>
      <c r="C5" s="150">
        <v>17</v>
      </c>
      <c r="D5" s="151">
        <f t="shared" si="0"/>
        <v>0.05</v>
      </c>
      <c r="E5" s="155">
        <f>MAX(D3:D17)</f>
        <v>7.0000000000000007E-2</v>
      </c>
    </row>
    <row r="6" spans="1:5" x14ac:dyDescent="0.3">
      <c r="A6" s="8">
        <f t="shared" si="1"/>
        <v>4</v>
      </c>
      <c r="B6" s="173">
        <v>412</v>
      </c>
      <c r="C6" s="150">
        <v>19</v>
      </c>
      <c r="D6" s="151">
        <f t="shared" si="0"/>
        <v>0.05</v>
      </c>
      <c r="E6" s="156">
        <f>MIN(D3:D17)</f>
        <v>0.05</v>
      </c>
    </row>
    <row r="7" spans="1:5" x14ac:dyDescent="0.3">
      <c r="A7" s="8">
        <f t="shared" si="1"/>
        <v>5</v>
      </c>
      <c r="B7" s="173">
        <v>479</v>
      </c>
      <c r="C7" s="150">
        <v>24</v>
      </c>
      <c r="D7" s="151">
        <f t="shared" si="0"/>
        <v>0.05</v>
      </c>
      <c r="E7" s="157">
        <f>E5-E6</f>
        <v>2.0000000000000004E-2</v>
      </c>
    </row>
    <row r="8" spans="1:5" x14ac:dyDescent="0.3">
      <c r="A8" s="8">
        <f t="shared" si="1"/>
        <v>6</v>
      </c>
      <c r="B8" s="173">
        <v>512</v>
      </c>
      <c r="C8" s="150">
        <v>26</v>
      </c>
      <c r="D8" s="151">
        <f t="shared" si="0"/>
        <v>0.05</v>
      </c>
      <c r="E8" s="154"/>
    </row>
    <row r="9" spans="1:5" x14ac:dyDescent="0.3">
      <c r="A9" s="8">
        <f t="shared" si="1"/>
        <v>7</v>
      </c>
      <c r="B9" s="173">
        <v>550</v>
      </c>
      <c r="C9" s="150">
        <v>29</v>
      </c>
      <c r="D9" s="151">
        <f t="shared" si="0"/>
        <v>0.05</v>
      </c>
      <c r="E9" s="154"/>
    </row>
    <row r="10" spans="1:5" x14ac:dyDescent="0.3">
      <c r="A10" s="8">
        <f t="shared" si="1"/>
        <v>8</v>
      </c>
      <c r="B10" s="173">
        <v>560</v>
      </c>
      <c r="C10" s="10">
        <v>33</v>
      </c>
      <c r="D10" s="151">
        <f t="shared" si="0"/>
        <v>0.06</v>
      </c>
      <c r="E10" s="154"/>
    </row>
    <row r="11" spans="1:5" x14ac:dyDescent="0.3">
      <c r="A11" s="8">
        <f t="shared" si="1"/>
        <v>9</v>
      </c>
      <c r="B11" s="173">
        <v>560</v>
      </c>
      <c r="C11" s="10">
        <v>38</v>
      </c>
      <c r="D11" s="151">
        <f t="shared" si="0"/>
        <v>7.0000000000000007E-2</v>
      </c>
      <c r="E11" s="154"/>
    </row>
    <row r="12" spans="1:5" x14ac:dyDescent="0.3">
      <c r="A12" s="8">
        <f t="shared" si="1"/>
        <v>10</v>
      </c>
      <c r="B12" s="173" t="str">
        <f>IF(Pronosticos!K12="","",Pronosticos!K12)</f>
        <v/>
      </c>
      <c r="C12" s="10"/>
      <c r="D12" s="151" t="str">
        <f t="shared" si="0"/>
        <v/>
      </c>
      <c r="E12" s="154"/>
    </row>
    <row r="13" spans="1:5" x14ac:dyDescent="0.3">
      <c r="A13" s="8">
        <f t="shared" si="1"/>
        <v>11</v>
      </c>
      <c r="B13" s="173" t="str">
        <f>IF(Pronosticos!K13="","",Pronosticos!K13)</f>
        <v/>
      </c>
      <c r="C13" s="10"/>
      <c r="D13" s="151" t="str">
        <f t="shared" si="0"/>
        <v/>
      </c>
      <c r="E13" s="154"/>
    </row>
    <row r="14" spans="1:5" x14ac:dyDescent="0.3">
      <c r="A14" s="8">
        <f t="shared" si="1"/>
        <v>12</v>
      </c>
      <c r="B14" s="173" t="str">
        <f>IF(Pronosticos!K14="","",Pronosticos!K14)</f>
        <v/>
      </c>
      <c r="C14" s="10"/>
      <c r="D14" s="151" t="str">
        <f t="shared" si="0"/>
        <v/>
      </c>
      <c r="E14" s="154"/>
    </row>
    <row r="15" spans="1:5" x14ac:dyDescent="0.3">
      <c r="A15" s="8">
        <f t="shared" si="1"/>
        <v>13</v>
      </c>
      <c r="B15" s="173" t="str">
        <f>IF(Pronosticos!K15="","",Pronosticos!K15)</f>
        <v/>
      </c>
      <c r="C15" s="10"/>
      <c r="D15" s="151" t="str">
        <f>IF(B15&gt;0,IF(C15&gt;0,ROUND(C15/B15,2),""),"")</f>
        <v/>
      </c>
      <c r="E15" s="154"/>
    </row>
    <row r="16" spans="1:5" x14ac:dyDescent="0.3">
      <c r="A16" s="8">
        <f t="shared" si="1"/>
        <v>14</v>
      </c>
      <c r="B16" s="173" t="str">
        <f>IF(Pronosticos!K16="","",Pronosticos!K16)</f>
        <v/>
      </c>
      <c r="C16" s="10"/>
      <c r="D16" s="151" t="str">
        <f t="shared" si="0"/>
        <v/>
      </c>
      <c r="E16" s="154"/>
    </row>
    <row r="17" spans="1:5" x14ac:dyDescent="0.3">
      <c r="A17" s="11">
        <f>A16+1</f>
        <v>15</v>
      </c>
      <c r="B17" s="174" t="str">
        <f>IF(Pronosticos!K17="","",Pronosticos!K17)</f>
        <v/>
      </c>
      <c r="C17" s="13"/>
      <c r="D17" s="152" t="str">
        <f t="shared" si="0"/>
        <v/>
      </c>
      <c r="E17" s="158"/>
    </row>
    <row r="18" spans="1:5" x14ac:dyDescent="0.3">
      <c r="B18" s="1" t="s">
        <v>137</v>
      </c>
      <c r="C18" s="1" t="s">
        <v>136</v>
      </c>
    </row>
  </sheetData>
  <mergeCells count="1">
    <mergeCell ref="A1:E1"/>
  </mergeCells>
  <pageMargins left="0.7" right="0.7" top="0.75" bottom="0.75" header="0.3" footer="0.3"/>
  <pageSetup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9"/>
  <sheetViews>
    <sheetView topLeftCell="A4" workbookViewId="0">
      <selection activeCell="C4" sqref="C4"/>
    </sheetView>
  </sheetViews>
  <sheetFormatPr baseColWidth="10" defaultRowHeight="14.4" x14ac:dyDescent="0.3"/>
  <cols>
    <col min="5" max="5" width="13.33203125" customWidth="1"/>
    <col min="6" max="6" width="15.77734375" customWidth="1"/>
  </cols>
  <sheetData>
    <row r="1" spans="1:6" x14ac:dyDescent="0.3">
      <c r="A1" s="364" t="s">
        <v>124</v>
      </c>
      <c r="B1" s="364"/>
      <c r="C1" s="364"/>
      <c r="D1" s="364"/>
      <c r="E1" s="364"/>
      <c r="F1" s="364"/>
    </row>
    <row r="2" spans="1:6" x14ac:dyDescent="0.3">
      <c r="A2" s="159" t="s">
        <v>125</v>
      </c>
      <c r="B2" s="160" t="s">
        <v>126</v>
      </c>
      <c r="C2" s="160" t="s">
        <v>127</v>
      </c>
      <c r="D2" s="160" t="s">
        <v>112</v>
      </c>
      <c r="E2" s="160" t="s">
        <v>128</v>
      </c>
      <c r="F2" s="161" t="s">
        <v>129</v>
      </c>
    </row>
    <row r="3" spans="1:6" x14ac:dyDescent="0.3">
      <c r="A3" s="27" t="s">
        <v>130</v>
      </c>
      <c r="B3" s="164">
        <v>7.0000000000000007E-2</v>
      </c>
      <c r="C3" s="165">
        <v>3.6499999999999998E-2</v>
      </c>
      <c r="D3" s="166">
        <f>B3+$C$3+(B3*$C$3)</f>
        <v>0.10905500000000001</v>
      </c>
      <c r="E3" s="164">
        <v>0.25</v>
      </c>
      <c r="F3" s="166">
        <f>IF(D3="","",D3*E3)</f>
        <v>2.7263750000000003E-2</v>
      </c>
    </row>
    <row r="4" spans="1:6" x14ac:dyDescent="0.3">
      <c r="A4" s="27" t="s">
        <v>131</v>
      </c>
      <c r="B4" s="165">
        <v>8.5000000000000006E-2</v>
      </c>
      <c r="C4" s="55"/>
      <c r="D4" s="166">
        <f t="shared" ref="D4:D6" si="0">B4+$C$3+(B4*$C$3)</f>
        <v>0.12460249999999999</v>
      </c>
      <c r="E4" s="164">
        <v>0.1</v>
      </c>
      <c r="F4" s="166">
        <f t="shared" ref="F4:F6" si="1">IF(D4="","",D4*E4)</f>
        <v>1.2460249999999999E-2</v>
      </c>
    </row>
    <row r="5" spans="1:6" x14ac:dyDescent="0.3">
      <c r="A5" s="27" t="s">
        <v>132</v>
      </c>
      <c r="B5" s="165">
        <v>8.4000000000000005E-2</v>
      </c>
      <c r="C5" s="55"/>
      <c r="D5" s="166">
        <f t="shared" si="0"/>
        <v>0.123566</v>
      </c>
      <c r="E5" s="164">
        <v>0.1</v>
      </c>
      <c r="F5" s="166">
        <f>IF(D5="","",D5*E5)</f>
        <v>1.2356600000000001E-2</v>
      </c>
    </row>
    <row r="6" spans="1:6" x14ac:dyDescent="0.3">
      <c r="A6" s="27" t="s">
        <v>133</v>
      </c>
      <c r="B6" s="165">
        <v>8.3000000000000004E-2</v>
      </c>
      <c r="C6" s="55"/>
      <c r="D6" s="166">
        <f t="shared" si="0"/>
        <v>0.1225295</v>
      </c>
      <c r="E6" s="164">
        <v>0.2</v>
      </c>
      <c r="F6" s="166">
        <f t="shared" si="1"/>
        <v>2.4505900000000001E-2</v>
      </c>
    </row>
    <row r="7" spans="1:6" x14ac:dyDescent="0.3">
      <c r="A7" s="28" t="s">
        <v>134</v>
      </c>
      <c r="B7" s="165">
        <v>8.1000000000000003E-2</v>
      </c>
      <c r="C7" s="55"/>
      <c r="D7" s="166">
        <f>IF(B7="","",B7+$C$3+(B7*$C$3))</f>
        <v>0.12045649999999999</v>
      </c>
      <c r="E7" s="164">
        <v>0.2</v>
      </c>
      <c r="F7" s="166">
        <f>IF(D7="","",D7*E7)</f>
        <v>2.40913E-2</v>
      </c>
    </row>
    <row r="8" spans="1:6" x14ac:dyDescent="0.3">
      <c r="A8" s="70" t="s">
        <v>217</v>
      </c>
      <c r="B8" s="165">
        <v>7.0000000000000007E-2</v>
      </c>
      <c r="C8" s="55"/>
      <c r="D8" s="166">
        <f>IF(B8="","",B8+$C$3+(B8*$C$3))</f>
        <v>0.10905500000000001</v>
      </c>
      <c r="E8" s="164">
        <v>0.15</v>
      </c>
      <c r="F8" s="166">
        <f>IF(D8="","",D8*E8)</f>
        <v>1.6358250000000001E-2</v>
      </c>
    </row>
    <row r="9" spans="1:6" x14ac:dyDescent="0.3">
      <c r="A9" s="362" t="s">
        <v>135</v>
      </c>
      <c r="B9" s="363"/>
      <c r="C9" s="167"/>
      <c r="D9" s="167"/>
      <c r="E9" s="168">
        <f>SUM(E3:E8)</f>
        <v>0.99999999999999989</v>
      </c>
      <c r="F9" s="169">
        <f>SUM(F3:F8)</f>
        <v>0.11703605</v>
      </c>
    </row>
  </sheetData>
  <mergeCells count="2">
    <mergeCell ref="A9:B9"/>
    <mergeCell ref="A1:F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"/>
  <sheetViews>
    <sheetView workbookViewId="0">
      <selection activeCell="N21" sqref="N21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MLineal</vt:lpstr>
      <vt:lpstr>MExponencial</vt:lpstr>
      <vt:lpstr>MLogaritmica</vt:lpstr>
      <vt:lpstr>MPontencial</vt:lpstr>
      <vt:lpstr>MPolinimial</vt:lpstr>
      <vt:lpstr>Pronosticos</vt:lpstr>
      <vt:lpstr>Flujo Caja</vt:lpstr>
      <vt:lpstr>Cuota nivelada bacaria</vt:lpstr>
      <vt:lpstr>Cuota nivelada sistema frances </vt:lpstr>
      <vt:lpstr>Cuota decreciente bancaria</vt:lpstr>
      <vt:lpstr>Cuota nivelada sistema aleman</vt:lpstr>
      <vt:lpstr>Metodo Promedio</vt:lpstr>
      <vt:lpstr>Calculo Tmar</vt:lpstr>
      <vt:lpstr>Graficas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2021-08-16T18:01:04Z</dcterms:created>
  <dcterms:modified xsi:type="dcterms:W3CDTF">2021-10-10T02:29:22Z</dcterms:modified>
</cp:coreProperties>
</file>